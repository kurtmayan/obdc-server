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VP" sheetId="1" r:id="rId4"/>
    <sheet state="visible" name="Target Date" sheetId="2" r:id="rId5"/>
    <sheet state="visible" name="Stores" sheetId="3" r:id="rId6"/>
    <sheet state="visible" name="Roll Out Phase Per Store" sheetId="4" r:id="rId7"/>
    <sheet state="visible" name="Summary of Roll Out Phase" sheetId="5" r:id="rId8"/>
  </sheets>
  <definedNames>
    <definedName hidden="1" localSheetId="1" name="_xlnm._FilterDatabase">'Target Date'!$C$14</definedName>
    <definedName hidden="1" localSheetId="2" name="_xlnm._FilterDatabase">Stores!$F$1:$F$2120</definedName>
    <definedName hidden="1" localSheetId="3" name="_xlnm._FilterDatabase">'Roll Out Phase Per Store'!$A$1:$M$981</definedName>
  </definedNames>
  <calcPr/>
  <pivotCaches>
    <pivotCache cacheId="0" r:id="rId9"/>
  </pivotCaches>
  <extLst>
    <ext uri="GoogleSheetsCustomDataVersion2">
      <go:sheetsCustomData xmlns:go="http://customooxmlschemas.google.com/" r:id="rId10" roundtripDataChecksum="SoRy0CSkju/g5Qm2V/dT+YEDOhPKrMvFLGK8oM9VMHA="/>
    </ext>
  </extLst>
</workbook>
</file>

<file path=xl/sharedStrings.xml><?xml version="1.0" encoding="utf-8"?>
<sst xmlns="http://schemas.openxmlformats.org/spreadsheetml/2006/main" count="13261" uniqueCount="4237">
  <si>
    <t>BDC ROLL-OUT PLAN</t>
  </si>
  <si>
    <t>Division</t>
  </si>
  <si>
    <t>Target Date</t>
  </si>
  <si>
    <t>Scope/Activity</t>
  </si>
  <si>
    <t>Remarks</t>
  </si>
  <si>
    <t>Head Office</t>
  </si>
  <si>
    <t>May 6-10</t>
  </si>
  <si>
    <t>Initial deployment, configuration, and validation of biometric data consolidation</t>
  </si>
  <si>
    <t>Priority users and key departments will be tested first</t>
  </si>
  <si>
    <t>Ware House</t>
  </si>
  <si>
    <t>May 11-15</t>
  </si>
  <si>
    <t>Deployment to warehouse biometric devices and validation of data syncing</t>
  </si>
  <si>
    <t>Confirm device connectivity and successful data transfer</t>
  </si>
  <si>
    <t>Retail Operations</t>
  </si>
  <si>
    <t>May 16 onwards</t>
  </si>
  <si>
    <t>Pilot rollout to 100 selected stores with stable internet connectivity</t>
  </si>
  <si>
    <t>Pilot results will be monitored before full store-wide rollout</t>
  </si>
  <si>
    <t>Remaining Stores</t>
  </si>
  <si>
    <t>After successful pilot</t>
  </si>
  <si>
    <t>Gradual rollout to the remaining stores</t>
  </si>
  <si>
    <t>Proceed only if no major issues are encountered during the pilot phase</t>
  </si>
  <si>
    <t>Note:</t>
  </si>
  <si>
    <t>Full rollout to the remaining stores will proceed after the pilot implementation is validated and no major system, connectivity, or data synchronization issues are identified.</t>
  </si>
  <si>
    <t>This rollout covers the basic version of the Biometric Data Consolidator Project. After the successful implementation and validation of the basic version, the development of the complete version with additional features and enhancements will begin.</t>
  </si>
  <si>
    <t>System Name</t>
  </si>
  <si>
    <t>Store Name</t>
  </si>
  <si>
    <t>Tag</t>
  </si>
  <si>
    <t>Telco</t>
  </si>
  <si>
    <t>Biometric Device Brand/Model</t>
  </si>
  <si>
    <t>Serial Number</t>
  </si>
  <si>
    <t>IP Address</t>
  </si>
  <si>
    <t>Rollout Phase</t>
  </si>
  <si>
    <t>ZHNG</t>
  </si>
  <si>
    <t>Hinunangan Leyte-FS</t>
  </si>
  <si>
    <t>Opened Stores</t>
  </si>
  <si>
    <t>-</t>
  </si>
  <si>
    <t>ZLSK</t>
  </si>
  <si>
    <t>Lebak Sultan Kudarat-FS</t>
  </si>
  <si>
    <t>ZLIL</t>
  </si>
  <si>
    <t>Liloan Leyte - FS</t>
  </si>
  <si>
    <t>ONEA</t>
  </si>
  <si>
    <t>One Ayala</t>
  </si>
  <si>
    <t>ZCBI</t>
  </si>
  <si>
    <t>Caibiran Biliran-FS</t>
  </si>
  <si>
    <t>SMAZ</t>
  </si>
  <si>
    <t>SM Hypermarket Alabang Zaporte Road</t>
  </si>
  <si>
    <t>WTCT</t>
  </si>
  <si>
    <t>Waltermart Concepcion Tarlac</t>
  </si>
  <si>
    <t>ZLTP</t>
  </si>
  <si>
    <t>Lantapan Bukidnon-FS</t>
  </si>
  <si>
    <t>ZKSK</t>
  </si>
  <si>
    <t>Kalamansig Sultan Kudarat-FS</t>
  </si>
  <si>
    <t>ZLAK</t>
  </si>
  <si>
    <t>Laak Commercial Bgld FS</t>
  </si>
  <si>
    <t>CMAB</t>
  </si>
  <si>
    <t>Citymall Anabu</t>
  </si>
  <si>
    <t>ZBDN</t>
  </si>
  <si>
    <t>Bindoy Negros Oriental-FS</t>
  </si>
  <si>
    <t>SMMC</t>
  </si>
  <si>
    <t>SM Megacenter Cabanatuan</t>
  </si>
  <si>
    <t>ZSAM</t>
  </si>
  <si>
    <t>Santa Maria Davao Occidental</t>
  </si>
  <si>
    <t>ZLTC</t>
  </si>
  <si>
    <t>Lutopan Toledo City-FS</t>
  </si>
  <si>
    <t>ZUDC</t>
  </si>
  <si>
    <t>Uyanguren Davao City-FS</t>
  </si>
  <si>
    <t>VEMM</t>
  </si>
  <si>
    <t>Venice Mckinley Mall</t>
  </si>
  <si>
    <t>PIT2</t>
  </si>
  <si>
    <t>Paranaque Integrated Terminal Exchange 2</t>
  </si>
  <si>
    <t>SGMM</t>
  </si>
  <si>
    <t>Southgate Mall Makati</t>
  </si>
  <si>
    <t>ZKTECO</t>
  </si>
  <si>
    <t>CQUJ233561279</t>
  </si>
  <si>
    <t>192.168.1.201</t>
  </si>
  <si>
    <t>ZTUA</t>
  </si>
  <si>
    <t>Tuao Cagayan Valley-FS</t>
  </si>
  <si>
    <t>ZWAO</t>
  </si>
  <si>
    <t>Wao Lanao del Sur-FS</t>
  </si>
  <si>
    <t>TQSM</t>
  </si>
  <si>
    <t>The Square Mall 2</t>
  </si>
  <si>
    <t>ZBNC</t>
  </si>
  <si>
    <t>Banisilan Cotabato-FS</t>
  </si>
  <si>
    <t>ZKLC</t>
  </si>
  <si>
    <t>Kalilangan Centro-FS</t>
  </si>
  <si>
    <t>SMCD</t>
  </si>
  <si>
    <t>SM City Daet</t>
  </si>
  <si>
    <t>SMHI</t>
  </si>
  <si>
    <t>SM Hypermarket Iloilo</t>
  </si>
  <si>
    <t>ZBGB</t>
  </si>
  <si>
    <t>Baungon Bukidnon-FS</t>
  </si>
  <si>
    <t>AY30</t>
  </si>
  <si>
    <t>Ayala Malls The 30th</t>
  </si>
  <si>
    <t>AEYU082360215</t>
  </si>
  <si>
    <t>ZOES</t>
  </si>
  <si>
    <t>Oras Eastern Samar-FS</t>
  </si>
  <si>
    <t>ZSBS</t>
  </si>
  <si>
    <t>Saint Bernard Southern Leyte-FS</t>
  </si>
  <si>
    <t>ZBSD</t>
  </si>
  <si>
    <t>Baloc Sto. Domingo Nueva Ecija-FS</t>
  </si>
  <si>
    <t>SM City Puerto Princesa</t>
  </si>
  <si>
    <t>ZAFM</t>
  </si>
  <si>
    <t>AS Fortuna Mandaue-FS</t>
  </si>
  <si>
    <t>Red Square Bagbaguin</t>
  </si>
  <si>
    <t>SM City Sto. Tomas Batangas</t>
  </si>
  <si>
    <t>VSTS</t>
  </si>
  <si>
    <t>Victory Central Mall Sta. Rosa</t>
  </si>
  <si>
    <t>LKKC</t>
  </si>
  <si>
    <t>Limketkai Center</t>
  </si>
  <si>
    <t>MSMT</t>
  </si>
  <si>
    <t>Massway Mall Tanay</t>
  </si>
  <si>
    <t>ZKM6251700027</t>
  </si>
  <si>
    <t>ZLBS</t>
  </si>
  <si>
    <t>Lamitan Basilan-FS</t>
  </si>
  <si>
    <t>GSBT</t>
  </si>
  <si>
    <t>Gaisano Butuan</t>
  </si>
  <si>
    <t>ZJNO</t>
  </si>
  <si>
    <t>Jimalalud Negros Oriental-FS</t>
  </si>
  <si>
    <t>ZCRC</t>
  </si>
  <si>
    <t>Caramoan Camarines Sur-FS</t>
  </si>
  <si>
    <t>SMSG</t>
  </si>
  <si>
    <t>SM Sangandaan</t>
  </si>
  <si>
    <t>Incoming Stores</t>
  </si>
  <si>
    <t>PMGL</t>
  </si>
  <si>
    <t>Primark Gilmar</t>
  </si>
  <si>
    <t>ZMSU</t>
  </si>
  <si>
    <t>Marawi MSU-FS</t>
  </si>
  <si>
    <t>SPRA</t>
  </si>
  <si>
    <t>Super 8 Angeles</t>
  </si>
  <si>
    <t>PGPC</t>
  </si>
  <si>
    <t>Puregold Paco</t>
  </si>
  <si>
    <t>ZSMT</t>
  </si>
  <si>
    <t>San Miguel Tagum-FS</t>
  </si>
  <si>
    <t>ZMKL</t>
  </si>
  <si>
    <t>Makilala North Cotabato-FS</t>
  </si>
  <si>
    <t>AYMC</t>
  </si>
  <si>
    <t>Ayala Malls Circuit (Flagship)</t>
  </si>
  <si>
    <t>ZECN</t>
  </si>
  <si>
    <t>Escalante City Negros Occidental-FS</t>
  </si>
  <si>
    <t>ZTPB</t>
  </si>
  <si>
    <t>Tanza Poblacion-FS</t>
  </si>
  <si>
    <t>STTP</t>
  </si>
  <si>
    <t>Santolan Town Plaza</t>
  </si>
  <si>
    <t>ZSCD</t>
  </si>
  <si>
    <t>Sta. Cruz Davao del Sur-FS</t>
  </si>
  <si>
    <t>ZCBT</t>
  </si>
  <si>
    <t>Cabatuan Iloilo-FS</t>
  </si>
  <si>
    <t>ZTLK</t>
  </si>
  <si>
    <t>Talakag Bukidnon-FS</t>
  </si>
  <si>
    <t>VSGT</t>
  </si>
  <si>
    <t>Vista General Trias</t>
  </si>
  <si>
    <t>ZMLS</t>
  </si>
  <si>
    <t>Malandag Sarangani-FS</t>
  </si>
  <si>
    <t>ZPCI</t>
  </si>
  <si>
    <t>Passi City Iloilo 2-FS</t>
  </si>
  <si>
    <t>GGSJ</t>
  </si>
  <si>
    <t>Gaisano Grand San Jose Antique</t>
  </si>
  <si>
    <t>ZLSB</t>
  </si>
  <si>
    <t>La Salle Ave. Bacolod-FS</t>
  </si>
  <si>
    <t>TDSA</t>
  </si>
  <si>
    <t>The District Ayala</t>
  </si>
  <si>
    <t>PGMC</t>
  </si>
  <si>
    <t>Puregold Marcos Alvares</t>
  </si>
  <si>
    <t>ZWAQ</t>
  </si>
  <si>
    <t>West Ave Quezon City-FS</t>
  </si>
  <si>
    <t>MPST</t>
  </si>
  <si>
    <t>M Place South Triangle</t>
  </si>
  <si>
    <t>VRTC</t>
  </si>
  <si>
    <t>Virac Town Center</t>
  </si>
  <si>
    <t>ZSBB</t>
  </si>
  <si>
    <t>Sagbayan Bohol-FS</t>
  </si>
  <si>
    <t>ZLCS</t>
  </si>
  <si>
    <t>Lagonoy Camarines Sur-FS</t>
  </si>
  <si>
    <t>ZBDC</t>
  </si>
  <si>
    <t>Bolton Davao City-FS</t>
  </si>
  <si>
    <t>PTBG</t>
  </si>
  <si>
    <t>Porta Vaga Baguio</t>
  </si>
  <si>
    <t>PSKG</t>
  </si>
  <si>
    <t>Pasong Kawayan II Gen Trias</t>
  </si>
  <si>
    <t>ZBCG</t>
  </si>
  <si>
    <t>Ballesteros Cagayan-FS</t>
  </si>
  <si>
    <t>7STB</t>
  </si>
  <si>
    <t>7S Tubigon Bohol-FS</t>
  </si>
  <si>
    <t>JLCL</t>
  </si>
  <si>
    <t>J7 Lifestyle Complex Iloilo</t>
  </si>
  <si>
    <t>ZSAC</t>
  </si>
  <si>
    <t>San Andres Catanduanes-FS</t>
  </si>
  <si>
    <t>SRGT</t>
  </si>
  <si>
    <t>Sta Rosa Gateway Toplite</t>
  </si>
  <si>
    <t>ZLBU</t>
  </si>
  <si>
    <t>Labuan Zamboanga City-FS</t>
  </si>
  <si>
    <t>MTCC</t>
  </si>
  <si>
    <t>Molino Town Center Cavite</t>
  </si>
  <si>
    <t>IAPL</t>
  </si>
  <si>
    <t>iMall Antipolo</t>
  </si>
  <si>
    <t>FINGERTEC</t>
  </si>
  <si>
    <t>WMKT</t>
  </si>
  <si>
    <t>Waltermart Makati</t>
  </si>
  <si>
    <t>XROD</t>
  </si>
  <si>
    <t>Xentromall Rodriguez</t>
  </si>
  <si>
    <t>CQUJ233561147</t>
  </si>
  <si>
    <t>ZMGT</t>
  </si>
  <si>
    <t>Manggahan Pasig-FS</t>
  </si>
  <si>
    <t>ZKM6251700111</t>
  </si>
  <si>
    <t>ZBCO</t>
  </si>
  <si>
    <t>Bulua Cagayan de Oro-FS</t>
  </si>
  <si>
    <t>ZQPL</t>
  </si>
  <si>
    <t>Quezon Palawan-FS</t>
  </si>
  <si>
    <t>SMHA</t>
  </si>
  <si>
    <t>SM Hypermarket Antipolo</t>
  </si>
  <si>
    <t>ZKM651700112</t>
  </si>
  <si>
    <t xml:space="preserve"> 192.168.1.201</t>
  </si>
  <si>
    <t>ZDDO</t>
  </si>
  <si>
    <t>Dalican Datu Odin Sinsuat-FS</t>
  </si>
  <si>
    <t>ZLBZ</t>
  </si>
  <si>
    <t>Labangan Zamboanga-FS</t>
  </si>
  <si>
    <t>ZMNK</t>
  </si>
  <si>
    <t>Manukan Zamboanga Del Norte-FS</t>
  </si>
  <si>
    <t>SMIM</t>
  </si>
  <si>
    <t>SM Iloilo Markets- Terminal</t>
  </si>
  <si>
    <t>OPCC</t>
  </si>
  <si>
    <t>One Pacita Cebu City</t>
  </si>
  <si>
    <t>STCB</t>
  </si>
  <si>
    <t>Starmall Talisay Cebu</t>
  </si>
  <si>
    <t>MGTC</t>
  </si>
  <si>
    <t>Mangaldan Town Center</t>
  </si>
  <si>
    <t>ZIBJ</t>
  </si>
  <si>
    <t>Ibajay Aklan-FS</t>
  </si>
  <si>
    <t>GGCA</t>
  </si>
  <si>
    <t>Gaisano Grand Cabadbaran</t>
  </si>
  <si>
    <t>ZCD2</t>
  </si>
  <si>
    <t>Calinan Davao City 2-FS</t>
  </si>
  <si>
    <t>GSGA</t>
  </si>
  <si>
    <t>Gaisano Grand Argao</t>
  </si>
  <si>
    <t>ZMTA</t>
  </si>
  <si>
    <t>Matina Aplaya-FS</t>
  </si>
  <si>
    <t>TSQM</t>
  </si>
  <si>
    <t>Talavera Square Mall Ilagan</t>
  </si>
  <si>
    <t>PGEM</t>
  </si>
  <si>
    <t>Pergola Emapalico</t>
  </si>
  <si>
    <t>OVPC</t>
  </si>
  <si>
    <t>Olivarez Plaza Calamba</t>
  </si>
  <si>
    <t>ZCPO</t>
  </si>
  <si>
    <t>Capoocan Leyte-FS</t>
  </si>
  <si>
    <t>ZMBI</t>
  </si>
  <si>
    <t>Mabini Batangas-FS</t>
  </si>
  <si>
    <t>CCMA</t>
  </si>
  <si>
    <t>City Center Matatalaib</t>
  </si>
  <si>
    <t>ZKLN</t>
  </si>
  <si>
    <t>Kolambugan Lanao del Norte-FS</t>
  </si>
  <si>
    <t>ZBNA</t>
  </si>
  <si>
    <t>Bunawan Agusan del Sur-FS</t>
  </si>
  <si>
    <t>UPBB</t>
  </si>
  <si>
    <t>Upper Bonifacio Baguio</t>
  </si>
  <si>
    <t>LBCS</t>
  </si>
  <si>
    <t>Libmanan Camsur</t>
  </si>
  <si>
    <t>ZTIG</t>
  </si>
  <si>
    <t>Tigbauan Iloilo-FS</t>
  </si>
  <si>
    <t>ZDMC</t>
  </si>
  <si>
    <t>Dumalag Capiz-FS</t>
  </si>
  <si>
    <t>ZSIT</t>
  </si>
  <si>
    <t>Sta. Ignacia Tarlac-FS</t>
  </si>
  <si>
    <t>ZKBP</t>
  </si>
  <si>
    <t>Kabihasnan Paranaque-FS</t>
  </si>
  <si>
    <t>SHWC</t>
  </si>
  <si>
    <t>Shaw Center</t>
  </si>
  <si>
    <t>7SLB</t>
  </si>
  <si>
    <t>7S Loon Bohol</t>
  </si>
  <si>
    <t>SVMP</t>
  </si>
  <si>
    <t>Savemore Project 8 QC</t>
  </si>
  <si>
    <t>SJAI</t>
  </si>
  <si>
    <t>San Juan Arcade Ilocos Sur</t>
  </si>
  <si>
    <t>ZGRN</t>
  </si>
  <si>
    <t>Gerona Tarlac-FS</t>
  </si>
  <si>
    <t>PGSJ</t>
  </si>
  <si>
    <t>Puregold San Joaquin Pasig</t>
  </si>
  <si>
    <t>NPAG</t>
  </si>
  <si>
    <t>New Point Angeles</t>
  </si>
  <si>
    <t>MNYT</t>
  </si>
  <si>
    <t>Minuyan Towerville Arcade</t>
  </si>
  <si>
    <t>SJBA</t>
  </si>
  <si>
    <t>San Jose Batangas Arcade</t>
  </si>
  <si>
    <t>SCPA</t>
  </si>
  <si>
    <t>Stotsenberg Center Pampanga Angeles</t>
  </si>
  <si>
    <t>ZPPA</t>
  </si>
  <si>
    <t>Prosperidad Agusan del Sur-FS</t>
  </si>
  <si>
    <t>PGBT</t>
  </si>
  <si>
    <t>Puregold Bustos</t>
  </si>
  <si>
    <t>ZGBI</t>
  </si>
  <si>
    <t>Guimbal Iloilo</t>
  </si>
  <si>
    <t>PGTT</t>
  </si>
  <si>
    <t>Puregold Taytay</t>
  </si>
  <si>
    <t>PAS4252900269</t>
  </si>
  <si>
    <t>ZAGC</t>
  </si>
  <si>
    <t>Argao Cebu</t>
  </si>
  <si>
    <t>ZSMA</t>
  </si>
  <si>
    <t>Sta. Maria Bulacan-FS</t>
  </si>
  <si>
    <t>RMRG</t>
  </si>
  <si>
    <t>RMR Guiguinto</t>
  </si>
  <si>
    <t>ZSCI</t>
  </si>
  <si>
    <t>Santa Cruz Ilocos Sur-FS</t>
  </si>
  <si>
    <t>ZMD2</t>
  </si>
  <si>
    <t>Mati Davao Oriental 2-FS</t>
  </si>
  <si>
    <t>ZAMO</t>
  </si>
  <si>
    <t>Alubijid Misamis Oriental-FS</t>
  </si>
  <si>
    <t>ZJMO</t>
  </si>
  <si>
    <t>Jimenez Misamis Occidental-FS</t>
  </si>
  <si>
    <t>ZLMO</t>
  </si>
  <si>
    <t>Lugait Misamis Oriental-FS</t>
  </si>
  <si>
    <t>ZCLT</t>
  </si>
  <si>
    <t>Carmen Lemon Town CDO-FS</t>
  </si>
  <si>
    <t>El Salvador Misamis Oriental-FS</t>
  </si>
  <si>
    <t>Tulunan Cotabato-FS</t>
  </si>
  <si>
    <t>ZIRO</t>
  </si>
  <si>
    <t>Irosin Sorsogon-FS</t>
  </si>
  <si>
    <t>Xentro Mall Polangui</t>
  </si>
  <si>
    <t>MAAC</t>
  </si>
  <si>
    <t>Maasin Commercial</t>
  </si>
  <si>
    <t>Clarin Mall</t>
  </si>
  <si>
    <t>VTMN</t>
  </si>
  <si>
    <t>Vista Mall Nomo</t>
  </si>
  <si>
    <t>BTLP</t>
  </si>
  <si>
    <t>Better Living Paranaque</t>
  </si>
  <si>
    <t>EVLC</t>
  </si>
  <si>
    <t>Evia Lifestyle Center</t>
  </si>
  <si>
    <t>ZMGL</t>
  </si>
  <si>
    <t>Magalang Pampanga-FS</t>
  </si>
  <si>
    <t>ZSEM</t>
  </si>
  <si>
    <t>Sta. Elena Marikina City-FS</t>
  </si>
  <si>
    <t>ZEAP</t>
  </si>
  <si>
    <t>EPZA Angeles Pampanga-FS</t>
  </si>
  <si>
    <t>Gmall Gensan</t>
  </si>
  <si>
    <t>The Bermuda</t>
  </si>
  <si>
    <t>Salay Misamis Oriental-FS</t>
  </si>
  <si>
    <t>Pacific Place Baguio</t>
  </si>
  <si>
    <t>Waltermart San Rafael</t>
  </si>
  <si>
    <t>ZCTR</t>
  </si>
  <si>
    <t>Cristo Rey Capas-FS</t>
  </si>
  <si>
    <t>CMCA</t>
  </si>
  <si>
    <t>Camalaniugan Cagayan Arcade</t>
  </si>
  <si>
    <t>Carmen Cotabato-FS</t>
  </si>
  <si>
    <t>ZMOL</t>
  </si>
  <si>
    <t>Molo Iloilo-FS</t>
  </si>
  <si>
    <t>San Joaquin Iloilo-FS</t>
  </si>
  <si>
    <t>Ivisan Capiz-FS</t>
  </si>
  <si>
    <t>Candon Ilocos Sur-FS</t>
  </si>
  <si>
    <t>Lemery Iloilo-FS</t>
  </si>
  <si>
    <t>Calbiga Samar-FS</t>
  </si>
  <si>
    <t>Kisolon Sumilao Bukidnon-FS</t>
  </si>
  <si>
    <t>ZPRS</t>
  </si>
  <si>
    <t>Paranas Samar-FS</t>
  </si>
  <si>
    <t>Libona Bukidnon-FS</t>
  </si>
  <si>
    <t>Primark Mexico</t>
  </si>
  <si>
    <t>Puregold Sta. Ana</t>
  </si>
  <si>
    <t>Valencia Bukidnon Arcade</t>
  </si>
  <si>
    <t>Yspacio Creative Park - Tanza</t>
  </si>
  <si>
    <t>Puan Talomo Davao City-FS</t>
  </si>
  <si>
    <t>ZPRN</t>
  </si>
  <si>
    <t>President Roxas North Cotabato-FS</t>
  </si>
  <si>
    <t>Dumangas Iloilo-FS</t>
  </si>
  <si>
    <t>Basak Cebu City-FS</t>
  </si>
  <si>
    <t>ISTR</t>
  </si>
  <si>
    <t>Isetann Recto</t>
  </si>
  <si>
    <t>CGTC</t>
  </si>
  <si>
    <t>Cogeo Town Center</t>
  </si>
  <si>
    <t>ZMNB</t>
  </si>
  <si>
    <t>Matnog Bicol-FS</t>
  </si>
  <si>
    <t>PGAN</t>
  </si>
  <si>
    <t>Puregold Anabu</t>
  </si>
  <si>
    <t>ZALP</t>
  </si>
  <si>
    <t>Aria Las Pinas-FS</t>
  </si>
  <si>
    <t>ZPKL</t>
  </si>
  <si>
    <t>Pakil Laguna-FS</t>
  </si>
  <si>
    <t>ORQT</t>
  </si>
  <si>
    <t>Oroquita Metro Central</t>
  </si>
  <si>
    <t>ZCTI</t>
  </si>
  <si>
    <t>Cabatuan Isabela-FS</t>
  </si>
  <si>
    <t>ZJHO</t>
  </si>
  <si>
    <t>San Jose Highway Occidental Mindoro FS</t>
  </si>
  <si>
    <t>DMCA</t>
  </si>
  <si>
    <t>Dumanjug Cebu Arcade</t>
  </si>
  <si>
    <t>NGBA</t>
  </si>
  <si>
    <t>Norzagaray Bulacan Arcade</t>
  </si>
  <si>
    <t>ZBTI</t>
  </si>
  <si>
    <t>Batac Ilocos Norte 2-FS</t>
  </si>
  <si>
    <t>ZMIS</t>
  </si>
  <si>
    <t>Magsingal Ilocos Sur-FS</t>
  </si>
  <si>
    <t>SFND</t>
  </si>
  <si>
    <t>San Fernando Arcade La Union</t>
  </si>
  <si>
    <t>ZDN2</t>
  </si>
  <si>
    <t>Dinalupihan Bataan 2 FS</t>
  </si>
  <si>
    <t>Dauis Bohol-FS</t>
  </si>
  <si>
    <t>ZCBP</t>
  </si>
  <si>
    <t>Calibutbot Bocolor Pampanga FS</t>
  </si>
  <si>
    <t>ZSRZ</t>
  </si>
  <si>
    <t>San Roque Zamboanga City-FS</t>
  </si>
  <si>
    <t>CRTA</t>
  </si>
  <si>
    <t>Carig Tuguegarao Arcade</t>
  </si>
  <si>
    <t>ZCGO</t>
  </si>
  <si>
    <t>Cogon Ormoc-FS</t>
  </si>
  <si>
    <t>Clarin Mall Misamis Occidental</t>
  </si>
  <si>
    <t>VTDV</t>
  </si>
  <si>
    <t>Vistamall Davao</t>
  </si>
  <si>
    <t>SMWR</t>
  </si>
  <si>
    <t>SMDC Wind Residences</t>
  </si>
  <si>
    <t>LGIA</t>
  </si>
  <si>
    <t>Lagawe Ifugao Arcade</t>
  </si>
  <si>
    <t>ZALD</t>
  </si>
  <si>
    <t>Anislag Daraga-FS</t>
  </si>
  <si>
    <t>PRKM</t>
  </si>
  <si>
    <t>Parkmall</t>
  </si>
  <si>
    <t>Stage 7 - Installed</t>
  </si>
  <si>
    <t>ZKM6251700218</t>
  </si>
  <si>
    <t>FISH</t>
  </si>
  <si>
    <t>Fisher Mall</t>
  </si>
  <si>
    <t>ZKM6245100111</t>
  </si>
  <si>
    <t>WSFN</t>
  </si>
  <si>
    <t>Waltermart San Fernando</t>
  </si>
  <si>
    <t>SLUC</t>
  </si>
  <si>
    <t>Sta Lucia</t>
  </si>
  <si>
    <t>WSMR</t>
  </si>
  <si>
    <t>Waltermart Sta Maria</t>
  </si>
  <si>
    <t>VGEH</t>
  </si>
  <si>
    <t>Victory Good Earth</t>
  </si>
  <si>
    <t>XCLP</t>
  </si>
  <si>
    <t>Xentro Calapan</t>
  </si>
  <si>
    <t>PKBK</t>
  </si>
  <si>
    <t>Puregold Kabankalan</t>
  </si>
  <si>
    <t>CDNA</t>
  </si>
  <si>
    <t>Citymall Danao</t>
  </si>
  <si>
    <t>CIPN</t>
  </si>
  <si>
    <t>Citymall Iponan</t>
  </si>
  <si>
    <t>ZKM6251700391</t>
  </si>
  <si>
    <t>CRXS</t>
  </si>
  <si>
    <t>Citymall Roxas</t>
  </si>
  <si>
    <t>WDMR</t>
  </si>
  <si>
    <t>Waltermart Dasmarinas</t>
  </si>
  <si>
    <t>CBML</t>
  </si>
  <si>
    <t>CB Mall</t>
  </si>
  <si>
    <t>CISL</t>
  </si>
  <si>
    <t>Citymall Isulan</t>
  </si>
  <si>
    <t>ZKM6245100222</t>
  </si>
  <si>
    <t>MNNA</t>
  </si>
  <si>
    <t>Manna Mall</t>
  </si>
  <si>
    <t>WSCT</t>
  </si>
  <si>
    <t>Waltermart Sucat</t>
  </si>
  <si>
    <t>PAS4253000047</t>
  </si>
  <si>
    <t>WCBN</t>
  </si>
  <si>
    <t>Waltermart Cabanatuan</t>
  </si>
  <si>
    <t>SDET</t>
  </si>
  <si>
    <t>SM Hypermarket Daet</t>
  </si>
  <si>
    <t>ZKM6245100234</t>
  </si>
  <si>
    <t>EGCW</t>
  </si>
  <si>
    <t>Ever Gotesco Commonwealth</t>
  </si>
  <si>
    <t>192.168.1.206</t>
  </si>
  <si>
    <t>WSBC</t>
  </si>
  <si>
    <t>Waltermart Subic</t>
  </si>
  <si>
    <t>ZKM6245100223</t>
  </si>
  <si>
    <t>CMDL</t>
  </si>
  <si>
    <t>Citymall Mandalagan</t>
  </si>
  <si>
    <t>STGG</t>
  </si>
  <si>
    <t>SM Hypermarket Taguig</t>
  </si>
  <si>
    <t>ZCGN</t>
  </si>
  <si>
    <t>CDO Cogon</t>
  </si>
  <si>
    <t>AFLZ</t>
  </si>
  <si>
    <t>Ayala Feliz</t>
  </si>
  <si>
    <t>AMRK</t>
  </si>
  <si>
    <t>Ayala Marikina</t>
  </si>
  <si>
    <t>ZKM6245100263</t>
  </si>
  <si>
    <t>192.168.201</t>
  </si>
  <si>
    <t>BWMQ</t>
  </si>
  <si>
    <t>Bluewave Marquinton</t>
  </si>
  <si>
    <t>FMLB</t>
  </si>
  <si>
    <t>Fishermall Malabon</t>
  </si>
  <si>
    <t>ASBB</t>
  </si>
  <si>
    <t>Ayala Subic Bay</t>
  </si>
  <si>
    <t>WEDS</t>
  </si>
  <si>
    <t>Waltermart North Edsa</t>
  </si>
  <si>
    <t>ZKM6245100235</t>
  </si>
  <si>
    <t>WSTS</t>
  </si>
  <si>
    <t>Waltermart Sta Rosa</t>
  </si>
  <si>
    <t>ZOLG</t>
  </si>
  <si>
    <t>Olongapo-FS</t>
  </si>
  <si>
    <t>GDGS</t>
  </si>
  <si>
    <t>Gaisano Digos</t>
  </si>
  <si>
    <t>NSLG</t>
  </si>
  <si>
    <t>North Star Ilagan</t>
  </si>
  <si>
    <t>GTRL</t>
  </si>
  <si>
    <t>Gaisano Toril</t>
  </si>
  <si>
    <t>SRSR</t>
  </si>
  <si>
    <t>SM Hypermarket Rosario</t>
  </si>
  <si>
    <t>ZKM6245100227</t>
  </si>
  <si>
    <t>SHWD</t>
  </si>
  <si>
    <t>Southwoods</t>
  </si>
  <si>
    <t>ZKM6245100285</t>
  </si>
  <si>
    <t>LTSM</t>
  </si>
  <si>
    <t>Lotus Mall</t>
  </si>
  <si>
    <t>GPVA</t>
  </si>
  <si>
    <t>GT Town Center Pavia</t>
  </si>
  <si>
    <t>PAS4252900181</t>
  </si>
  <si>
    <t>WBLG</t>
  </si>
  <si>
    <t>Waltermart Balanga</t>
  </si>
  <si>
    <t>AFVT</t>
  </si>
  <si>
    <t>Ayala Fairview Terraces</t>
  </si>
  <si>
    <t>PGUB</t>
  </si>
  <si>
    <t>Puregold Ubay</t>
  </si>
  <si>
    <t>ZKM6251500007</t>
  </si>
  <si>
    <t>JJAG</t>
  </si>
  <si>
    <t>Jumbo Jenra Angeles</t>
  </si>
  <si>
    <t>ZKM6245100116</t>
  </si>
  <si>
    <t>GTGM</t>
  </si>
  <si>
    <t>Gaisano Tagum</t>
  </si>
  <si>
    <t>WPNQ</t>
  </si>
  <si>
    <t>Waltermart Paniqui</t>
  </si>
  <si>
    <t>192.168.1.230</t>
  </si>
  <si>
    <t>PLGP</t>
  </si>
  <si>
    <t>Pacific Mall Legazpi</t>
  </si>
  <si>
    <t>CCLC</t>
  </si>
  <si>
    <t>Circle C</t>
  </si>
  <si>
    <t>LCCM</t>
  </si>
  <si>
    <t>LCC Mall Daraga</t>
  </si>
  <si>
    <t>ZKM6245100238</t>
  </si>
  <si>
    <t>XBLT</t>
  </si>
  <si>
    <t>Xentro Balagtas</t>
  </si>
  <si>
    <t>EZBH</t>
  </si>
  <si>
    <t>Elizabeth Mall</t>
  </si>
  <si>
    <t>ZSPL</t>
  </si>
  <si>
    <t>San Pablo Lubao-FS</t>
  </si>
  <si>
    <t>ZKM6251700156</t>
  </si>
  <si>
    <t>WBTG</t>
  </si>
  <si>
    <t>Waltermart Batangas</t>
  </si>
  <si>
    <t>PBYW</t>
  </si>
  <si>
    <t>Puregold Bayawan</t>
  </si>
  <si>
    <t>OLVR</t>
  </si>
  <si>
    <t>Olivarez Plaza Los Banos</t>
  </si>
  <si>
    <t>MRMC</t>
  </si>
  <si>
    <t>Marymart Center</t>
  </si>
  <si>
    <t>LCP2</t>
  </si>
  <si>
    <t>LCC Mall Polangui 2</t>
  </si>
  <si>
    <t>PWCB</t>
  </si>
  <si>
    <t>Primeway Cebu</t>
  </si>
  <si>
    <t>ZATC</t>
  </si>
  <si>
    <t>Abucay Tacloban City</t>
  </si>
  <si>
    <t>ZKM6251400199</t>
  </si>
  <si>
    <t>CTWK</t>
  </si>
  <si>
    <t>Citywalk</t>
  </si>
  <si>
    <t>TSDV</t>
  </si>
  <si>
    <t>Time Square Davao</t>
  </si>
  <si>
    <t>SCDZ</t>
  </si>
  <si>
    <t>SM Hypermarket Cadiz</t>
  </si>
  <si>
    <t>XMLL</t>
  </si>
  <si>
    <t>Xentro Mall Malolos</t>
  </si>
  <si>
    <t>MTNT</t>
  </si>
  <si>
    <t>Mactan Town</t>
  </si>
  <si>
    <t>PMMT</t>
  </si>
  <si>
    <t>Puregold Monumento</t>
  </si>
  <si>
    <t>192.168.1.202</t>
  </si>
  <si>
    <t>ZLGN</t>
  </si>
  <si>
    <t>Iligan-FS</t>
  </si>
  <si>
    <t>CGDF</t>
  </si>
  <si>
    <t>Citymall Golden Fields</t>
  </si>
  <si>
    <t>ZSJA</t>
  </si>
  <si>
    <t>San Jose Antique - FS</t>
  </si>
  <si>
    <t>CQUJ233561107</t>
  </si>
  <si>
    <t>VATP</t>
  </si>
  <si>
    <t>Victory Antipolo</t>
  </si>
  <si>
    <t>ZDMG</t>
  </si>
  <si>
    <t>Dumaguete-FS</t>
  </si>
  <si>
    <t>192.168.1.237</t>
  </si>
  <si>
    <t>CVTR</t>
  </si>
  <si>
    <t>Citymall Victorias</t>
  </si>
  <si>
    <t>CPPR</t>
  </si>
  <si>
    <t>Chinatown Puerto Princesa</t>
  </si>
  <si>
    <t>ZKLB</t>
  </si>
  <si>
    <t>Kalibo-FS</t>
  </si>
  <si>
    <t>WMKL</t>
  </si>
  <si>
    <t>Waltermart Makiling</t>
  </si>
  <si>
    <t>MTRT</t>
  </si>
  <si>
    <t>Metro Town Mall</t>
  </si>
  <si>
    <t>192.168.1.234</t>
  </si>
  <si>
    <t>ZVGN</t>
  </si>
  <si>
    <t>Vigan FS</t>
  </si>
  <si>
    <t>ZHDG</t>
  </si>
  <si>
    <t>Hidalgo Quiapo-FS</t>
  </si>
  <si>
    <t>PBBG</t>
  </si>
  <si>
    <t>Primark Bambang</t>
  </si>
  <si>
    <t>PCYN</t>
  </si>
  <si>
    <t>Primark Cauayan</t>
  </si>
  <si>
    <t>SMFT</t>
  </si>
  <si>
    <t>Savemore Market Fortune Town</t>
  </si>
  <si>
    <t>PMTC</t>
  </si>
  <si>
    <t>Primark Tacurong</t>
  </si>
  <si>
    <t>192.168.1.9</t>
  </si>
  <si>
    <t>ZBCB</t>
  </si>
  <si>
    <t>Balamban Cebu-FS</t>
  </si>
  <si>
    <t>ZBLS</t>
  </si>
  <si>
    <t>Bulihan Silang-FS</t>
  </si>
  <si>
    <t>ZGPP</t>
  </si>
  <si>
    <t>Guagua Pampanga-FS</t>
  </si>
  <si>
    <t>PLCN</t>
  </si>
  <si>
    <t>Pacific Mall Lucena</t>
  </si>
  <si>
    <t>ZKM6251700130</t>
  </si>
  <si>
    <t>ZDPL</t>
  </si>
  <si>
    <t>Dipolog-FS</t>
  </si>
  <si>
    <t>ZCVT</t>
  </si>
  <si>
    <t>Cavite City-FS</t>
  </si>
  <si>
    <t>ZBLA</t>
  </si>
  <si>
    <t>Balanga-FS</t>
  </si>
  <si>
    <t>CTBT</t>
  </si>
  <si>
    <t>Citimart Batangas</t>
  </si>
  <si>
    <t>WMAL</t>
  </si>
  <si>
    <t>W-Mall</t>
  </si>
  <si>
    <t>PKGH</t>
  </si>
  <si>
    <t>Primark Kasiglahan</t>
  </si>
  <si>
    <t>ABCL</t>
  </si>
  <si>
    <t>Ayala Capitol Bacolod</t>
  </si>
  <si>
    <t>GSMR</t>
  </si>
  <si>
    <t>Gaisano Marquee Mall</t>
  </si>
  <si>
    <t>ZOMZ</t>
  </si>
  <si>
    <t>Ozamiz-FS</t>
  </si>
  <si>
    <t>WMCP</t>
  </si>
  <si>
    <t>Waltermart Capas</t>
  </si>
  <si>
    <t>GSCL</t>
  </si>
  <si>
    <t>Gaisano Capital San Carlos</t>
  </si>
  <si>
    <t>C3PD</t>
  </si>
  <si>
    <t>C3 Pagadian</t>
  </si>
  <si>
    <t>SNVL</t>
  </si>
  <si>
    <t>SM Hypermarket Novaliches</t>
  </si>
  <si>
    <t>WMLL</t>
  </si>
  <si>
    <t>Waltermart Malolos</t>
  </si>
  <si>
    <t>ZVLC</t>
  </si>
  <si>
    <t>Valencia-FS</t>
  </si>
  <si>
    <t>ICMT</t>
  </si>
  <si>
    <t>Island Central Mactan</t>
  </si>
  <si>
    <t>GSCS</t>
  </si>
  <si>
    <t>Gaisano Camsur</t>
  </si>
  <si>
    <t>ZKM6245100272</t>
  </si>
  <si>
    <t>ZBGC</t>
  </si>
  <si>
    <t>Bago City-FS</t>
  </si>
  <si>
    <t>ZCBY</t>
  </si>
  <si>
    <t>Calbayog City-FS</t>
  </si>
  <si>
    <t>UNTP</t>
  </si>
  <si>
    <t>UN Times Plaza</t>
  </si>
  <si>
    <t>GRNH</t>
  </si>
  <si>
    <t>Greenhills</t>
  </si>
  <si>
    <t>WCDL</t>
  </si>
  <si>
    <t>Waltermart Candelaria</t>
  </si>
  <si>
    <t>GTML</t>
  </si>
  <si>
    <t>GT Plaza Mall Molo</t>
  </si>
  <si>
    <t>IBTC</t>
  </si>
  <si>
    <t>Iba Town Center</t>
  </si>
  <si>
    <t>ZKM6245100147</t>
  </si>
  <si>
    <t>ZTLB</t>
  </si>
  <si>
    <t>Tacloban-FS</t>
  </si>
  <si>
    <t>SIDB</t>
  </si>
  <si>
    <t>SICC San Ildefonso Bulacan</t>
  </si>
  <si>
    <t>192.168.1.200</t>
  </si>
  <si>
    <t>TDST</t>
  </si>
  <si>
    <t>Tiendesitas</t>
  </si>
  <si>
    <t>ZCLB</t>
  </si>
  <si>
    <t>Calamba City Laguna-FS</t>
  </si>
  <si>
    <t>CLTC</t>
  </si>
  <si>
    <t>Colours Town Center</t>
  </si>
  <si>
    <t>GTLB</t>
  </si>
  <si>
    <t>Gaisano Tacloban</t>
  </si>
  <si>
    <t>ZKM6251500018</t>
  </si>
  <si>
    <t>ENGA</t>
  </si>
  <si>
    <t>E-Mall Naga</t>
  </si>
  <si>
    <t>ZKM6251500321</t>
  </si>
  <si>
    <t>CMOT</t>
  </si>
  <si>
    <t>Choice Market Ortigas</t>
  </si>
  <si>
    <t>GATC</t>
  </si>
  <si>
    <t>Gaisano Alabang Town Center</t>
  </si>
  <si>
    <t>ZMTB</t>
  </si>
  <si>
    <t>Montalban-FS</t>
  </si>
  <si>
    <t>RVBK</t>
  </si>
  <si>
    <t>Riverbanks</t>
  </si>
  <si>
    <t>PAS4252500115</t>
  </si>
  <si>
    <t>CMBG</t>
  </si>
  <si>
    <t>CentralMall Binangonan</t>
  </si>
  <si>
    <t>192.168.3.44</t>
  </si>
  <si>
    <t>LCCN</t>
  </si>
  <si>
    <t>LCC Mall Naga</t>
  </si>
  <si>
    <t>ZKM6245100104</t>
  </si>
  <si>
    <t>ZSSG</t>
  </si>
  <si>
    <t>Sorsogon City-FS</t>
  </si>
  <si>
    <t>NGLN</t>
  </si>
  <si>
    <t>Naguilian</t>
  </si>
  <si>
    <t>ZPGS</t>
  </si>
  <si>
    <t>Pedro Gil Sta. Ana-FS</t>
  </si>
  <si>
    <t>CMCV</t>
  </si>
  <si>
    <t>CentralMall Cavite</t>
  </si>
  <si>
    <t>PAS4252900033</t>
  </si>
  <si>
    <t>WMTM</t>
  </si>
  <si>
    <t>Waltermart Trece Martires</t>
  </si>
  <si>
    <t>PMAP</t>
  </si>
  <si>
    <t>Primark Aparri</t>
  </si>
  <si>
    <t>ZSJM</t>
  </si>
  <si>
    <t>San Jose del Monte Bulacan-FS</t>
  </si>
  <si>
    <t>SHDM</t>
  </si>
  <si>
    <t>SM Hypermarket Handumanan</t>
  </si>
  <si>
    <t>8BCL</t>
  </si>
  <si>
    <t>888 Chinatown Square Bacolod</t>
  </si>
  <si>
    <t>ISSM</t>
  </si>
  <si>
    <t>Insular Square Mandaue</t>
  </si>
  <si>
    <t>CQUJ233560629</t>
  </si>
  <si>
    <t>PMCT</t>
  </si>
  <si>
    <t>Primark Cainta</t>
  </si>
  <si>
    <t>XCBG</t>
  </si>
  <si>
    <t>Xentromall Cabagan</t>
  </si>
  <si>
    <t>ZKM6251400068</t>
  </si>
  <si>
    <t>ZBBT</t>
  </si>
  <si>
    <t>Bauan Batangas-FS</t>
  </si>
  <si>
    <t>PAS4252900191</t>
  </si>
  <si>
    <t>VPSY</t>
  </si>
  <si>
    <t>Victory Pasay Mall</t>
  </si>
  <si>
    <t>ZKM6245100122</t>
  </si>
  <si>
    <t>ZSMR</t>
  </si>
  <si>
    <t>San Mateo Rizal-FS</t>
  </si>
  <si>
    <t>PAS4252500098</t>
  </si>
  <si>
    <t>ZPNT</t>
  </si>
  <si>
    <t>Paniqui Tarlac-FS</t>
  </si>
  <si>
    <t>ZBOG</t>
  </si>
  <si>
    <t>Bogo City-FS</t>
  </si>
  <si>
    <t>192.168.3.47</t>
  </si>
  <si>
    <t>PMSL</t>
  </si>
  <si>
    <t>Primark Solana</t>
  </si>
  <si>
    <t>192.168.3.48</t>
  </si>
  <si>
    <t>XSTG</t>
  </si>
  <si>
    <t>Xentro Santiago</t>
  </si>
  <si>
    <t>FTVL</t>
  </si>
  <si>
    <t>Festival Mall</t>
  </si>
  <si>
    <t>ZSPC</t>
  </si>
  <si>
    <t>San Pablo City Laguna-FS</t>
  </si>
  <si>
    <t>CATP</t>
  </si>
  <si>
    <t>Cherry Antipolo</t>
  </si>
  <si>
    <t>WSJS</t>
  </si>
  <si>
    <t>Waltermart San Jose</t>
  </si>
  <si>
    <t>CDPG</t>
  </si>
  <si>
    <t>Citymall Dipolog</t>
  </si>
  <si>
    <t>SMCP</t>
  </si>
  <si>
    <t>SM Center Pulilan</t>
  </si>
  <si>
    <t>192.168.3.49</t>
  </si>
  <si>
    <t>WMER</t>
  </si>
  <si>
    <t>Waltermart E. Rodriguez</t>
  </si>
  <si>
    <t>ZLUC</t>
  </si>
  <si>
    <t>Lucena-FS</t>
  </si>
  <si>
    <t>ZKHT</t>
  </si>
  <si>
    <t>Karuhatan-FS</t>
  </si>
  <si>
    <t>ZLPC</t>
  </si>
  <si>
    <t>Lipa City Batangas-FS</t>
  </si>
  <si>
    <t>ZSFD</t>
  </si>
  <si>
    <t>San Fernando-FS</t>
  </si>
  <si>
    <t>ZTOP</t>
  </si>
  <si>
    <t>Tagaytay Olivarez Plaza-FS</t>
  </si>
  <si>
    <t>192.168.1.16</t>
  </si>
  <si>
    <t>PITE</t>
  </si>
  <si>
    <t>Paranaque Integrated Terminal Exchange</t>
  </si>
  <si>
    <t>ZKM6245100292</t>
  </si>
  <si>
    <t>CBNL</t>
  </si>
  <si>
    <t>CentralMall Binan Laguna</t>
  </si>
  <si>
    <t>FMLG</t>
  </si>
  <si>
    <t>iMall Famy Laguna</t>
  </si>
  <si>
    <t>WATP</t>
  </si>
  <si>
    <t>Waltermart Antipolo</t>
  </si>
  <si>
    <t>SMCA</t>
  </si>
  <si>
    <t>SM Center Angono</t>
  </si>
  <si>
    <t>ZLGA</t>
  </si>
  <si>
    <t>Ligao Albay-FS</t>
  </si>
  <si>
    <t>ZVA1</t>
  </si>
  <si>
    <t>Valley 1 Paranaque-FS</t>
  </si>
  <si>
    <t>ZTMA</t>
  </si>
  <si>
    <t>Timog Avenue-FS</t>
  </si>
  <si>
    <t>ZNGC</t>
  </si>
  <si>
    <t>Naga Centro-FS</t>
  </si>
  <si>
    <t>ZKM6245100135</t>
  </si>
  <si>
    <t>VCMT</t>
  </si>
  <si>
    <t>Victory Mall Tanauan</t>
  </si>
  <si>
    <t>ZMSV</t>
  </si>
  <si>
    <t>Maysan Valenzuela-FS</t>
  </si>
  <si>
    <t>TMCP</t>
  </si>
  <si>
    <t>TM Centerpoint</t>
  </si>
  <si>
    <t>ZPLA</t>
  </si>
  <si>
    <t>Plaridel Bulacan-FS</t>
  </si>
  <si>
    <t>Z7AR</t>
  </si>
  <si>
    <t>7-Arts Building Cebu-FS</t>
  </si>
  <si>
    <t>ZKIM</t>
  </si>
  <si>
    <t>Kimston Plaza-FS</t>
  </si>
  <si>
    <t>ZSJB</t>
  </si>
  <si>
    <t>San Juan Batangas-FS</t>
  </si>
  <si>
    <t>ZEVM</t>
  </si>
  <si>
    <t>Evangelista Makati-FS</t>
  </si>
  <si>
    <t>SCTC</t>
  </si>
  <si>
    <t>San Carlos Town Center</t>
  </si>
  <si>
    <t>192.168.1.220</t>
  </si>
  <si>
    <t>ZSFU</t>
  </si>
  <si>
    <t>San Fernando La Union-FS</t>
  </si>
  <si>
    <t>PMCB</t>
  </si>
  <si>
    <t>Primark Macabebe</t>
  </si>
  <si>
    <t>GSCM</t>
  </si>
  <si>
    <t>Gaisano Country Mall</t>
  </si>
  <si>
    <t>WMTT</t>
  </si>
  <si>
    <t>Waltermart Taytay</t>
  </si>
  <si>
    <t>CWHL</t>
  </si>
  <si>
    <t>Central Warehouse Lupon</t>
  </si>
  <si>
    <t>AEYU082360221</t>
  </si>
  <si>
    <t>WMGP</t>
  </si>
  <si>
    <t>Waltermart Gapan</t>
  </si>
  <si>
    <t>GSME</t>
  </si>
  <si>
    <t>Gaisano Super Metro Colon</t>
  </si>
  <si>
    <t>ZROC</t>
  </si>
  <si>
    <t>Rosario Cavite-FS</t>
  </si>
  <si>
    <t>192.168.3.31</t>
  </si>
  <si>
    <t>ZSRO</t>
  </si>
  <si>
    <t>Sta. Rosa Laguna-FS</t>
  </si>
  <si>
    <t>SMHC</t>
  </si>
  <si>
    <t>SM Hypermarket Cainta</t>
  </si>
  <si>
    <t>CTAG</t>
  </si>
  <si>
    <t>Citymall Tagbak</t>
  </si>
  <si>
    <t>WMBC</t>
  </si>
  <si>
    <t>Waltermart Bacoor</t>
  </si>
  <si>
    <t>ACME</t>
  </si>
  <si>
    <t>Aliw Complex Meycauayan</t>
  </si>
  <si>
    <t>ZWSJ</t>
  </si>
  <si>
    <t>Wilson San Juan-FS</t>
  </si>
  <si>
    <t>GMDV</t>
  </si>
  <si>
    <t>Gmall Davao</t>
  </si>
  <si>
    <t>ZIRG</t>
  </si>
  <si>
    <t>Iriga City-FS</t>
  </si>
  <si>
    <t>LARC</t>
  </si>
  <si>
    <t>L' Arcada</t>
  </si>
  <si>
    <t>ZNCC</t>
  </si>
  <si>
    <t>NCCC Palawan-FS</t>
  </si>
  <si>
    <t>ZNOV</t>
  </si>
  <si>
    <t>Noveleta Cavite-FS</t>
  </si>
  <si>
    <t>IMCB</t>
  </si>
  <si>
    <t>iMall Canlubang</t>
  </si>
  <si>
    <t>PMCA</t>
  </si>
  <si>
    <t>Primark Catanauan</t>
  </si>
  <si>
    <t>PGCB</t>
  </si>
  <si>
    <t>Puregold Cubao</t>
  </si>
  <si>
    <t>ZSJO</t>
  </si>
  <si>
    <t>San Jose Occidental Mindoro-FS</t>
  </si>
  <si>
    <t>PGTY</t>
  </si>
  <si>
    <t>Puregold Tayuman</t>
  </si>
  <si>
    <t>AYCC</t>
  </si>
  <si>
    <t>Ayala Center Cebu</t>
  </si>
  <si>
    <t>ZDCB</t>
  </si>
  <si>
    <t>Dangcagan, Bukidnon</t>
  </si>
  <si>
    <t>ZKM6251500191</t>
  </si>
  <si>
    <t>TTBC</t>
  </si>
  <si>
    <t>Tutuban Center</t>
  </si>
  <si>
    <t>ZMTL</t>
  </si>
  <si>
    <t>Muntinlupa City-FS</t>
  </si>
  <si>
    <t>AYAB</t>
  </si>
  <si>
    <t>Ayala Abreeza</t>
  </si>
  <si>
    <t>ZCMT</t>
  </si>
  <si>
    <t>Camiling Tarlac-FS</t>
  </si>
  <si>
    <t>ALPG</t>
  </si>
  <si>
    <t>Alaminos Pangasinan</t>
  </si>
  <si>
    <t>SMCL</t>
  </si>
  <si>
    <t>SM Center Lemery</t>
  </si>
  <si>
    <t>ZBFR</t>
  </si>
  <si>
    <t>BF Resort Drive Las Pinas City-FS</t>
  </si>
  <si>
    <t>XRCS</t>
  </si>
  <si>
    <t>XRC Square Montana</t>
  </si>
  <si>
    <t>NEPA</t>
  </si>
  <si>
    <t>NE Pacific Mall</t>
  </si>
  <si>
    <t>ZSGD</t>
  </si>
  <si>
    <t>Sangandaan Caloocan City-FS</t>
  </si>
  <si>
    <t>ETCT</t>
  </si>
  <si>
    <t>Eton Centris</t>
  </si>
  <si>
    <t>ZDGP</t>
  </si>
  <si>
    <t>Dagupan Pangasinan-FS</t>
  </si>
  <si>
    <t>SSTR</t>
  </si>
  <si>
    <t>Sunstar Mall</t>
  </si>
  <si>
    <t>ZLBQ</t>
  </si>
  <si>
    <t>Lucban Quezon-FS</t>
  </si>
  <si>
    <t>PVLM</t>
  </si>
  <si>
    <t>Pavilion Mall</t>
  </si>
  <si>
    <t>ZKM62451700070</t>
  </si>
  <si>
    <t>ZORQ</t>
  </si>
  <si>
    <t>Oroquieta Misamis Occidental-FS</t>
  </si>
  <si>
    <t>192.168.3.33</t>
  </si>
  <si>
    <t>ZMLZ</t>
  </si>
  <si>
    <t>Molave Zamboanga del Sur-FS</t>
  </si>
  <si>
    <t>SMHM</t>
  </si>
  <si>
    <t>SM Hypermarket Makati</t>
  </si>
  <si>
    <t>ZTGB</t>
  </si>
  <si>
    <t>Tangub Misamis Occidental-FS</t>
  </si>
  <si>
    <t>ZMGC</t>
  </si>
  <si>
    <t>Minglanilla Cebu-FS</t>
  </si>
  <si>
    <t>ZPSA</t>
  </si>
  <si>
    <t>Paseo Arcenas-FS</t>
  </si>
  <si>
    <t>PPDB</t>
  </si>
  <si>
    <t>Puregold Paso De Blas</t>
  </si>
  <si>
    <t>192.168.1.50</t>
  </si>
  <si>
    <t>ZTGL</t>
  </si>
  <si>
    <t>Taguig General Luna - FS</t>
  </si>
  <si>
    <t>ZSBZ</t>
  </si>
  <si>
    <t>Subic Zambales-FS</t>
  </si>
  <si>
    <t>ZKM6245100236</t>
  </si>
  <si>
    <t>ZIGC</t>
  </si>
  <si>
    <t>Ilagan City Isabela-FS</t>
  </si>
  <si>
    <t>LGGW</t>
  </si>
  <si>
    <t>LG Garden Walk Mactan</t>
  </si>
  <si>
    <t>ZSLC</t>
  </si>
  <si>
    <t>Silang Cavite-FS</t>
  </si>
  <si>
    <t>ZSTI</t>
  </si>
  <si>
    <t>Santiago Isabela-FS</t>
  </si>
  <si>
    <t>ZTBC</t>
  </si>
  <si>
    <t>Tabaco City Albay-FS</t>
  </si>
  <si>
    <t>GCOZ</t>
  </si>
  <si>
    <t>Gaisano Capital Ozamiz</t>
  </si>
  <si>
    <t>CBCS</t>
  </si>
  <si>
    <t>Citymall Bacalso</t>
  </si>
  <si>
    <t>ZPSC</t>
  </si>
  <si>
    <t>Passi City Iloilo FS</t>
  </si>
  <si>
    <t>CFGS</t>
  </si>
  <si>
    <t>California Garden Square</t>
  </si>
  <si>
    <t>GCBL</t>
  </si>
  <si>
    <t>Gaisanao Capital Balingasag</t>
  </si>
  <si>
    <t>GCLP</t>
  </si>
  <si>
    <t>Gaisano Capital Lapaz</t>
  </si>
  <si>
    <t>SQAC</t>
  </si>
  <si>
    <t>SQA Corporate Center</t>
  </si>
  <si>
    <t>GSMH</t>
  </si>
  <si>
    <t>Gaisano Metro Hilongos</t>
  </si>
  <si>
    <t>DKBD</t>
  </si>
  <si>
    <t>D&amp;K Building</t>
  </si>
  <si>
    <t>SPWD</t>
  </si>
  <si>
    <t>Springwood District</t>
  </si>
  <si>
    <t>ZPDS</t>
  </si>
  <si>
    <t>Petron Diego Silang-FS</t>
  </si>
  <si>
    <t>ZKM6245100118</t>
  </si>
  <si>
    <t>ZGUS</t>
  </si>
  <si>
    <t>Guiuan Samar-FS</t>
  </si>
  <si>
    <t>PCA2</t>
  </si>
  <si>
    <t>Pelaez Commercial Arcade 2</t>
  </si>
  <si>
    <t>ZBNW</t>
  </si>
  <si>
    <t>Banawe St. Quezon City-FS</t>
  </si>
  <si>
    <t>ZCAB</t>
  </si>
  <si>
    <t>Cabadbaran Agusan Del Norte-FS</t>
  </si>
  <si>
    <t>ZMNP</t>
  </si>
  <si>
    <t>Manaoag Pangasinan-FS</t>
  </si>
  <si>
    <t>ZTRS</t>
  </si>
  <si>
    <t>Teresa Rizal-FS</t>
  </si>
  <si>
    <t>OCEC</t>
  </si>
  <si>
    <t>One Cecilia Bldg.</t>
  </si>
  <si>
    <t>ZVNB</t>
  </si>
  <si>
    <t>Naval Biliran-FS</t>
  </si>
  <si>
    <t>192.168.1.43</t>
  </si>
  <si>
    <t>ZAGN</t>
  </si>
  <si>
    <t>Angono-FS</t>
  </si>
  <si>
    <t>ZKM6245100296</t>
  </si>
  <si>
    <t>ZCLP</t>
  </si>
  <si>
    <t>Calapan Mindoro-FS</t>
  </si>
  <si>
    <t>ABTC</t>
  </si>
  <si>
    <t>Zabarte Town Center</t>
  </si>
  <si>
    <t>ZTLG</t>
  </si>
  <si>
    <t>Trendline Cogon CDO-FS</t>
  </si>
  <si>
    <t>ZCDL</t>
  </si>
  <si>
    <t>Candelaria Quezon-FS</t>
  </si>
  <si>
    <t>TGLR</t>
  </si>
  <si>
    <t>The Galleria - FS</t>
  </si>
  <si>
    <t>PMSG</t>
  </si>
  <si>
    <t>Primark Sogod</t>
  </si>
  <si>
    <t>PAS4252900097</t>
  </si>
  <si>
    <t>ZBSS</t>
  </si>
  <si>
    <t>Bulan Sorsogon-FS</t>
  </si>
  <si>
    <t>CFDC</t>
  </si>
  <si>
    <t>Cherry Foodarama Congressional</t>
  </si>
  <si>
    <t>ZTBD</t>
  </si>
  <si>
    <t>Tabuk Dagupan-FS</t>
  </si>
  <si>
    <t>192.168.1.232</t>
  </si>
  <si>
    <t>IMCM</t>
  </si>
  <si>
    <t>iMall Camarin</t>
  </si>
  <si>
    <t>ABN5221960309</t>
  </si>
  <si>
    <t>ARDM</t>
  </si>
  <si>
    <t>Ardi Mall</t>
  </si>
  <si>
    <t>ABN5221960318</t>
  </si>
  <si>
    <t>ZPCS</t>
  </si>
  <si>
    <t>Pili Camarines Sur - FS</t>
  </si>
  <si>
    <t>A8N5221960185</t>
  </si>
  <si>
    <t>ZMSQ</t>
  </si>
  <si>
    <t>Marc Square Taytay - FS</t>
  </si>
  <si>
    <t>A8N5221960320</t>
  </si>
  <si>
    <t>ZSDZ</t>
  </si>
  <si>
    <t>Sindangan Zambonga del Norte - FS</t>
  </si>
  <si>
    <t>NCBH</t>
  </si>
  <si>
    <t>NCCC Mall Buhangin</t>
  </si>
  <si>
    <t>ZJAL</t>
  </si>
  <si>
    <t>JAL Commercial Building Talisay-FS</t>
  </si>
  <si>
    <t>A8N5221960311</t>
  </si>
  <si>
    <t>PCAB</t>
  </si>
  <si>
    <t>Primark Cabiao</t>
  </si>
  <si>
    <t>A8N5221960303</t>
  </si>
  <si>
    <t>ZGBS</t>
  </si>
  <si>
    <t>Gubat Sorsogon-FS</t>
  </si>
  <si>
    <t>A8N5221960186</t>
  </si>
  <si>
    <t>ZBNL</t>
  </si>
  <si>
    <t>Binan Laguna-FS</t>
  </si>
  <si>
    <t>A8N5221960184</t>
  </si>
  <si>
    <t>ZBIN</t>
  </si>
  <si>
    <t>Batac Ilocos Norte-FS</t>
  </si>
  <si>
    <t>A8N5221960170</t>
  </si>
  <si>
    <t>WMTL</t>
  </si>
  <si>
    <t>Waltermart Talavera</t>
  </si>
  <si>
    <t>A8N5221960167</t>
  </si>
  <si>
    <t>ZCGL</t>
  </si>
  <si>
    <t>Carigara Leyte-FS</t>
  </si>
  <si>
    <t>A8N5221960180</t>
  </si>
  <si>
    <t>NCVP</t>
  </si>
  <si>
    <t>NCCC Mall Victoria Plaza</t>
  </si>
  <si>
    <t>CLOSED STORE</t>
  </si>
  <si>
    <t>CDPK</t>
  </si>
  <si>
    <t>Cedar Peak</t>
  </si>
  <si>
    <t>A8N5221960177</t>
  </si>
  <si>
    <t>WMAT</t>
  </si>
  <si>
    <t>Waltermart Altaraza</t>
  </si>
  <si>
    <t>ZKM6245100110</t>
  </si>
  <si>
    <t>ZPCD</t>
  </si>
  <si>
    <t>Panabo City Davao del Norte-FS</t>
  </si>
  <si>
    <t>A8N5221960296</t>
  </si>
  <si>
    <t>PRCB</t>
  </si>
  <si>
    <t>Primark Town Center Caibaan</t>
  </si>
  <si>
    <t>A8N5221960174</t>
  </si>
  <si>
    <t>ZCLG</t>
  </si>
  <si>
    <t>Calauan Laguna-FS</t>
  </si>
  <si>
    <t>A8N5221860551</t>
  </si>
  <si>
    <t>ZIPM</t>
  </si>
  <si>
    <t>Ipil Public Market-FS</t>
  </si>
  <si>
    <t>A8N5221960179</t>
  </si>
  <si>
    <t>WMMT</t>
  </si>
  <si>
    <t>Waltermart Muntinlupa</t>
  </si>
  <si>
    <t>A8N5221860515</t>
  </si>
  <si>
    <t>ZTNY</t>
  </si>
  <si>
    <t>Tanay-FS</t>
  </si>
  <si>
    <t>A8N5221860507</t>
  </si>
  <si>
    <t>ZEVP</t>
  </si>
  <si>
    <t>Evacom Paranaque-FS</t>
  </si>
  <si>
    <t>A8N5221860486</t>
  </si>
  <si>
    <t>ZTAB</t>
  </si>
  <si>
    <t>Tagbilaran Bohol-FS</t>
  </si>
  <si>
    <t>A8N5221860529</t>
  </si>
  <si>
    <t>ZPCB</t>
  </si>
  <si>
    <t>Palo Commercial Building-FS</t>
  </si>
  <si>
    <t>A8N5221860513</t>
  </si>
  <si>
    <t>ZKNO</t>
  </si>
  <si>
    <t>Kabankalan Negros Occidental-FS</t>
  </si>
  <si>
    <t>A8N5221860494</t>
  </si>
  <si>
    <t>LEAH</t>
  </si>
  <si>
    <t>Leah Mall Naga</t>
  </si>
  <si>
    <t>PAS4252500082</t>
  </si>
  <si>
    <t>ZLPQ</t>
  </si>
  <si>
    <t>Lopez Quezon-FS</t>
  </si>
  <si>
    <t>A8N5221960251</t>
  </si>
  <si>
    <t>ZTSM</t>
  </si>
  <si>
    <t>TAMS Square Maramag Bukidnon-FS</t>
  </si>
  <si>
    <t>A8N5221960252</t>
  </si>
  <si>
    <t>SMCS</t>
  </si>
  <si>
    <t>SM City Sucat</t>
  </si>
  <si>
    <t>A8N5221960253</t>
  </si>
  <si>
    <t>PCMM</t>
  </si>
  <si>
    <t>Pacific Mall Mandaue</t>
  </si>
  <si>
    <t>PAS4254500179</t>
  </si>
  <si>
    <t>NCTG</t>
  </si>
  <si>
    <t>NCCC Mall Tagum</t>
  </si>
  <si>
    <t>A8N5221960315</t>
  </si>
  <si>
    <t>GGMD</t>
  </si>
  <si>
    <t>Gaisano Grand Marketplace Digos</t>
  </si>
  <si>
    <t>A8N5221860479</t>
  </si>
  <si>
    <t>ZLGC</t>
  </si>
  <si>
    <t>Legazpi City Albay-FS</t>
  </si>
  <si>
    <t>A8N5221960323</t>
  </si>
  <si>
    <t>DGBC</t>
  </si>
  <si>
    <t>Digos Business Center</t>
  </si>
  <si>
    <t>PAS4252500079</t>
  </si>
  <si>
    <t>ZTBB</t>
  </si>
  <si>
    <t>Tubigon Bohol FS</t>
  </si>
  <si>
    <t>A8N5221960255</t>
  </si>
  <si>
    <t>ZMSC</t>
  </si>
  <si>
    <t>Midsayap North Cotabato-FS</t>
  </si>
  <si>
    <t>A8N5221960256</t>
  </si>
  <si>
    <t>AYCB</t>
  </si>
  <si>
    <t>Ayala Central Bloc</t>
  </si>
  <si>
    <t>A8N5221960254</t>
  </si>
  <si>
    <t>SMMD</t>
  </si>
  <si>
    <t>SM Hypermarket Mandaluyong</t>
  </si>
  <si>
    <t>ABN5221960245</t>
  </si>
  <si>
    <t>ZSNV</t>
  </si>
  <si>
    <t>Solano Nueva Vizcaya-FS</t>
  </si>
  <si>
    <t>WMBL</t>
  </si>
  <si>
    <t>Waltermart Baliuag</t>
  </si>
  <si>
    <t>A8N5221960247</t>
  </si>
  <si>
    <t>ZLEX</t>
  </si>
  <si>
    <t>Lipa Exchange Batangas-FS</t>
  </si>
  <si>
    <t>A8N5221960173</t>
  </si>
  <si>
    <t>ZSRY</t>
  </si>
  <si>
    <t>Sariaya Quezon-FS</t>
  </si>
  <si>
    <t>A8N5221960172</t>
  </si>
  <si>
    <t>ACDO</t>
  </si>
  <si>
    <t>Ayala Centrio CDO</t>
  </si>
  <si>
    <t>A8N5221960249</t>
  </si>
  <si>
    <t>ZIMC</t>
  </si>
  <si>
    <t>Imus City Cavite-FS</t>
  </si>
  <si>
    <t>A8N5221960164</t>
  </si>
  <si>
    <t>ZCAO</t>
  </si>
  <si>
    <t>City Arcade Oroquieta-FS</t>
  </si>
  <si>
    <t>A8N5221960324</t>
  </si>
  <si>
    <t>ZMNC</t>
  </si>
  <si>
    <t>M'Lang North Cotabato-FS</t>
  </si>
  <si>
    <t>A8N5221960301</t>
  </si>
  <si>
    <t>ZORM</t>
  </si>
  <si>
    <t>Ormoc City-FS</t>
  </si>
  <si>
    <t>ZKM6245100106</t>
  </si>
  <si>
    <t>PGTG</t>
  </si>
  <si>
    <t>Puregold Taguig</t>
  </si>
  <si>
    <t>A8N5221960168</t>
  </si>
  <si>
    <t>ZMCA</t>
  </si>
  <si>
    <t>McArthur Leyte-FS</t>
  </si>
  <si>
    <t>A8N5221960169</t>
  </si>
  <si>
    <t>ZBNO</t>
  </si>
  <si>
    <t>Binalbagan Negros Occidental-FS</t>
  </si>
  <si>
    <t>ZKM6245100039</t>
  </si>
  <si>
    <t>ZBMO</t>
  </si>
  <si>
    <t>Balingasag Misamis Oriental-FS</t>
  </si>
  <si>
    <t>A8N5221960319</t>
  </si>
  <si>
    <t>GCPB</t>
  </si>
  <si>
    <t>Gaisano Capital Balasan</t>
  </si>
  <si>
    <t>A8N5221960171</t>
  </si>
  <si>
    <t>ZTTA</t>
  </si>
  <si>
    <t>Trento Agusan Del Sur-FS</t>
  </si>
  <si>
    <t>A8N5221960166</t>
  </si>
  <si>
    <t>WMTN</t>
  </si>
  <si>
    <t>Waltermart Tanauan</t>
  </si>
  <si>
    <t>A8N5221960157</t>
  </si>
  <si>
    <t>ZPOM</t>
  </si>
  <si>
    <t>Pinamalayan Oriental Mindoro-FS</t>
  </si>
  <si>
    <t>A8N5221960165</t>
  </si>
  <si>
    <t>MPAR</t>
  </si>
  <si>
    <t>Mariposa Arcade</t>
  </si>
  <si>
    <t>A8N5221960321</t>
  </si>
  <si>
    <t>KMCC</t>
  </si>
  <si>
    <t>KMCC Kidapawan</t>
  </si>
  <si>
    <t>ZKM6245100215</t>
  </si>
  <si>
    <t>ZSQQ</t>
  </si>
  <si>
    <t>Sta. Quiteria Quezon City-FS</t>
  </si>
  <si>
    <t>A8N5221960158</t>
  </si>
  <si>
    <t>ZSMB</t>
  </si>
  <si>
    <t>San Miguel Bulacan-FS</t>
  </si>
  <si>
    <t>ZKM6245100278</t>
  </si>
  <si>
    <t>ZCYC</t>
  </si>
  <si>
    <t>Cauayan City Isabela-FS</t>
  </si>
  <si>
    <t>A8N5221960155</t>
  </si>
  <si>
    <t>STSS</t>
  </si>
  <si>
    <t>Stadium Shopping Strip</t>
  </si>
  <si>
    <t>ZKM6245100105</t>
  </si>
  <si>
    <t>XMLM</t>
  </si>
  <si>
    <t>Xentro Mall Lemery</t>
  </si>
  <si>
    <t>A8N5221960159</t>
  </si>
  <si>
    <t>UBCS</t>
  </si>
  <si>
    <t>Yubengco Starmall</t>
  </si>
  <si>
    <t>ZKM6251500052</t>
  </si>
  <si>
    <t>ZGNO</t>
  </si>
  <si>
    <t>Guihulngan Negros Oriental-FS</t>
  </si>
  <si>
    <t>ZKM6251500285</t>
  </si>
  <si>
    <t>ZLMB</t>
  </si>
  <si>
    <t>Lemery Batangas-FS</t>
  </si>
  <si>
    <t>CMZG122250778</t>
  </si>
  <si>
    <t>KAIM</t>
  </si>
  <si>
    <t>Kai Mall</t>
  </si>
  <si>
    <t>AKDG012351697</t>
  </si>
  <si>
    <t>ZGLZ</t>
  </si>
  <si>
    <t>Gov Lim Zamboanga City-FS</t>
  </si>
  <si>
    <t>A8N5221960163</t>
  </si>
  <si>
    <t>ZGNE</t>
  </si>
  <si>
    <t>Guimba Nueva Ecija-FS</t>
  </si>
  <si>
    <t>AKDG012351694</t>
  </si>
  <si>
    <t>MTSM</t>
  </si>
  <si>
    <t>Metro Star Mall</t>
  </si>
  <si>
    <t>A8N5221960161</t>
  </si>
  <si>
    <t>ZRCD</t>
  </si>
  <si>
    <t>R. Castillo Davao City-FS</t>
  </si>
  <si>
    <t>A8N5221960160</t>
  </si>
  <si>
    <t>ZSRN</t>
  </si>
  <si>
    <t>Sta. Rosa Nueva Ecija-FS</t>
  </si>
  <si>
    <t>ZKM6251700245</t>
  </si>
  <si>
    <t>WSRB</t>
  </si>
  <si>
    <t>Waltermart Sta. Rosa Bel Air</t>
  </si>
  <si>
    <t>AKDG012351703</t>
  </si>
  <si>
    <t>ZSCN</t>
  </si>
  <si>
    <t>San Carlos City Negros Occidental-FS</t>
  </si>
  <si>
    <t>ZKM6251700312</t>
  </si>
  <si>
    <t>ZVIC</t>
  </si>
  <si>
    <t>Victorias City Negros Occidental-FS</t>
  </si>
  <si>
    <t>ZKM625100288</t>
  </si>
  <si>
    <t>ZDNB</t>
  </si>
  <si>
    <t>Dinalupihan Bataan-FS</t>
  </si>
  <si>
    <t>CMZG122250769</t>
  </si>
  <si>
    <t>GIGM</t>
  </si>
  <si>
    <t>GIG Mall</t>
  </si>
  <si>
    <t>ZKM6245100041</t>
  </si>
  <si>
    <t>CUTC</t>
  </si>
  <si>
    <t>Culiat Town Center</t>
  </si>
  <si>
    <t>ZKM6251700239</t>
  </si>
  <si>
    <t>PGTZ</t>
  </si>
  <si>
    <t>Puregold Tanza</t>
  </si>
  <si>
    <t>PAS4254500181</t>
  </si>
  <si>
    <t>ZNDD</t>
  </si>
  <si>
    <t>Nabunturan Davao De Oro-FS</t>
  </si>
  <si>
    <t>AKDG012351691</t>
  </si>
  <si>
    <t>ZIAG</t>
  </si>
  <si>
    <t>Iligan Aguinaldo-FS</t>
  </si>
  <si>
    <t>AKDG012351713</t>
  </si>
  <si>
    <t>VRCM</t>
  </si>
  <si>
    <t>Virac Center Mall</t>
  </si>
  <si>
    <t>PAS4253000008</t>
  </si>
  <si>
    <t>RFCM</t>
  </si>
  <si>
    <t>RFC Molino Mall</t>
  </si>
  <si>
    <t>AEYU082360203</t>
  </si>
  <si>
    <t>192.168.1.198</t>
  </si>
  <si>
    <t>ZMFT</t>
  </si>
  <si>
    <t>Manolo Fortich-FS</t>
  </si>
  <si>
    <t>PAS4252500149</t>
  </si>
  <si>
    <t>MBCS</t>
  </si>
  <si>
    <t>Malabon Citisquare</t>
  </si>
  <si>
    <t>AKDG012351702</t>
  </si>
  <si>
    <t>PHML</t>
  </si>
  <si>
    <t>Prince Himamaylan</t>
  </si>
  <si>
    <t>ZKM6245100221</t>
  </si>
  <si>
    <t>FTCM</t>
  </si>
  <si>
    <t>Fairview Town Center Mall</t>
  </si>
  <si>
    <t>PAS4253000123</t>
  </si>
  <si>
    <t>ZSTD</t>
  </si>
  <si>
    <t>Sto. Tomas Davao Del Norte-FS</t>
  </si>
  <si>
    <t>CMZG122250770</t>
  </si>
  <si>
    <t>ZMDO</t>
  </si>
  <si>
    <t>Mati Davao Oriental-FS</t>
  </si>
  <si>
    <t>AKDG012351686</t>
  </si>
  <si>
    <t>ZMLD</t>
  </si>
  <si>
    <t>Maranding Lanao Del Norte-FS</t>
  </si>
  <si>
    <t>CMZG122250780</t>
  </si>
  <si>
    <t>ZIZS</t>
  </si>
  <si>
    <t>Imelda Zamboanga Sibugay-FS</t>
  </si>
  <si>
    <t>AKDG012351717</t>
  </si>
  <si>
    <t>ZBZS</t>
  </si>
  <si>
    <t>Buug Zamboanga Sibugay-FS</t>
  </si>
  <si>
    <t>AKDG012351684</t>
  </si>
  <si>
    <t>ZMBC</t>
  </si>
  <si>
    <t>Masbate City-FS</t>
  </si>
  <si>
    <t>AKDG012351705</t>
  </si>
  <si>
    <t>ZBLY</t>
  </si>
  <si>
    <t>Balayan Batangas-FS</t>
  </si>
  <si>
    <t>AKDG012351683</t>
  </si>
  <si>
    <t>ZTNL</t>
  </si>
  <si>
    <t>Tanauan Leyte-FS</t>
  </si>
  <si>
    <t>AKDG012351685</t>
  </si>
  <si>
    <t>SSGC</t>
  </si>
  <si>
    <t>Sunscore Grocerama</t>
  </si>
  <si>
    <t>CMZG122250777</t>
  </si>
  <si>
    <t>ZTBH</t>
  </si>
  <si>
    <t>Talibon Bohol-FS</t>
  </si>
  <si>
    <t>ZKM6251700411</t>
  </si>
  <si>
    <t>ZFBP</t>
  </si>
  <si>
    <t>Floridablanca Pampanga-FS</t>
  </si>
  <si>
    <t>AKDG012351687</t>
  </si>
  <si>
    <t>ZPBS</t>
  </si>
  <si>
    <t>Poblacion Sta. Cruz Laguna-FS</t>
  </si>
  <si>
    <t>PAS4252900113</t>
  </si>
  <si>
    <t>ZBVA</t>
  </si>
  <si>
    <t>Buenavista Agusan Del Norte-FS</t>
  </si>
  <si>
    <t>AKDG012351719</t>
  </si>
  <si>
    <t>999C</t>
  </si>
  <si>
    <t>999 Caloocan</t>
  </si>
  <si>
    <t>AKDG012351682</t>
  </si>
  <si>
    <t>ZT2B</t>
  </si>
  <si>
    <t>Tagbilaran 2 Bohol-FS</t>
  </si>
  <si>
    <t>ZKM6245100289</t>
  </si>
  <si>
    <t>ZSSC</t>
  </si>
  <si>
    <t>Surallah South Cotabato-FS</t>
  </si>
  <si>
    <t>CMZG122250771</t>
  </si>
  <si>
    <t>ZTNE</t>
  </si>
  <si>
    <t>Talavera Nueva Ecija-FS</t>
  </si>
  <si>
    <t>ZKM6245100050</t>
  </si>
  <si>
    <t>ZBRP</t>
  </si>
  <si>
    <t>Brookes Point Palawan-FS</t>
  </si>
  <si>
    <t>AKDG012351707</t>
  </si>
  <si>
    <t>MPMM</t>
  </si>
  <si>
    <t>Metroplaza Mall Malaria</t>
  </si>
  <si>
    <t>PAS4252900195</t>
  </si>
  <si>
    <t>ZTNO</t>
  </si>
  <si>
    <t>Tanjay Negros Oriental-FS</t>
  </si>
  <si>
    <t>AKDG012351718</t>
  </si>
  <si>
    <t>ZGSC</t>
  </si>
  <si>
    <t>General Santos City-FS</t>
  </si>
  <si>
    <t>AKDG012351720</t>
  </si>
  <si>
    <t>ZSOB</t>
  </si>
  <si>
    <t>Sablayan Occidental Mindoro-FS</t>
  </si>
  <si>
    <t>CMZG122250776</t>
  </si>
  <si>
    <t>ZDBC</t>
  </si>
  <si>
    <t>Daan Bantayan Cebu-FS</t>
  </si>
  <si>
    <t>AKDG012351712</t>
  </si>
  <si>
    <t>ZMBB</t>
  </si>
  <si>
    <t>Malaybalay Bukidnon-FS</t>
  </si>
  <si>
    <t>AKDG012351715</t>
  </si>
  <si>
    <t>ZBOM</t>
  </si>
  <si>
    <t>Bongabong Oriental Mindoro-FS</t>
  </si>
  <si>
    <t>PAS4253000052</t>
  </si>
  <si>
    <t>ZTTP</t>
  </si>
  <si>
    <t>Taytay Palawan-FS</t>
  </si>
  <si>
    <t>PAS4252900194</t>
  </si>
  <si>
    <t>ZLCN</t>
  </si>
  <si>
    <t>Lucena 2-FS</t>
  </si>
  <si>
    <t>CMZG122250772</t>
  </si>
  <si>
    <t>ZGPN</t>
  </si>
  <si>
    <t>Gapan Nueva Ecija-FS</t>
  </si>
  <si>
    <t>AKDG012350231</t>
  </si>
  <si>
    <t>ZTMO</t>
  </si>
  <si>
    <t>Tagoloan Misamis Oriental-FS</t>
  </si>
  <si>
    <t>AKDG012351710</t>
  </si>
  <si>
    <t>ZSTM</t>
  </si>
  <si>
    <t>Suntin Mart Caloocan-FS</t>
  </si>
  <si>
    <t>AKDG012350240</t>
  </si>
  <si>
    <t>ZSFV</t>
  </si>
  <si>
    <t>San Francisco Villanueva Butuan-FS</t>
  </si>
  <si>
    <t>CMZG122250775</t>
  </si>
  <si>
    <t>ZDLS</t>
  </si>
  <si>
    <t>Dolores Samar-FS</t>
  </si>
  <si>
    <t>AKDG012350237</t>
  </si>
  <si>
    <t>APMC</t>
  </si>
  <si>
    <t>APM Centrale</t>
  </si>
  <si>
    <t>ZKDD</t>
  </si>
  <si>
    <t>Kapalong Davao De Oro-FS</t>
  </si>
  <si>
    <t>ZKM6245100139</t>
  </si>
  <si>
    <t>ZDZN</t>
  </si>
  <si>
    <t>Dapitan Zamboanga del Norte-FS</t>
  </si>
  <si>
    <t>AKDG012350210</t>
  </si>
  <si>
    <t>ZAGB</t>
  </si>
  <si>
    <t>Aglayan Bukidnon-FS</t>
  </si>
  <si>
    <t>AKDG012350205</t>
  </si>
  <si>
    <t>PRBB</t>
  </si>
  <si>
    <t>Prince Baybay</t>
  </si>
  <si>
    <t>AKDG012350194</t>
  </si>
  <si>
    <t>ZGHM</t>
  </si>
  <si>
    <t>Gingoog Highway Misamis Oriental-FS</t>
  </si>
  <si>
    <t>AKDG012350193</t>
  </si>
  <si>
    <t>ZPRP</t>
  </si>
  <si>
    <t>Porac Pampanga-FS</t>
  </si>
  <si>
    <t>AKDG012350227</t>
  </si>
  <si>
    <t>ZKZS</t>
  </si>
  <si>
    <t>Kabasalan Zamboanga Sibugay-FS</t>
  </si>
  <si>
    <t>AKDG012350222</t>
  </si>
  <si>
    <t>ZNAP</t>
  </si>
  <si>
    <t>Narra Palawan-FS</t>
  </si>
  <si>
    <t>AKDG012350239</t>
  </si>
  <si>
    <t>ZTCS</t>
  </si>
  <si>
    <t>Tacurong City Sultan Kudarat-FS</t>
  </si>
  <si>
    <t>AKDG012350209</t>
  </si>
  <si>
    <t>ZPSS</t>
  </si>
  <si>
    <t>Pilar Sorsogon-FS</t>
  </si>
  <si>
    <t>AKDG012350219</t>
  </si>
  <si>
    <t>ZRNE</t>
  </si>
  <si>
    <t>Rizal Nueva Ecija-FS</t>
  </si>
  <si>
    <t>AKDG012350204</t>
  </si>
  <si>
    <t>ZMDD</t>
  </si>
  <si>
    <t>Maragusan Davao De Oro-FS</t>
  </si>
  <si>
    <t>WMCL</t>
  </si>
  <si>
    <t>Waltermart Caloocan</t>
  </si>
  <si>
    <t>PAS4252500022</t>
  </si>
  <si>
    <t>ZBAU</t>
  </si>
  <si>
    <t>Baler Aurora-FS</t>
  </si>
  <si>
    <t>ZKM6251500261</t>
  </si>
  <si>
    <t>SUSC</t>
  </si>
  <si>
    <t>Susano Complex</t>
  </si>
  <si>
    <t>ZKM6251700057</t>
  </si>
  <si>
    <t>ZBYG</t>
  </si>
  <si>
    <t>Bayugan City Agusan del Sur-FS</t>
  </si>
  <si>
    <t>AKDG012350214</t>
  </si>
  <si>
    <t>ZSDN</t>
  </si>
  <si>
    <t>Samal Davao Del Norte-FS</t>
  </si>
  <si>
    <t>AKDG012350207</t>
  </si>
  <si>
    <t>ZSCM</t>
  </si>
  <si>
    <t>Santa Cruz Marinduque-FS</t>
  </si>
  <si>
    <t>AKDG012350195</t>
  </si>
  <si>
    <t>ZDGC</t>
  </si>
  <si>
    <t>Dumaguete City 2 Negros Oriental-FS</t>
  </si>
  <si>
    <t>PAS4254500174</t>
  </si>
  <si>
    <t>ZTSC</t>
  </si>
  <si>
    <t>Talisay Cebu-FS</t>
  </si>
  <si>
    <t>AKDG012350225</t>
  </si>
  <si>
    <t>ZPOL</t>
  </si>
  <si>
    <t>Polomolok South Cotabato-FS</t>
  </si>
  <si>
    <t>AKDG012350215</t>
  </si>
  <si>
    <t>ZCYN</t>
  </si>
  <si>
    <t>Cauayan Negros Occidental-FS</t>
  </si>
  <si>
    <t>AKDG012350202</t>
  </si>
  <si>
    <t>ZTDC</t>
  </si>
  <si>
    <t>Tandag City Surigao del Sur-FS</t>
  </si>
  <si>
    <t>AKDG012350217</t>
  </si>
  <si>
    <t>ZBTC</t>
  </si>
  <si>
    <t>Bantayan Cebu-FS</t>
  </si>
  <si>
    <t>AKDG012350228</t>
  </si>
  <si>
    <t>ZMKY</t>
  </si>
  <si>
    <t>Monkayo Davao De Oro-FS</t>
  </si>
  <si>
    <t>AKDG012350199</t>
  </si>
  <si>
    <t>SMMT</t>
  </si>
  <si>
    <t>SM Hypermarket Mactan</t>
  </si>
  <si>
    <t>AKDG012350701</t>
  </si>
  <si>
    <t>ZBRS</t>
  </si>
  <si>
    <t>Barobo Surigao del Sur-FS</t>
  </si>
  <si>
    <t>AKDG012350238</t>
  </si>
  <si>
    <t>ZBNG</t>
  </si>
  <si>
    <t>Bais Negros Oriental-FS</t>
  </si>
  <si>
    <t>CQUJ233560674</t>
  </si>
  <si>
    <t>ZQIC</t>
  </si>
  <si>
    <t>Quezon Iloilo City-FS</t>
  </si>
  <si>
    <t>PAS4254500176</t>
  </si>
  <si>
    <t>ZALI</t>
  </si>
  <si>
    <t>Alicia Isabela-FS</t>
  </si>
  <si>
    <t>AKDG012350232</t>
  </si>
  <si>
    <t>ZCBS</t>
  </si>
  <si>
    <t>Catbalogan Samar-FS</t>
  </si>
  <si>
    <t>AKDG012350208</t>
  </si>
  <si>
    <t>ZAPL</t>
  </si>
  <si>
    <t>Apalit Pampanga-FS</t>
  </si>
  <si>
    <t>AKDG0123560229</t>
  </si>
  <si>
    <t>BBCM</t>
  </si>
  <si>
    <t>Baybay Central Mall</t>
  </si>
  <si>
    <t>AKDG012350212</t>
  </si>
  <si>
    <t>ZBKC</t>
  </si>
  <si>
    <t>Binakayan Kawit Cavite-FS</t>
  </si>
  <si>
    <t>AKDG012350220</t>
  </si>
  <si>
    <t>ZGCS</t>
  </si>
  <si>
    <t>Goa Camarines Sur-FS</t>
  </si>
  <si>
    <t>PAS4252900219</t>
  </si>
  <si>
    <t>ZMTV</t>
  </si>
  <si>
    <t>Montevista Davao De Oro-FS</t>
  </si>
  <si>
    <t>AKDG012350192</t>
  </si>
  <si>
    <t>PACO</t>
  </si>
  <si>
    <t>Paco Commercial Center</t>
  </si>
  <si>
    <t>AEYU082360294</t>
  </si>
  <si>
    <t>ZACP</t>
  </si>
  <si>
    <t>Angeles City Pampanga-FS</t>
  </si>
  <si>
    <t>ZKM6245100225</t>
  </si>
  <si>
    <t>ZANS</t>
  </si>
  <si>
    <t>Allen Northern Samar FS</t>
  </si>
  <si>
    <t>AEYU082360274</t>
  </si>
  <si>
    <t>BGCC</t>
  </si>
  <si>
    <t>Bogo City Centrium</t>
  </si>
  <si>
    <t>AKDG012350201</t>
  </si>
  <si>
    <t>ZTBN</t>
  </si>
  <si>
    <t>Tabunok Cebu-FS</t>
  </si>
  <si>
    <t>PAS4252900189</t>
  </si>
  <si>
    <t>MGSC</t>
  </si>
  <si>
    <t>Magic Sta. Cruz</t>
  </si>
  <si>
    <t>ZKM 6251500166</t>
  </si>
  <si>
    <t>AYMB</t>
  </si>
  <si>
    <t>Ayala Manila Bay</t>
  </si>
  <si>
    <t>AKDG012350234</t>
  </si>
  <si>
    <t>ZBSC</t>
  </si>
  <si>
    <t>Bagong Silang Caloocan City-FS</t>
  </si>
  <si>
    <t>ZKM6245100128</t>
  </si>
  <si>
    <t>AYSP</t>
  </si>
  <si>
    <t>Ayala South Park</t>
  </si>
  <si>
    <t>AEYU082360298</t>
  </si>
  <si>
    <t>ZSFA</t>
  </si>
  <si>
    <t>San Francisco Agusan Del Sur-FS</t>
  </si>
  <si>
    <t>AKDG012350233</t>
  </si>
  <si>
    <t>ZCTD</t>
  </si>
  <si>
    <t>Catalunan Davao City-FS</t>
  </si>
  <si>
    <t>AKDG012350196</t>
  </si>
  <si>
    <t>JBJS</t>
  </si>
  <si>
    <t>Jumbo Jenra Sindalan</t>
  </si>
  <si>
    <t>AEYU082360245</t>
  </si>
  <si>
    <t>ZVOM</t>
  </si>
  <si>
    <t>Victoria Oriental Mindoro-FS</t>
  </si>
  <si>
    <t>AEYU082360290</t>
  </si>
  <si>
    <t>ZCTC</t>
  </si>
  <si>
    <t>Cameo Town Center Samar-FS</t>
  </si>
  <si>
    <t>AEYU082360217</t>
  </si>
  <si>
    <t>GMCB</t>
  </si>
  <si>
    <t>Gmall Cebu</t>
  </si>
  <si>
    <t>ZKM6251700309</t>
  </si>
  <si>
    <t>ZBAT</t>
  </si>
  <si>
    <t>Bato Leyte-FS</t>
  </si>
  <si>
    <t>PAS42525000</t>
  </si>
  <si>
    <t>ZLBC</t>
  </si>
  <si>
    <t>Labo Camarines Norte-FS</t>
  </si>
  <si>
    <t>AEYU082360259</t>
  </si>
  <si>
    <t>ZTIA</t>
  </si>
  <si>
    <t>Tiaong Quezon-FS</t>
  </si>
  <si>
    <t>AEYU082360251</t>
  </si>
  <si>
    <t>ZNVC</t>
  </si>
  <si>
    <t>Narvacan Ilocos Sur-FS</t>
  </si>
  <si>
    <t>AEYU082360213</t>
  </si>
  <si>
    <t>ZSSM</t>
  </si>
  <si>
    <t>Stop and Shop Manila-FS</t>
  </si>
  <si>
    <t>AEYU082360216</t>
  </si>
  <si>
    <t>SMCM</t>
  </si>
  <si>
    <t>SM Center Muntinlupa</t>
  </si>
  <si>
    <t>PAS4252500028</t>
  </si>
  <si>
    <t>AYCL</t>
  </si>
  <si>
    <t>Ayala Cloverleaf</t>
  </si>
  <si>
    <t>AEYU082360228</t>
  </si>
  <si>
    <t>MAGC</t>
  </si>
  <si>
    <t>Magic Calasiao</t>
  </si>
  <si>
    <t>AEYU082360204</t>
  </si>
  <si>
    <t>MALO</t>
  </si>
  <si>
    <t>Malolos Bayan</t>
  </si>
  <si>
    <t>AEYU082360205</t>
  </si>
  <si>
    <t>ZHMP</t>
  </si>
  <si>
    <t>Harvest Market Place Cavite-FS</t>
  </si>
  <si>
    <t>ZKM6245100181</t>
  </si>
  <si>
    <t>ZPTC</t>
  </si>
  <si>
    <t>Puerto Cagayan De Oro-FS</t>
  </si>
  <si>
    <t>AEYU82360217</t>
  </si>
  <si>
    <t>ZSNS</t>
  </si>
  <si>
    <t>Sto. Nino South Cotabato-FS</t>
  </si>
  <si>
    <t>AEYU082360261</t>
  </si>
  <si>
    <t>WMPL</t>
  </si>
  <si>
    <t>Waltermart Plaridel</t>
  </si>
  <si>
    <t>AEYU082360218</t>
  </si>
  <si>
    <t>ITIC</t>
  </si>
  <si>
    <t>Ziti Center</t>
  </si>
  <si>
    <t>PAS4253000048</t>
  </si>
  <si>
    <t>ZMVB</t>
  </si>
  <si>
    <t>Mariveles Bataan-FS</t>
  </si>
  <si>
    <t>AEYU082360222</t>
  </si>
  <si>
    <t>ZQBK</t>
  </si>
  <si>
    <t>Quezon Bukidnon-FS</t>
  </si>
  <si>
    <t>AEYU082360252</t>
  </si>
  <si>
    <t>ZGMM</t>
  </si>
  <si>
    <t>Gingoog Market Misamis Oriental-FS</t>
  </si>
  <si>
    <t>AEYU082360195</t>
  </si>
  <si>
    <t>ZPAT</t>
  </si>
  <si>
    <t>Pateros-FS</t>
  </si>
  <si>
    <t>AEYU082360283</t>
  </si>
  <si>
    <t>ZKBC</t>
  </si>
  <si>
    <t>Kabacan Cotabato-FS</t>
  </si>
  <si>
    <t>JGTC</t>
  </si>
  <si>
    <t>J&amp;G Town Center Mabuhay</t>
  </si>
  <si>
    <t>AEYU082360210</t>
  </si>
  <si>
    <t>ZDPH</t>
  </si>
  <si>
    <t>Dipolog Highway-FS</t>
  </si>
  <si>
    <t>AEYU082360193</t>
  </si>
  <si>
    <t>ZSAG</t>
  </si>
  <si>
    <t>Sum Ag Bacolod City-FS</t>
  </si>
  <si>
    <t>AEYU082360223</t>
  </si>
  <si>
    <t>ZLCC</t>
  </si>
  <si>
    <t>La Carlota City Negros Occidental-FS</t>
  </si>
  <si>
    <t>AEYU082360212</t>
  </si>
  <si>
    <t>ZSIN</t>
  </si>
  <si>
    <t>San Isidro Nueva Ecija-FS</t>
  </si>
  <si>
    <t>AEYU082360273</t>
  </si>
  <si>
    <t>ZBNR</t>
  </si>
  <si>
    <t>Binangonan Rizal-FS</t>
  </si>
  <si>
    <t>AEYU082360277</t>
  </si>
  <si>
    <t>ZMDV</t>
  </si>
  <si>
    <t>Malita Davao Occidental-FS</t>
  </si>
  <si>
    <t>AEYU082360231</t>
  </si>
  <si>
    <t>ZPDD</t>
  </si>
  <si>
    <t>Padada Davao Del Sur-FS</t>
  </si>
  <si>
    <t>AEYU082360247</t>
  </si>
  <si>
    <t>ZBNE</t>
  </si>
  <si>
    <t>Bongabon Nueva Ecija</t>
  </si>
  <si>
    <t>AEYU082360253</t>
  </si>
  <si>
    <t>ZCMM</t>
  </si>
  <si>
    <t>Claveria Market Misamis Oriental-FS</t>
  </si>
  <si>
    <t>AEYU082360282</t>
  </si>
  <si>
    <t>EWCB</t>
  </si>
  <si>
    <t>Eastwood Cyber &amp; Fashion Mall</t>
  </si>
  <si>
    <t>AEYU082360248</t>
  </si>
  <si>
    <t>ZMIC</t>
  </si>
  <si>
    <t>Malagasang Imus Cavite-FS</t>
  </si>
  <si>
    <t>AEYU082360254</t>
  </si>
  <si>
    <t>ZESK</t>
  </si>
  <si>
    <t>Esperanza Sultan Kudarat-FS</t>
  </si>
  <si>
    <t>AEYU082360292</t>
  </si>
  <si>
    <t>PGMA</t>
  </si>
  <si>
    <t>Puregold Maria Aurora</t>
  </si>
  <si>
    <t>AEYU082360280</t>
  </si>
  <si>
    <t>ZMB2</t>
  </si>
  <si>
    <t>Malaybalay 2 Bukidnon-FS</t>
  </si>
  <si>
    <t>AEYU082360265</t>
  </si>
  <si>
    <t>ZJSC</t>
  </si>
  <si>
    <t>Jakosalem Cebu-FS</t>
  </si>
  <si>
    <t>AEYU082356208</t>
  </si>
  <si>
    <t>SSJD</t>
  </si>
  <si>
    <t>Starmall San Jose Del Monte</t>
  </si>
  <si>
    <t>ZKM6245100290</t>
  </si>
  <si>
    <t>ZROS</t>
  </si>
  <si>
    <t>Rosario Batangas-FS</t>
  </si>
  <si>
    <t>AEYU082360230</t>
  </si>
  <si>
    <t>ZCVS</t>
  </si>
  <si>
    <t>Claver Surigao Del Norte-FS</t>
  </si>
  <si>
    <t>AEYU082360233</t>
  </si>
  <si>
    <t>ZKNL</t>
  </si>
  <si>
    <t>Kananga Leyte-FS</t>
  </si>
  <si>
    <t>AEYU082360271</t>
  </si>
  <si>
    <t>ZGS2</t>
  </si>
  <si>
    <t>General Santos City 2-FS</t>
  </si>
  <si>
    <t>AEYU082360278</t>
  </si>
  <si>
    <t>ZTGC</t>
  </si>
  <si>
    <t>Tagum City Davao Del Norte-FS</t>
  </si>
  <si>
    <t>AEYU082360240</t>
  </si>
  <si>
    <t>BLKM</t>
  </si>
  <si>
    <t>Bacong Leon Kilat Mall</t>
  </si>
  <si>
    <t>AKDG012351689</t>
  </si>
  <si>
    <t>ZASP</t>
  </si>
  <si>
    <t>Asingan Pangasinan-FS</t>
  </si>
  <si>
    <t>AEYU082360263</t>
  </si>
  <si>
    <t>ZABL</t>
  </si>
  <si>
    <t>Abuyog Leyte-FS</t>
  </si>
  <si>
    <t>AEYU082360279</t>
  </si>
  <si>
    <t>TOLP</t>
  </si>
  <si>
    <t>The Outlets Lipa</t>
  </si>
  <si>
    <t>AEYU082360244</t>
  </si>
  <si>
    <t>PWMS</t>
  </si>
  <si>
    <t>Parkway Mall Surigao</t>
  </si>
  <si>
    <t>AEYU082360291</t>
  </si>
  <si>
    <t>GGMO</t>
  </si>
  <si>
    <t>Geege Mall Ozamis</t>
  </si>
  <si>
    <t>AEYU082360270</t>
  </si>
  <si>
    <t>ZTYP</t>
  </si>
  <si>
    <t>Tayug Pangasinan-FS</t>
  </si>
  <si>
    <t>AEYU082360295</t>
  </si>
  <si>
    <t>ZBYP</t>
  </si>
  <si>
    <t>Bayambang Pangasinan-FS</t>
  </si>
  <si>
    <t>AEYU082360246</t>
  </si>
  <si>
    <t>ZPLB</t>
  </si>
  <si>
    <t>Panglao Bohol-FS</t>
  </si>
  <si>
    <t>AEYU082360225</t>
  </si>
  <si>
    <t>WMBI</t>
  </si>
  <si>
    <t>Waltermart Bicutan</t>
  </si>
  <si>
    <t>AEYU082360285</t>
  </si>
  <si>
    <t>GCBC</t>
  </si>
  <si>
    <t>Guadalupe Commercial Building Cebu</t>
  </si>
  <si>
    <t>ZKM6245100271</t>
  </si>
  <si>
    <t>SLU2</t>
  </si>
  <si>
    <t>Sta. Lucia Mall 2</t>
  </si>
  <si>
    <t>AEYU082360234</t>
  </si>
  <si>
    <t>PGNV</t>
  </si>
  <si>
    <t>Puregold Novaliches</t>
  </si>
  <si>
    <t>AEYU082360250</t>
  </si>
  <si>
    <t>ZORA</t>
  </si>
  <si>
    <t>Orani Bataan-FS</t>
  </si>
  <si>
    <t>AEYU082360256</t>
  </si>
  <si>
    <t>ZSPP</t>
  </si>
  <si>
    <t>Sicsican Puerto Princesa Palawan-FS</t>
  </si>
  <si>
    <t>AEYU082360237</t>
  </si>
  <si>
    <t>ZDCL</t>
  </si>
  <si>
    <t>Dancalan Ilog Negros Occidental-FS</t>
  </si>
  <si>
    <t>AEYU082360276</t>
  </si>
  <si>
    <t>ZBTT</t>
  </si>
  <si>
    <t>Buntun Tuguegarao-FS</t>
  </si>
  <si>
    <t>ZKM6245100112</t>
  </si>
  <si>
    <t>GENL</t>
  </si>
  <si>
    <t>Gen Luis Novaliches</t>
  </si>
  <si>
    <t>AEYU082360286</t>
  </si>
  <si>
    <t>ZBIS</t>
  </si>
  <si>
    <t>Bislig City Surigao Del Sur-FS</t>
  </si>
  <si>
    <t>AEYU082360257</t>
  </si>
  <si>
    <t>ZPLP</t>
  </si>
  <si>
    <t>Palompon Leyte-FS</t>
  </si>
  <si>
    <t>AEYU0823560288</t>
  </si>
  <si>
    <t>ZBRL</t>
  </si>
  <si>
    <t>Burauen Leyte-FS</t>
  </si>
  <si>
    <t>AEYU082360201</t>
  </si>
  <si>
    <t>ZAMP</t>
  </si>
  <si>
    <t>Ampayon Butuan-FS</t>
  </si>
  <si>
    <t>AEYU082360296</t>
  </si>
  <si>
    <t>ZPCC</t>
  </si>
  <si>
    <t>Pigcawayan Cotabato-FS</t>
  </si>
  <si>
    <t>AEYU082360197</t>
  </si>
  <si>
    <t>ZNSB</t>
  </si>
  <si>
    <t>Nasugbu Batangas-FS</t>
  </si>
  <si>
    <t>ZBCS</t>
  </si>
  <si>
    <t>Nabua Camarines Sur-FS</t>
  </si>
  <si>
    <t>AEYU082360202</t>
  </si>
  <si>
    <t>ZBC2</t>
  </si>
  <si>
    <t>Bantayan Cebu 2-FS</t>
  </si>
  <si>
    <t>AEYU082360297</t>
  </si>
  <si>
    <t>ZZNE</t>
  </si>
  <si>
    <t>Zaragoza Nueva Ecija-FS</t>
  </si>
  <si>
    <t>AEYU082360196</t>
  </si>
  <si>
    <t>GGPA</t>
  </si>
  <si>
    <t>Gaisano Grand Panabo</t>
  </si>
  <si>
    <t>AEYU082360260</t>
  </si>
  <si>
    <t>GGTB</t>
  </si>
  <si>
    <t>Gaisano Grand Tibungco</t>
  </si>
  <si>
    <t>AEYU082360239</t>
  </si>
  <si>
    <t>ZPSU</t>
  </si>
  <si>
    <t>Pueblo Strip CDO Uptown-FS</t>
  </si>
  <si>
    <t>AEYU082360275</t>
  </si>
  <si>
    <t>ZTBR</t>
  </si>
  <si>
    <t>Tuburan Cebu-FS</t>
  </si>
  <si>
    <t>AEYU082360269</t>
  </si>
  <si>
    <t>ZLCA</t>
  </si>
  <si>
    <t>La Castellana Negros Occidental-FS</t>
  </si>
  <si>
    <t>AEYU082360232</t>
  </si>
  <si>
    <t>PGDA</t>
  </si>
  <si>
    <t>Puregold Dau</t>
  </si>
  <si>
    <t>AEYU082360199</t>
  </si>
  <si>
    <t>ZMLT</t>
  </si>
  <si>
    <t>Don Carlos Bukidnon-FS</t>
  </si>
  <si>
    <t>AEYU082360226</t>
  </si>
  <si>
    <t>ZSNO</t>
  </si>
  <si>
    <t>Silay Negros Occidental-FS</t>
  </si>
  <si>
    <t>AEYU082360200</t>
  </si>
  <si>
    <t>ZBAN</t>
  </si>
  <si>
    <t>Bayawan Negros Oriental-FS</t>
  </si>
  <si>
    <t>AEYU082360198</t>
  </si>
  <si>
    <t>ZCPT</t>
  </si>
  <si>
    <t>Concepcion Tarlac-FS</t>
  </si>
  <si>
    <t>CQUJ233560801</t>
  </si>
  <si>
    <t>ZLLC</t>
  </si>
  <si>
    <t>Liloan Cebu-FS</t>
  </si>
  <si>
    <t>CQUJ233560478</t>
  </si>
  <si>
    <t>ZMPC</t>
  </si>
  <si>
    <t>Maypajo Caloocan City-FS</t>
  </si>
  <si>
    <t>CQUJ233560733</t>
  </si>
  <si>
    <t>CETR</t>
  </si>
  <si>
    <t>Centroplex Mall</t>
  </si>
  <si>
    <t>AEYU082360207</t>
  </si>
  <si>
    <t>ZMUR</t>
  </si>
  <si>
    <t>Murcia Negros Occidental-FS</t>
  </si>
  <si>
    <t>CQUJ233560462</t>
  </si>
  <si>
    <t>ZVHM</t>
  </si>
  <si>
    <t>Villanueva Highway Misamis Oriental-FS</t>
  </si>
  <si>
    <t>CQUJ233560413</t>
  </si>
  <si>
    <t>ZJCA</t>
  </si>
  <si>
    <t>J.C Aquino Ave. Butuan-FS</t>
  </si>
  <si>
    <t>CQUJ233560291</t>
  </si>
  <si>
    <t>ZHNO</t>
  </si>
  <si>
    <t>Hinigaran Negros Occidental-FS</t>
  </si>
  <si>
    <t>CQUJ233560808</t>
  </si>
  <si>
    <t>ZSNI</t>
  </si>
  <si>
    <t>San Nicolas Surigao del Norte-FS</t>
  </si>
  <si>
    <t>PAS4254500180</t>
  </si>
  <si>
    <t>ZTCC</t>
  </si>
  <si>
    <t>Toledo Cebu City-FS</t>
  </si>
  <si>
    <t>CQUJ233560824</t>
  </si>
  <si>
    <t>RBTC</t>
  </si>
  <si>
    <t>Roblou Town Center</t>
  </si>
  <si>
    <t>CQUJ233560166</t>
  </si>
  <si>
    <t>DIVI</t>
  </si>
  <si>
    <t>999 Divisoria</t>
  </si>
  <si>
    <t>CQUJ233560581</t>
  </si>
  <si>
    <t>ZBDO</t>
  </si>
  <si>
    <t>Baganga Davao Oriental-FS</t>
  </si>
  <si>
    <t>CQUJ233560810</t>
  </si>
  <si>
    <t>ZRLU</t>
  </si>
  <si>
    <t>Rosario La Union-FS</t>
  </si>
  <si>
    <t>CQUJ233560261</t>
  </si>
  <si>
    <t>ZKIA</t>
  </si>
  <si>
    <t>Kiamba Sarangani-FS</t>
  </si>
  <si>
    <t>CQUJ233560811</t>
  </si>
  <si>
    <t>ZISK</t>
  </si>
  <si>
    <t>Isulan Sultan Kudarat-FS</t>
  </si>
  <si>
    <t>CQUJ233560830</t>
  </si>
  <si>
    <t>GGBA</t>
  </si>
  <si>
    <t>Gaisano Grand Balamban</t>
  </si>
  <si>
    <t>CQUJ233560642</t>
  </si>
  <si>
    <t>CTPI</t>
  </si>
  <si>
    <t>CTPI Cordova Cebu</t>
  </si>
  <si>
    <t>AEYU082360272</t>
  </si>
  <si>
    <t>PMSM</t>
  </si>
  <si>
    <t>Plumera Square Mactan</t>
  </si>
  <si>
    <t>CQUJ233560477</t>
  </si>
  <si>
    <t>JBJA</t>
  </si>
  <si>
    <t>Jumbo Jenra Apalit</t>
  </si>
  <si>
    <t>CQUJ233560466</t>
  </si>
  <si>
    <t>ZCNS</t>
  </si>
  <si>
    <t>Catarman Northern Samar-FS</t>
  </si>
  <si>
    <t>CQUJ233560453</t>
  </si>
  <si>
    <t>GGPL</t>
  </si>
  <si>
    <t>Gaisano Grand Polomolok</t>
  </si>
  <si>
    <t>CQUJ233560561</t>
  </si>
  <si>
    <t>ZTBT</t>
  </si>
  <si>
    <t>Tabunok Talisay-FS</t>
  </si>
  <si>
    <t>CQUJ233560560</t>
  </si>
  <si>
    <t>GGSI</t>
  </si>
  <si>
    <t>Gaisano Grand Sara Iloilo</t>
  </si>
  <si>
    <t>CQUJ233560635</t>
  </si>
  <si>
    <t>PGMG</t>
  </si>
  <si>
    <t>Puregold Magalang</t>
  </si>
  <si>
    <t>CQUJ233560455</t>
  </si>
  <si>
    <t>GGTA</t>
  </si>
  <si>
    <t>Gaisano Grand Tagum</t>
  </si>
  <si>
    <t>CQUJ233560787</t>
  </si>
  <si>
    <t>ZOCH</t>
  </si>
  <si>
    <t>Ozamiz City Hall-FS</t>
  </si>
  <si>
    <t>CQUJ233560577</t>
  </si>
  <si>
    <t>CMAN</t>
  </si>
  <si>
    <t>Citymall of Antipolo</t>
  </si>
  <si>
    <t>CQUJ233560579</t>
  </si>
  <si>
    <t>ZRXP</t>
  </si>
  <si>
    <t>Roxas Palawan-FS</t>
  </si>
  <si>
    <t>CQUJ233560567</t>
  </si>
  <si>
    <t>GGTR</t>
  </si>
  <si>
    <t>Gaisano Grand Toril</t>
  </si>
  <si>
    <t>CQUJ233560544</t>
  </si>
  <si>
    <t>ZIZN</t>
  </si>
  <si>
    <t>Iznart Iloilo-FS</t>
  </si>
  <si>
    <t>CQUJ233560409</t>
  </si>
  <si>
    <t>BBML</t>
  </si>
  <si>
    <t>Babag Mall Lapu Lapu City</t>
  </si>
  <si>
    <t>CQUJ233560317</t>
  </si>
  <si>
    <t>GGMA</t>
  </si>
  <si>
    <t>Gaisano Grand Mactan</t>
  </si>
  <si>
    <t>CQUJ233560822</t>
  </si>
  <si>
    <t>MBSP</t>
  </si>
  <si>
    <t>Mabalacat Square Pampanga</t>
  </si>
  <si>
    <t>CQUJ233561238</t>
  </si>
  <si>
    <t>BGSA</t>
  </si>
  <si>
    <t>Budgetwise Sangali</t>
  </si>
  <si>
    <t>CQUJ233561236</t>
  </si>
  <si>
    <t>ZTZS</t>
  </si>
  <si>
    <t>Titay Zamboanga Sibugay-FS</t>
  </si>
  <si>
    <t>CQUJ233561218</t>
  </si>
  <si>
    <t>ZSUR</t>
  </si>
  <si>
    <t>Surigao Highway FS</t>
  </si>
  <si>
    <t>CQUJ233560320</t>
  </si>
  <si>
    <t>ZANC</t>
  </si>
  <si>
    <t>Antipas Norh Cotabato-FS</t>
  </si>
  <si>
    <t>CQUJ233561244</t>
  </si>
  <si>
    <t>ZOLD</t>
  </si>
  <si>
    <t>Old Albay District Legaspi-FS</t>
  </si>
  <si>
    <t>CQUJ233561205</t>
  </si>
  <si>
    <t>ZBGG</t>
  </si>
  <si>
    <t>Baggao Cagayan-FS</t>
  </si>
  <si>
    <t>CQUJ233561246</t>
  </si>
  <si>
    <t>ZTMU</t>
  </si>
  <si>
    <t>Tumauini Isabela-FS</t>
  </si>
  <si>
    <t>ZKM6245100224</t>
  </si>
  <si>
    <t>ZAPC</t>
  </si>
  <si>
    <t>Aparri Cagayan FS</t>
  </si>
  <si>
    <t>CQUJ233561150</t>
  </si>
  <si>
    <t>ZLMC</t>
  </si>
  <si>
    <t>Lilac Marikina City FS</t>
  </si>
  <si>
    <t>CQUJ233561153</t>
  </si>
  <si>
    <t>ZCCC</t>
  </si>
  <si>
    <t>Carcar City Cebu-FS</t>
  </si>
  <si>
    <t>CQUJ233560408</t>
  </si>
  <si>
    <t>ARGT</t>
  </si>
  <si>
    <t>Zarraga Town Center Iloilo</t>
  </si>
  <si>
    <t>CQUJ233560280</t>
  </si>
  <si>
    <t>ZSIP</t>
  </si>
  <si>
    <t>Sipalay Negros Occidental-FS</t>
  </si>
  <si>
    <t>CQUJ233560398</t>
  </si>
  <si>
    <t>ZTGP</t>
  </si>
  <si>
    <t>Tagoloan Plaza-FS</t>
  </si>
  <si>
    <t>CQUJ233560821</t>
  </si>
  <si>
    <t>PGSU</t>
  </si>
  <si>
    <t>Puregold Sumulong</t>
  </si>
  <si>
    <t>CQUJ233561362</t>
  </si>
  <si>
    <t>ZLGI</t>
  </si>
  <si>
    <t>Leganes Iloilo-FS</t>
  </si>
  <si>
    <t>CQUJ233561168</t>
  </si>
  <si>
    <t>ZLAP</t>
  </si>
  <si>
    <t>Lapu Lapu Cebu-FS</t>
  </si>
  <si>
    <t>CQUJ233561245</t>
  </si>
  <si>
    <t>ZXCO</t>
  </si>
  <si>
    <t>Xavier Corrales-FS</t>
  </si>
  <si>
    <t>CQUJ233561242</t>
  </si>
  <si>
    <t>ZMAC</t>
  </si>
  <si>
    <t>Maa Crisron Davao-FS</t>
  </si>
  <si>
    <t>CQUJ233561154</t>
  </si>
  <si>
    <t>ZTBL</t>
  </si>
  <si>
    <t>Tubod Lanao Del Norte-FS</t>
  </si>
  <si>
    <t>CQUJ233561166</t>
  </si>
  <si>
    <t>ZMGP</t>
  </si>
  <si>
    <t>Mangatarem Pangasinan-FS</t>
  </si>
  <si>
    <t>cquj233561353</t>
  </si>
  <si>
    <t>GSGM</t>
  </si>
  <si>
    <t>Gaisano Grand Maasin</t>
  </si>
  <si>
    <t>CQUJ233561243</t>
  </si>
  <si>
    <t>ZG2B</t>
  </si>
  <si>
    <t>G2 Building Kalibo-FS</t>
  </si>
  <si>
    <t>CQUJ233561253</t>
  </si>
  <si>
    <t>ZCAL</t>
  </si>
  <si>
    <t>Calamba Market Misamis Occidental-FS</t>
  </si>
  <si>
    <t>CQUJ233561358</t>
  </si>
  <si>
    <t>GGRM</t>
  </si>
  <si>
    <t>Gaisano Grand Roxas Marketplace</t>
  </si>
  <si>
    <t>ZSDD</t>
  </si>
  <si>
    <t>Samal Davao Del Norte 2-FS</t>
  </si>
  <si>
    <t>CQUJ233561101</t>
  </si>
  <si>
    <t>CTPP</t>
  </si>
  <si>
    <t>Center Point Plaza</t>
  </si>
  <si>
    <t>CQUJ233561452</t>
  </si>
  <si>
    <t>ZCLC</t>
  </si>
  <si>
    <t>Calaca Batangas-FS</t>
  </si>
  <si>
    <t>CQUJ233561504</t>
  </si>
  <si>
    <t>ZOZM</t>
  </si>
  <si>
    <t>Ozamiz 2-FS</t>
  </si>
  <si>
    <t>CQUJ233561459</t>
  </si>
  <si>
    <t>ZMDQ</t>
  </si>
  <si>
    <t>Maddela Quirino-FS</t>
  </si>
  <si>
    <t>CQUJ233561104</t>
  </si>
  <si>
    <t>MPBS</t>
  </si>
  <si>
    <t>Metroplaza-Bagong Silang</t>
  </si>
  <si>
    <t>CQUJ233561355</t>
  </si>
  <si>
    <t>ZBTK</t>
  </si>
  <si>
    <t>Bulanao Tabuk Kalinga-FS</t>
  </si>
  <si>
    <t>CQUJ233561160</t>
  </si>
  <si>
    <t>ZTGT</t>
  </si>
  <si>
    <t>TGC Tagaytay-FS</t>
  </si>
  <si>
    <t>CQUJ233561177</t>
  </si>
  <si>
    <t>ZBVG</t>
  </si>
  <si>
    <t>Buenavista Guimaras-FS</t>
  </si>
  <si>
    <t>CQUJ233561162</t>
  </si>
  <si>
    <t>ZANO</t>
  </si>
  <si>
    <t>Ayungon Negros Oriental-FS</t>
  </si>
  <si>
    <t>CQUJ233561090</t>
  </si>
  <si>
    <t>ZRAP</t>
  </si>
  <si>
    <t>Rizal Avenue Pagadian-FS</t>
  </si>
  <si>
    <t>CQUJ233561089</t>
  </si>
  <si>
    <t>ZLZB</t>
  </si>
  <si>
    <t>Liloy Zamboanga Del Norte-FS</t>
  </si>
  <si>
    <t>CQUJ233561106</t>
  </si>
  <si>
    <t>ZTRC</t>
  </si>
  <si>
    <t>The Triangle Roxas City-FS</t>
  </si>
  <si>
    <t>CQUJ233561287</t>
  </si>
  <si>
    <t>PGBO</t>
  </si>
  <si>
    <t>Pueregold Bocaue</t>
  </si>
  <si>
    <t>CQUJ233561185</t>
  </si>
  <si>
    <t>SCUB</t>
  </si>
  <si>
    <t>SM Hypermarket Cubao</t>
  </si>
  <si>
    <t>CQUJ233560679</t>
  </si>
  <si>
    <t>ZSCS</t>
  </si>
  <si>
    <t>Sipocot Camarines Sur-FS</t>
  </si>
  <si>
    <t>CQUJ233561291</t>
  </si>
  <si>
    <t>ZDMF</t>
  </si>
  <si>
    <t>Damilag Manolo Fortich-FS</t>
  </si>
  <si>
    <t>CQUJ233560237</t>
  </si>
  <si>
    <t>ZKWG</t>
  </si>
  <si>
    <t>Kauswagan CDO-FS</t>
  </si>
  <si>
    <t>CQUJ233561292</t>
  </si>
  <si>
    <t>RMRS</t>
  </si>
  <si>
    <t>RMR Square</t>
  </si>
  <si>
    <t>CQUJ233561348</t>
  </si>
  <si>
    <t>NDRC</t>
  </si>
  <si>
    <t>North Drive Cebu</t>
  </si>
  <si>
    <t>CQUJ233561093</t>
  </si>
  <si>
    <t>ZKSC</t>
  </si>
  <si>
    <t>Koronadal South Cotabato-FS</t>
  </si>
  <si>
    <t>CQUJ233561108</t>
  </si>
  <si>
    <t>ZDNC</t>
  </si>
  <si>
    <t>Danao Cebu-FS</t>
  </si>
  <si>
    <t>CQUJ233561468</t>
  </si>
  <si>
    <t>ZALB</t>
  </si>
  <si>
    <t>Alabel Sarangani-FS</t>
  </si>
  <si>
    <t>CQUJ233561207</t>
  </si>
  <si>
    <t>ZBGA</t>
  </si>
  <si>
    <t>Bangued Abra-FS</t>
  </si>
  <si>
    <t>CQUJ233561288</t>
  </si>
  <si>
    <t>GGCC</t>
  </si>
  <si>
    <t>Gaisano Grand City Central</t>
  </si>
  <si>
    <t>CQUJ233560865</t>
  </si>
  <si>
    <t>ZKBW</t>
  </si>
  <si>
    <t>Kibawe Bukidnon-FS</t>
  </si>
  <si>
    <t>CQUJ233560289</t>
  </si>
  <si>
    <t>ZQAD</t>
  </si>
  <si>
    <t>Quezon Ave. Dipolog-FS</t>
  </si>
  <si>
    <t>CQUJ233560863</t>
  </si>
  <si>
    <t>ZLIN</t>
  </si>
  <si>
    <t>Laoag Ilocos Norte-FS</t>
  </si>
  <si>
    <t>CQUJ233560986</t>
  </si>
  <si>
    <t>PGOT</t>
  </si>
  <si>
    <t>Puregold Oton</t>
  </si>
  <si>
    <t>CQUJ233560867</t>
  </si>
  <si>
    <t>ZMAS</t>
  </si>
  <si>
    <t>Maasim Sarangani-FS</t>
  </si>
  <si>
    <t>CQUJ233560844</t>
  </si>
  <si>
    <t>ZVNO</t>
  </si>
  <si>
    <t>Valencia Negros Oriental-FS</t>
  </si>
  <si>
    <t>CQUJ233560861</t>
  </si>
  <si>
    <t>ZBDD</t>
  </si>
  <si>
    <t>Bansalan Davao Del Sur-FS</t>
  </si>
  <si>
    <t>CQUJ233560838</t>
  </si>
  <si>
    <t>ZMGM</t>
  </si>
  <si>
    <t>Maigo Market FS</t>
  </si>
  <si>
    <t>CQUJ233560868</t>
  </si>
  <si>
    <t>ZTCA</t>
  </si>
  <si>
    <t>Tabaco City Albay 2-FS</t>
  </si>
  <si>
    <t>CQUJ233560969</t>
  </si>
  <si>
    <t>ZCTB</t>
  </si>
  <si>
    <t>Cotabato Mega Market-FS</t>
  </si>
  <si>
    <t>CQUJ233560971</t>
  </si>
  <si>
    <t>ZMAN</t>
  </si>
  <si>
    <t>Mansilingan Bacolod-FS</t>
  </si>
  <si>
    <t>CQUJ233560866</t>
  </si>
  <si>
    <t>SUTC</t>
  </si>
  <si>
    <t>Suvil Town Center</t>
  </si>
  <si>
    <t>CQUJ233560862</t>
  </si>
  <si>
    <t>ZCDD</t>
  </si>
  <si>
    <t>Compostella Davao De Oro-FS</t>
  </si>
  <si>
    <t>ZKM6245100107</t>
  </si>
  <si>
    <t>XTMR</t>
  </si>
  <si>
    <t>Xentro Mall Roxas</t>
  </si>
  <si>
    <t>CQUJ233560973</t>
  </si>
  <si>
    <t>GPSC</t>
  </si>
  <si>
    <t>Golden Paragon Shopping Center</t>
  </si>
  <si>
    <t>CQUJ233560962</t>
  </si>
  <si>
    <t>ZCBG</t>
  </si>
  <si>
    <t>Cabugao Ilocos Sur-FS</t>
  </si>
  <si>
    <t>CQUJ233560633</t>
  </si>
  <si>
    <t>ZMOM</t>
  </si>
  <si>
    <t>Mamburao Occidental Mindoro-FS</t>
  </si>
  <si>
    <t>CQUJ233560545</t>
  </si>
  <si>
    <t>ZRSP</t>
  </si>
  <si>
    <t>Rosales Pangasinan-FS</t>
  </si>
  <si>
    <t xml:space="preserve">CQUJ232260326 </t>
  </si>
  <si>
    <t>ZANE</t>
  </si>
  <si>
    <t>Aliaga Nueva Ecija-FS</t>
  </si>
  <si>
    <t>CQUJ233560144</t>
  </si>
  <si>
    <t>ZTYB</t>
  </si>
  <si>
    <t>Tayabas Quezon-FS</t>
  </si>
  <si>
    <t>CQUJ233560115</t>
  </si>
  <si>
    <t>ZVLP</t>
  </si>
  <si>
    <t>Villasis Pangasinan-FS</t>
  </si>
  <si>
    <t>CQUJ232260325</t>
  </si>
  <si>
    <t>ZISB</t>
  </si>
  <si>
    <t>Isabel Leyte</t>
  </si>
  <si>
    <t>CQUJ232260321</t>
  </si>
  <si>
    <t>ZSAN</t>
  </si>
  <si>
    <t>San Antonio Nueva Ecija-FS</t>
  </si>
  <si>
    <t>CQUJ233560542</t>
  </si>
  <si>
    <t>GRCP</t>
  </si>
  <si>
    <t>Graceland Plaza</t>
  </si>
  <si>
    <t>CQUJ233560624</t>
  </si>
  <si>
    <t>ZSIR</t>
  </si>
  <si>
    <t>San Isidro Rodriguez Rizal FS</t>
  </si>
  <si>
    <t>COUJ2322603323</t>
  </si>
  <si>
    <t>BGWI</t>
  </si>
  <si>
    <t>Budgetwise Ipil</t>
  </si>
  <si>
    <t>CQUJ233560970</t>
  </si>
  <si>
    <t>ZLBG</t>
  </si>
  <si>
    <t>Libungan Cotabato-FS</t>
  </si>
  <si>
    <t>CQUJ233560965</t>
  </si>
  <si>
    <t>ZBRG</t>
  </si>
  <si>
    <t>Borongan Samar-FS</t>
  </si>
  <si>
    <t>CQUJ233560540</t>
  </si>
  <si>
    <t>ZMG2</t>
  </si>
  <si>
    <t>Minglanilla Cebu 2-FS</t>
  </si>
  <si>
    <t>CQUJ233560968</t>
  </si>
  <si>
    <t>ZGRR</t>
  </si>
  <si>
    <t>Gov Ramos Zamboanga-FS</t>
  </si>
  <si>
    <t>CQUJ233560922</t>
  </si>
  <si>
    <t>ZAPB</t>
  </si>
  <si>
    <t>Amar Plaza Bacolod-FS</t>
  </si>
  <si>
    <t>CQUJ232260332</t>
  </si>
  <si>
    <t>ZTGM</t>
  </si>
  <si>
    <t>Tangub Misamis Occidental 2-FS</t>
  </si>
  <si>
    <t>CQUJ233561439</t>
  </si>
  <si>
    <t>ZMHY</t>
  </si>
  <si>
    <t>Mahayag Zamboanga Del Sur-FS</t>
  </si>
  <si>
    <t>CQUJ232260316</t>
  </si>
  <si>
    <t>ZAGO</t>
  </si>
  <si>
    <t>Agora CDO-FS</t>
  </si>
  <si>
    <t>CQUJ232260324</t>
  </si>
  <si>
    <t>ZCDO</t>
  </si>
  <si>
    <t>Cateel Davao Oriental-FS</t>
  </si>
  <si>
    <t>CQUJ232260322</t>
  </si>
  <si>
    <t>ZTBI</t>
  </si>
  <si>
    <t>Tubod Iligan-FS</t>
  </si>
  <si>
    <t>CQUJ233561148</t>
  </si>
  <si>
    <t>OUGC</t>
  </si>
  <si>
    <t>Ouano Grand Center</t>
  </si>
  <si>
    <t>CQUJ232260319</t>
  </si>
  <si>
    <t>ZADC</t>
  </si>
  <si>
    <t>Agdao Davao City-FS</t>
  </si>
  <si>
    <t>CQUJ233561097</t>
  </si>
  <si>
    <t>ZCDC</t>
  </si>
  <si>
    <t>Calinan Davao City-FS</t>
  </si>
  <si>
    <t>CQUJ233561136</t>
  </si>
  <si>
    <t>ZMAI</t>
  </si>
  <si>
    <t>Maitum Sarangani-FS</t>
  </si>
  <si>
    <t>CQUJ232260318</t>
  </si>
  <si>
    <t>ZTBS</t>
  </si>
  <si>
    <t>Tboli South Cotabato-FS</t>
  </si>
  <si>
    <t>CQUJ233561141</t>
  </si>
  <si>
    <t>JBJD</t>
  </si>
  <si>
    <t>Jumbo Jenra Dolores</t>
  </si>
  <si>
    <t>CQUJ233560060</t>
  </si>
  <si>
    <t>ZVAL</t>
  </si>
  <si>
    <t>Valencia 2-FS</t>
  </si>
  <si>
    <t>CQUJ233560604</t>
  </si>
  <si>
    <t>ZCDI</t>
  </si>
  <si>
    <t>Cordon Isabela-FS</t>
  </si>
  <si>
    <t>CQUJ233560071</t>
  </si>
  <si>
    <t>CWKI</t>
  </si>
  <si>
    <t>Central Warehouse Kidapawan</t>
  </si>
  <si>
    <t>CQUJ233561145</t>
  </si>
  <si>
    <t>ZAQC</t>
  </si>
  <si>
    <t>Anonas Quezon City-FS</t>
  </si>
  <si>
    <t>CQUJ233560049</t>
  </si>
  <si>
    <t>WMSL</t>
  </si>
  <si>
    <t>Waltermart Silang</t>
  </si>
  <si>
    <t>CQUJ233561149</t>
  </si>
  <si>
    <t>DECA</t>
  </si>
  <si>
    <t>Deca Mall</t>
  </si>
  <si>
    <t>192.168.1.205</t>
  </si>
  <si>
    <t>ZSDI</t>
  </si>
  <si>
    <t>Sto. Domingo Ilocos Sur-FS</t>
  </si>
  <si>
    <t>CQUJ233561167</t>
  </si>
  <si>
    <t>ZCAD</t>
  </si>
  <si>
    <t>Cadiz Negros Occidental-FS</t>
  </si>
  <si>
    <t>CQUJ233560051</t>
  </si>
  <si>
    <t>ZGBC</t>
  </si>
  <si>
    <t>Granada Bacolod City-FS</t>
  </si>
  <si>
    <t>CQUJ233560076</t>
  </si>
  <si>
    <t>SEDS</t>
  </si>
  <si>
    <t>Starmall Edsa Shaw</t>
  </si>
  <si>
    <t>CQUJ232260083</t>
  </si>
  <si>
    <t>MPMD</t>
  </si>
  <si>
    <t>Marketplace Mandaluyong</t>
  </si>
  <si>
    <t>CQUJ232260071</t>
  </si>
  <si>
    <t>ZAUR</t>
  </si>
  <si>
    <t>Aurora Zamboanga Del Sur-FS</t>
  </si>
  <si>
    <t>CQUJ233561151</t>
  </si>
  <si>
    <t>ZHNB</t>
  </si>
  <si>
    <t>Hinoba-an Negros Occidental-FS</t>
  </si>
  <si>
    <t>CQUJ233560061</t>
  </si>
  <si>
    <t>ZSMC</t>
  </si>
  <si>
    <t>Sanchez-Mira Cagayan-FS</t>
  </si>
  <si>
    <t>CQUJ232260084</t>
  </si>
  <si>
    <t>ZTDL</t>
  </si>
  <si>
    <t>Tudela Misamis-FS</t>
  </si>
  <si>
    <t>CQUJ233560053</t>
  </si>
  <si>
    <t>ZUEB</t>
  </si>
  <si>
    <t>Upper East Bacolod-FS</t>
  </si>
  <si>
    <t>CQUJ233560079</t>
  </si>
  <si>
    <t>ZOGP</t>
  </si>
  <si>
    <t>Olongapo 2-FS</t>
  </si>
  <si>
    <t>CQUJ232260077</t>
  </si>
  <si>
    <t>ZPBQ</t>
  </si>
  <si>
    <t>Pagbilao Quezon-FS</t>
  </si>
  <si>
    <t>CQUJ232260124</t>
  </si>
  <si>
    <t>ZPTG</t>
  </si>
  <si>
    <t>Puerto Galera-FS</t>
  </si>
  <si>
    <t>CQUJ232260074</t>
  </si>
  <si>
    <t>ZMPP</t>
  </si>
  <si>
    <t>Mapandan Pangasinan</t>
  </si>
  <si>
    <t>CQUJ233560171</t>
  </si>
  <si>
    <t>ZBOA</t>
  </si>
  <si>
    <t>Boac Marinduque-FS</t>
  </si>
  <si>
    <t>CQUJ233560176</t>
  </si>
  <si>
    <t>GSAA</t>
  </si>
  <si>
    <t>Gaisano Araneta Avenue</t>
  </si>
  <si>
    <t>CQUJ233561174</t>
  </si>
  <si>
    <t>ZFAC</t>
  </si>
  <si>
    <t>Felix Avenue Cainta-FS</t>
  </si>
  <si>
    <t>CQUJ233560077</t>
  </si>
  <si>
    <t>ZBCI</t>
  </si>
  <si>
    <t>Bacarra Ilocos Norte-FS</t>
  </si>
  <si>
    <t>CQUJ233560039</t>
  </si>
  <si>
    <t>SMTG</t>
  </si>
  <si>
    <t>SM Center Tuguegarao</t>
  </si>
  <si>
    <t>ZKM6251700138</t>
  </si>
  <si>
    <t>ZBAR</t>
  </si>
  <si>
    <t>Baras Rizal-FS</t>
  </si>
  <si>
    <t>CTMC</t>
  </si>
  <si>
    <t>Citymall Consolacion</t>
  </si>
  <si>
    <t>CQUJ232260091</t>
  </si>
  <si>
    <t>BGWT</t>
  </si>
  <si>
    <t>Budgetwise Talon-Talon</t>
  </si>
  <si>
    <t>ZKM6245100155</t>
  </si>
  <si>
    <t>ZKPD</t>
  </si>
  <si>
    <t>Kapatagan Lanao Del Norte</t>
  </si>
  <si>
    <t>ZKM6245100172</t>
  </si>
  <si>
    <t>ZLGS</t>
  </si>
  <si>
    <t>Lagao General Santos-FS</t>
  </si>
  <si>
    <t>ZKM6245100152</t>
  </si>
  <si>
    <t>ZAMF</t>
  </si>
  <si>
    <t>Alae Manolo Fortich-FS</t>
  </si>
  <si>
    <t>ZKM6245100156</t>
  </si>
  <si>
    <t>ZSMD</t>
  </si>
  <si>
    <t>Suki Market Dapitan-FS</t>
  </si>
  <si>
    <t>CQUJ233560029</t>
  </si>
  <si>
    <t>ZPMA</t>
  </si>
  <si>
    <t>Parang Maguindanao del Norte-FS</t>
  </si>
  <si>
    <t>CQUJ233560143</t>
  </si>
  <si>
    <t>ZESI</t>
  </si>
  <si>
    <t>Estancia Iloilo</t>
  </si>
  <si>
    <t>CQUJ233560131</t>
  </si>
  <si>
    <t>SRMM</t>
  </si>
  <si>
    <t>San Rafael Massway Mall</t>
  </si>
  <si>
    <t>CQUJ233560109</t>
  </si>
  <si>
    <t>WMNA</t>
  </si>
  <si>
    <t>Waltermart Naic</t>
  </si>
  <si>
    <t>CQUJ233560676</t>
  </si>
  <si>
    <t>ZLBP</t>
  </si>
  <si>
    <t>Lubao Pampanga-FS</t>
  </si>
  <si>
    <t>CQUJ233560647</t>
  </si>
  <si>
    <t>ZCNO</t>
  </si>
  <si>
    <t>Calatrava Negros Occidental-FS</t>
  </si>
  <si>
    <t>ZKM6245100119</t>
  </si>
  <si>
    <t>SMCR</t>
  </si>
  <si>
    <t>SM City Rosario</t>
  </si>
  <si>
    <t>AKDG012350206</t>
  </si>
  <si>
    <t>GGCB</t>
  </si>
  <si>
    <t>Gaisano Grand CityGate Buhangin</t>
  </si>
  <si>
    <t>CQUJ233560036</t>
  </si>
  <si>
    <t>ZLMY</t>
  </si>
  <si>
    <t>Limay Bataan-FS</t>
  </si>
  <si>
    <t>CQUJ233560678</t>
  </si>
  <si>
    <t>ZGWN</t>
  </si>
  <si>
    <t>Guiwan Zamboanga City FS</t>
  </si>
  <si>
    <t>CQUJ233560121</t>
  </si>
  <si>
    <t>ZMRA</t>
  </si>
  <si>
    <t>Marasbaras Tacloban-FS</t>
  </si>
  <si>
    <t>CQUJ233560672</t>
  </si>
  <si>
    <t>VIBP</t>
  </si>
  <si>
    <t>Vibo Place</t>
  </si>
  <si>
    <t>CQUJ233560040</t>
  </si>
  <si>
    <t>WMSP</t>
  </si>
  <si>
    <t>Waltermart San Pascual</t>
  </si>
  <si>
    <t>AEYU082630227</t>
  </si>
  <si>
    <t>ZMUN</t>
  </si>
  <si>
    <t>Munoz Nueva Ecija</t>
  </si>
  <si>
    <t>CQUJ233560081</t>
  </si>
  <si>
    <t>ZSML</t>
  </si>
  <si>
    <t>Suki Market Laguna</t>
  </si>
  <si>
    <t>CQUJ233560099</t>
  </si>
  <si>
    <t>ZJNE</t>
  </si>
  <si>
    <t>Jaen Nueva Ecija-FS</t>
  </si>
  <si>
    <t>CQUJ233560680</t>
  </si>
  <si>
    <t>ZALU</t>
  </si>
  <si>
    <t>Agoo La Union</t>
  </si>
  <si>
    <t>CQUJ233560080</t>
  </si>
  <si>
    <t>GGOS</t>
  </si>
  <si>
    <t>Gaisano Grand Oslob</t>
  </si>
  <si>
    <t>CQUJ233561080</t>
  </si>
  <si>
    <t>ZSFC</t>
  </si>
  <si>
    <t>San Fernando Cebu-FS</t>
  </si>
  <si>
    <t>CQUJ233560035</t>
  </si>
  <si>
    <t>ZABU</t>
  </si>
  <si>
    <t>Abulug Cagayan-FS</t>
  </si>
  <si>
    <t>CQUJ233560078</t>
  </si>
  <si>
    <t>ZNJM</t>
  </si>
  <si>
    <t>Najuan Mindoro</t>
  </si>
  <si>
    <t>CQUJ233560082</t>
  </si>
  <si>
    <t>ZCCD</t>
  </si>
  <si>
    <t>Carmen Cagayan De Oro-FS</t>
  </si>
  <si>
    <t>CQUJ233560034</t>
  </si>
  <si>
    <t>ZBTV</t>
  </si>
  <si>
    <t>Bagontaas Valencia-FS</t>
  </si>
  <si>
    <t>CQUJ233560111</t>
  </si>
  <si>
    <t>ZKS2</t>
  </si>
  <si>
    <t>Koronadal South Cotabato 2-FS</t>
  </si>
  <si>
    <t>CQUJ233560681</t>
  </si>
  <si>
    <t>ZDCS</t>
  </si>
  <si>
    <t>Daet Camarines Sur</t>
  </si>
  <si>
    <t>CQUJ233560096</t>
  </si>
  <si>
    <t>ZBNI</t>
  </si>
  <si>
    <t>Barotac Nuevo Iloilo-FS</t>
  </si>
  <si>
    <t>CQUJ233560137</t>
  </si>
  <si>
    <t>ZCBD</t>
  </si>
  <si>
    <t>Cabaguio Davao City FS</t>
  </si>
  <si>
    <t>ZKM6245100117</t>
  </si>
  <si>
    <t>GSCJ</t>
  </si>
  <si>
    <t>Gaisano Capital Janiuary</t>
  </si>
  <si>
    <t>CQUJ233560058</t>
  </si>
  <si>
    <t>ZMBY</t>
  </si>
  <si>
    <t>Mabinay Negros Oriental-FS</t>
  </si>
  <si>
    <t>CQUJ232260140</t>
  </si>
  <si>
    <t>ZCLV</t>
  </si>
  <si>
    <t>Claveria Cagayan</t>
  </si>
  <si>
    <t>CQUJ233560431</t>
  </si>
  <si>
    <t>VSMT</t>
  </si>
  <si>
    <t>Vista Mall Tanza</t>
  </si>
  <si>
    <t>ZKM6245100138</t>
  </si>
  <si>
    <t>ZCAN</t>
  </si>
  <si>
    <t>Canlaon City Negros Oriental-FS</t>
  </si>
  <si>
    <t>CQUJ233560105</t>
  </si>
  <si>
    <t>SRMJ</t>
  </si>
  <si>
    <t>SR Mall Jasaan</t>
  </si>
  <si>
    <t>CQUJ233560073</t>
  </si>
  <si>
    <t>ZMLB</t>
  </si>
  <si>
    <t>Malibay Pasay-FS</t>
  </si>
  <si>
    <t>CQUJ233560419</t>
  </si>
  <si>
    <t>ZBBS</t>
  </si>
  <si>
    <t>Balic-Balic Sampaloc-FS</t>
  </si>
  <si>
    <t>ZKM6245100193</t>
  </si>
  <si>
    <t>ZVLB</t>
  </si>
  <si>
    <t>Villaba Leyte</t>
  </si>
  <si>
    <t>CQUJ233560439</t>
  </si>
  <si>
    <t>PGSM</t>
  </si>
  <si>
    <t>Puregold San Mateo</t>
  </si>
  <si>
    <t>CQUJ233560422</t>
  </si>
  <si>
    <t>ZVIG</t>
  </si>
  <si>
    <t>Vigan 2-FS</t>
  </si>
  <si>
    <t>ZKM6245100150</t>
  </si>
  <si>
    <t>ZMOC</t>
  </si>
  <si>
    <t>Moalboal Cebu-FS</t>
  </si>
  <si>
    <t>CQUJ233560075</t>
  </si>
  <si>
    <t>ZMPM</t>
  </si>
  <si>
    <t>Medina Public Market Fs</t>
  </si>
  <si>
    <t>CQUJ233560094</t>
  </si>
  <si>
    <t>NOVP</t>
  </si>
  <si>
    <t>Nova Plaza Mall</t>
  </si>
  <si>
    <t>ZKM6245100264</t>
  </si>
  <si>
    <t>ZKM6245100261</t>
  </si>
  <si>
    <t>ZCTU</t>
  </si>
  <si>
    <t>Cotabato Uptown-FS</t>
  </si>
  <si>
    <t>CQUJ233560454</t>
  </si>
  <si>
    <t>ZTBG</t>
  </si>
  <si>
    <t>Tibanga Iligan-FS</t>
  </si>
  <si>
    <t>CQUJ233560443</t>
  </si>
  <si>
    <t>ZCSS</t>
  </si>
  <si>
    <t>Casisang Malaybalay</t>
  </si>
  <si>
    <t>ZKM6245100165</t>
  </si>
  <si>
    <t>ZMST</t>
  </si>
  <si>
    <t>M Space Tagaytay-FS</t>
  </si>
  <si>
    <t>ZKM6245100266</t>
  </si>
  <si>
    <t>ZARP</t>
  </si>
  <si>
    <t>Araullo Pagadian-FS</t>
  </si>
  <si>
    <t>CQUJ233560436</t>
  </si>
  <si>
    <t>ZMGI</t>
  </si>
  <si>
    <t>Miagao Iloilo-FS</t>
  </si>
  <si>
    <t>CQUJ233560267</t>
  </si>
  <si>
    <t>ZMBS</t>
  </si>
  <si>
    <t>Mambusao Iloilo</t>
  </si>
  <si>
    <t>CQUJ233560433</t>
  </si>
  <si>
    <t>PMPZ</t>
  </si>
  <si>
    <t>Premier Plaza</t>
  </si>
  <si>
    <t>ZKM6245100295</t>
  </si>
  <si>
    <t>ZHLC</t>
  </si>
  <si>
    <t>Halang Calamba-FS</t>
  </si>
  <si>
    <t>ZKM6245100275</t>
  </si>
  <si>
    <t>ZAMQ</t>
  </si>
  <si>
    <t>Atimonan Quezon-FS</t>
  </si>
  <si>
    <t>ZKM6245100259</t>
  </si>
  <si>
    <t>ZPNB</t>
  </si>
  <si>
    <t>Panabo City Davao del Norte 2-FS</t>
  </si>
  <si>
    <t>ZKM6245100269</t>
  </si>
  <si>
    <t>ZACM</t>
  </si>
  <si>
    <t>Astro Clark Maingate-FS</t>
  </si>
  <si>
    <t>ZKM6245100140</t>
  </si>
  <si>
    <t>WMAR</t>
  </si>
  <si>
    <t>Waltermart Arayat</t>
  </si>
  <si>
    <t>ZKM6251500316</t>
  </si>
  <si>
    <t>ZDNO</t>
  </si>
  <si>
    <t>Dauin Negros Oriental</t>
  </si>
  <si>
    <t>ZKM6245100267</t>
  </si>
  <si>
    <t>ZMRW</t>
  </si>
  <si>
    <t>Marawi City Lanao del Sur-FS</t>
  </si>
  <si>
    <t>ZKM6245100037</t>
  </si>
  <si>
    <t>ABVI</t>
  </si>
  <si>
    <t>Alpha1 Barotac Viejo Iloilo-FS</t>
  </si>
  <si>
    <t>ZKM6245100276</t>
  </si>
  <si>
    <t>PGML</t>
  </si>
  <si>
    <t>Puregold Maunlad</t>
  </si>
  <si>
    <t>ZKM6245100136</t>
  </si>
  <si>
    <t>PCTG</t>
  </si>
  <si>
    <t>Primark Center Tagudin</t>
  </si>
  <si>
    <t>ZKM6251500304</t>
  </si>
  <si>
    <t>ZKQC</t>
  </si>
  <si>
    <t>Kamuning Quezon City-FS</t>
  </si>
  <si>
    <t>ZKM6245100142</t>
  </si>
  <si>
    <t>ZNAV</t>
  </si>
  <si>
    <t>Naval Navotas-FS</t>
  </si>
  <si>
    <t>ZKM6245100154</t>
  </si>
  <si>
    <t>ZCPB</t>
  </si>
  <si>
    <t>Cay Pombo Bulacan-FS</t>
  </si>
  <si>
    <t>ZKM6251400001</t>
  </si>
  <si>
    <t>ZLAB</t>
  </si>
  <si>
    <t>Laoag Bacarra-FS</t>
  </si>
  <si>
    <t>ZKM6245100189</t>
  </si>
  <si>
    <t>PTPI</t>
  </si>
  <si>
    <t>Plazuela Tres Pavia Iloilo</t>
  </si>
  <si>
    <t>ZKM6245100239</t>
  </si>
  <si>
    <t>ZCSC</t>
  </si>
  <si>
    <t>Consolacion Cebu-FS</t>
  </si>
  <si>
    <t>PAS4252900106</t>
  </si>
  <si>
    <t>ZCZB</t>
  </si>
  <si>
    <t>Canelar Zamboanga City-FS</t>
  </si>
  <si>
    <t>ZKM6245100241</t>
  </si>
  <si>
    <t>ZNZB</t>
  </si>
  <si>
    <t>Nunez Zamboanga City-FS</t>
  </si>
  <si>
    <t>ZKM6245100293</t>
  </si>
  <si>
    <t>PGGU</t>
  </si>
  <si>
    <t>Puregold Guiguinto</t>
  </si>
  <si>
    <t>ZKM6245100151</t>
  </si>
  <si>
    <t>ZMBQ</t>
  </si>
  <si>
    <t>Mauban Quezon</t>
  </si>
  <si>
    <t>ZKM6251700102</t>
  </si>
  <si>
    <t>ZBGK</t>
  </si>
  <si>
    <t>Banga Aklan-FS</t>
  </si>
  <si>
    <t>ZKM6245100265</t>
  </si>
  <si>
    <t>HMSB</t>
  </si>
  <si>
    <t>Hermosa Bataan-FS</t>
  </si>
  <si>
    <t>ZKM6245100120</t>
  </si>
  <si>
    <t>ABCM</t>
  </si>
  <si>
    <t>Alba Center Marigondon</t>
  </si>
  <si>
    <t>ZKM6245100146</t>
  </si>
  <si>
    <t>ROBI</t>
  </si>
  <si>
    <t>Robinsons CDO</t>
  </si>
  <si>
    <t>CQUJ233560418</t>
  </si>
  <si>
    <t>ZZPT</t>
  </si>
  <si>
    <t>Zapote Bacoor-FS</t>
  </si>
  <si>
    <t>ZKM6245100079</t>
  </si>
  <si>
    <t>ZBBC</t>
  </si>
  <si>
    <t>Banay Banay Cabuyao Laguna-FS</t>
  </si>
  <si>
    <t>ZKM6245100088</t>
  </si>
  <si>
    <t>CWPB</t>
  </si>
  <si>
    <t>Central Warehouse Panabo</t>
  </si>
  <si>
    <t>PAS4252500058</t>
  </si>
  <si>
    <t>ZGSQ</t>
  </si>
  <si>
    <t>Green Square 2 Gen Trias-FS</t>
  </si>
  <si>
    <t>ZKM6245100279</t>
  </si>
  <si>
    <t>LCTM</t>
  </si>
  <si>
    <t>Lucky ChinaTown Manila</t>
  </si>
  <si>
    <t>ZKM6245100090</t>
  </si>
  <si>
    <t>ZUDP</t>
  </si>
  <si>
    <t>Urdaneta Pangasinan-FS</t>
  </si>
  <si>
    <t>ZKM6245100251</t>
  </si>
  <si>
    <t>ZSPD</t>
  </si>
  <si>
    <t>San Pedro Davao FS</t>
  </si>
  <si>
    <t>ZKM6245100114</t>
  </si>
  <si>
    <t>ZMRH</t>
  </si>
  <si>
    <t>Marahan Alfonso-FS</t>
  </si>
  <si>
    <t>ZKM6245100406</t>
  </si>
  <si>
    <t>ZTPS</t>
  </si>
  <si>
    <t>Tupi South Cotabato-FS</t>
  </si>
  <si>
    <t>ZKM6245100178</t>
  </si>
  <si>
    <t>ZSGY</t>
  </si>
  <si>
    <t>Sagay City Negros Occidental-FS</t>
  </si>
  <si>
    <t>ZKM6245100124</t>
  </si>
  <si>
    <t>ZMTD</t>
  </si>
  <si>
    <t>Mintal Davao City-FS</t>
  </si>
  <si>
    <t>ZKM6245100176</t>
  </si>
  <si>
    <t>ZMRV</t>
  </si>
  <si>
    <t>Marulas Valenzuela-FS</t>
  </si>
  <si>
    <t>ZKM6245100125</t>
  </si>
  <si>
    <t>ZPML</t>
  </si>
  <si>
    <t>Palo Market Leyte</t>
  </si>
  <si>
    <t>ZKM6245100042</t>
  </si>
  <si>
    <t>ZLB2</t>
  </si>
  <si>
    <t>Limay Bataan 2-FS</t>
  </si>
  <si>
    <t>ZKM6245100126</t>
  </si>
  <si>
    <t>ZMNO</t>
  </si>
  <si>
    <t>Manapla Negros Occidental</t>
  </si>
  <si>
    <t>ZKM6245100129</t>
  </si>
  <si>
    <t>PGSC</t>
  </si>
  <si>
    <t>Puregold Sucat</t>
  </si>
  <si>
    <t>ZKM6251500295</t>
  </si>
  <si>
    <t>PGLV</t>
  </si>
  <si>
    <t>Puregold Luvers</t>
  </si>
  <si>
    <t>ZKM6245100092</t>
  </si>
  <si>
    <t>ZLBN</t>
  </si>
  <si>
    <t>Lambunao Iloilo</t>
  </si>
  <si>
    <t>ZKM6245100173</t>
  </si>
  <si>
    <t>CWSF</t>
  </si>
  <si>
    <t>Central Warehouse San Francisco</t>
  </si>
  <si>
    <t>ZKM6251700140</t>
  </si>
  <si>
    <t>ACUS</t>
  </si>
  <si>
    <t>AY URSAL Arcade Cebu</t>
  </si>
  <si>
    <t>ZKM6245100121</t>
  </si>
  <si>
    <t>ZTLS</t>
  </si>
  <si>
    <t>Talisay Negros Occidental-FS</t>
  </si>
  <si>
    <t>ZMDS</t>
  </si>
  <si>
    <t>Madrid Surigao del Sur-FS</t>
  </si>
  <si>
    <t>ZKM6245100123</t>
  </si>
  <si>
    <t>ZSJG</t>
  </si>
  <si>
    <t>San Jose Gusu Zamboanga City-FS</t>
  </si>
  <si>
    <t>ZKM6245100094</t>
  </si>
  <si>
    <t>ZECI</t>
  </si>
  <si>
    <t>Echague Isabela-FS</t>
  </si>
  <si>
    <t>ZIMO</t>
  </si>
  <si>
    <t>Initao Misamis Oriental-FS</t>
  </si>
  <si>
    <t>ZKM6245100093</t>
  </si>
  <si>
    <t>NCTC</t>
  </si>
  <si>
    <t>Nuciti Central Calapan</t>
  </si>
  <si>
    <t>ZKM6245100082</t>
  </si>
  <si>
    <t>ZAGL</t>
  </si>
  <si>
    <t>Alangalang Leyte</t>
  </si>
  <si>
    <t>ZKM6251500178</t>
  </si>
  <si>
    <t>ZAMC</t>
  </si>
  <si>
    <t>Alamada Cotabato-FS</t>
  </si>
  <si>
    <t>ZKM6245100232</t>
  </si>
  <si>
    <t>ZMSZ</t>
  </si>
  <si>
    <t>Masinloc Zambales-FS</t>
  </si>
  <si>
    <t>ZKM6251500313</t>
  </si>
  <si>
    <t>ZPTI</t>
  </si>
  <si>
    <t>Pototan Iloilo</t>
  </si>
  <si>
    <t>ZKM6245100032</t>
  </si>
  <si>
    <t>VTMP</t>
  </si>
  <si>
    <t>Victory Mall Plaza</t>
  </si>
  <si>
    <t>ZKM6251700240</t>
  </si>
  <si>
    <t>ZNSC</t>
  </si>
  <si>
    <t>Norala South Cotabato</t>
  </si>
  <si>
    <t>ZKM6245100229</t>
  </si>
  <si>
    <t>ZGVA</t>
  </si>
  <si>
    <t>Gen. Vicente Alvarez Zamboanga-FS</t>
  </si>
  <si>
    <t>ZKM6245100033</t>
  </si>
  <si>
    <t>ZMTC</t>
  </si>
  <si>
    <t>Matalam Cotabato-FS</t>
  </si>
  <si>
    <t>ZKM6251500177</t>
  </si>
  <si>
    <t>ZTGG</t>
  </si>
  <si>
    <t>Tuguegarao City Cagayan</t>
  </si>
  <si>
    <t>ZKM6251500288</t>
  </si>
  <si>
    <t>TSTI</t>
  </si>
  <si>
    <t>The Shoppes at The Infinity</t>
  </si>
  <si>
    <t>ZKM6251700122</t>
  </si>
  <si>
    <t>ZBGV</t>
  </si>
  <si>
    <t>Batangan Valencia-FS</t>
  </si>
  <si>
    <t>ZKM6251500172</t>
  </si>
  <si>
    <t>ZMCL</t>
  </si>
  <si>
    <t>Marawi City Lanao del Sur 2-FS</t>
  </si>
  <si>
    <t>ZKM6251700054</t>
  </si>
  <si>
    <t>PGBN</t>
  </si>
  <si>
    <t>Puregold Banago</t>
  </si>
  <si>
    <t>ZKM6251500174</t>
  </si>
  <si>
    <t>ZTTS</t>
  </si>
  <si>
    <t>Trade Town San Jose Antique-FS</t>
  </si>
  <si>
    <t>ZKM6251500135</t>
  </si>
  <si>
    <t>ZDDV</t>
  </si>
  <si>
    <t>Dalandanan Valenzuela</t>
  </si>
  <si>
    <t>ZKM6251700044</t>
  </si>
  <si>
    <t>GBPM</t>
  </si>
  <si>
    <t>Global Plaza Mexico Mall</t>
  </si>
  <si>
    <t>ZKM6251700082</t>
  </si>
  <si>
    <t>ZCBU</t>
  </si>
  <si>
    <t>Cabuyao Bayan-FS</t>
  </si>
  <si>
    <t>ZKM6251700341</t>
  </si>
  <si>
    <t>ZSMI</t>
  </si>
  <si>
    <t>San Mateo Isabela - FS</t>
  </si>
  <si>
    <t>ZKM6251500309</t>
  </si>
  <si>
    <t>ZLGB</t>
  </si>
  <si>
    <t>Langihan Butuan City-FS</t>
  </si>
  <si>
    <t>ZKM6251500306</t>
  </si>
  <si>
    <t>PSMC</t>
  </si>
  <si>
    <t>Paradise Square Mandaue City</t>
  </si>
  <si>
    <t>ZKM6251500303</t>
  </si>
  <si>
    <t>CTJZ</t>
  </si>
  <si>
    <t>Castillejos Zambales</t>
  </si>
  <si>
    <t>ZKM6251400062</t>
  </si>
  <si>
    <t>CCFL</t>
  </si>
  <si>
    <t>City Center Fairlane</t>
  </si>
  <si>
    <t>ZKM6251700039</t>
  </si>
  <si>
    <t>SPMS</t>
  </si>
  <si>
    <t>Super 8 Masinag</t>
  </si>
  <si>
    <t>ZKM6251700050</t>
  </si>
  <si>
    <t>PMAG</t>
  </si>
  <si>
    <t>Primark Aringay</t>
  </si>
  <si>
    <t>ZKM6251400184</t>
  </si>
  <si>
    <t>UNMC</t>
  </si>
  <si>
    <t>Unimart Capitol Commons</t>
  </si>
  <si>
    <t>ZKM6245100102</t>
  </si>
  <si>
    <t>ZTB3</t>
  </si>
  <si>
    <t>Tagbilaran 3 Bohol 3-FS</t>
  </si>
  <si>
    <t>ZKM6251500102</t>
  </si>
  <si>
    <t>ZSBC</t>
  </si>
  <si>
    <t>Sibonga Cebu</t>
  </si>
  <si>
    <t>ZKM6251700413</t>
  </si>
  <si>
    <t>ZKM6251400117</t>
  </si>
  <si>
    <t>ZMGN</t>
  </si>
  <si>
    <t>E.B Magalona Negros Occidental-FS</t>
  </si>
  <si>
    <t>ZKM6251700418</t>
  </si>
  <si>
    <t>ZLNI</t>
  </si>
  <si>
    <t>Leon Iloilo-FS</t>
  </si>
  <si>
    <t>ZKM6251700414</t>
  </si>
  <si>
    <t>ZBMT</t>
  </si>
  <si>
    <t>Bamban Tarlac</t>
  </si>
  <si>
    <t>ZKM6251700015</t>
  </si>
  <si>
    <t>ZFHA</t>
  </si>
  <si>
    <t>Friendship Hi-way Angeles City - FS</t>
  </si>
  <si>
    <t>ZKM6251700020</t>
  </si>
  <si>
    <t>ZTCD</t>
  </si>
  <si>
    <t>Tagum City Davao Del Norte 2 FS</t>
  </si>
  <si>
    <t>PAS4252500026</t>
  </si>
  <si>
    <t>LPAI</t>
  </si>
  <si>
    <t>L' Paseo Indang Cavite</t>
  </si>
  <si>
    <t>ZKM6251700046</t>
  </si>
  <si>
    <t>PTCC</t>
  </si>
  <si>
    <t>Pontevedra Town Center Capiz</t>
  </si>
  <si>
    <t>ZKM6251400073</t>
  </si>
  <si>
    <t>ZBCA</t>
  </si>
  <si>
    <t>Bayugan City Agusan del Sur 2-FS</t>
  </si>
  <si>
    <t>ZKM6251500151</t>
  </si>
  <si>
    <t>AINM</t>
  </si>
  <si>
    <t>Al Nor Mall</t>
  </si>
  <si>
    <t>ZKM6251400200</t>
  </si>
  <si>
    <t>ZGGD</t>
  </si>
  <si>
    <t>Gov Generoso Davao-FS</t>
  </si>
  <si>
    <t>ZKM6251400198</t>
  </si>
  <si>
    <t>NMCM</t>
  </si>
  <si>
    <t>NMCM Commercial Complex</t>
  </si>
  <si>
    <t>ZKM62517000046</t>
  </si>
  <si>
    <t>ZBAC</t>
  </si>
  <si>
    <t>Bacnotan La Union-FS</t>
  </si>
  <si>
    <t>ZKM6251400050</t>
  </si>
  <si>
    <t>ZFJP</t>
  </si>
  <si>
    <t>F.J. Fajares Pagadian-FS</t>
  </si>
  <si>
    <t>ZKM6251400056</t>
  </si>
  <si>
    <t>ZBNV</t>
  </si>
  <si>
    <t>Bayombong Nueva Viscaya</t>
  </si>
  <si>
    <t>ZKM6251400074</t>
  </si>
  <si>
    <t>MSQB</t>
  </si>
  <si>
    <t>Main Square Bacoor</t>
  </si>
  <si>
    <t>ZKM6251400071</t>
  </si>
  <si>
    <t>ZCMB</t>
  </si>
  <si>
    <t>Carmen Bohol-FS</t>
  </si>
  <si>
    <t>ZKM6251500096</t>
  </si>
  <si>
    <t>ZPTD</t>
  </si>
  <si>
    <t>Pantukan Davao de Oro-FS</t>
  </si>
  <si>
    <t>ZKM6251400181</t>
  </si>
  <si>
    <t>ZCBC</t>
  </si>
  <si>
    <t>Carbon Cebu-FS</t>
  </si>
  <si>
    <t>ZKM6251400187</t>
  </si>
  <si>
    <t>ZGBA</t>
  </si>
  <si>
    <t>Guinobatan Albay-FS</t>
  </si>
  <si>
    <t>ZKM6251500057</t>
  </si>
  <si>
    <t>PGNE</t>
  </si>
  <si>
    <t>Puregold NE Zulueta</t>
  </si>
  <si>
    <t>ZKM6251700031</t>
  </si>
  <si>
    <t>ZLNE</t>
  </si>
  <si>
    <t>Lupao Nueva Ecija</t>
  </si>
  <si>
    <t>ZARI</t>
  </si>
  <si>
    <t>Aurora Isabela</t>
  </si>
  <si>
    <t>ZKM6251700150</t>
  </si>
  <si>
    <t>ZSJP</t>
  </si>
  <si>
    <t>San Jacinto Pangasinan-FS</t>
  </si>
  <si>
    <t>ZKM6251700032</t>
  </si>
  <si>
    <t>ZKTP</t>
  </si>
  <si>
    <t>Katipunan Quezon City-FS</t>
  </si>
  <si>
    <t>ZKM6251400115</t>
  </si>
  <si>
    <t>ZPSL</t>
  </si>
  <si>
    <t>Pagsanjan Laguna-FS</t>
  </si>
  <si>
    <t>ZKM6251700019</t>
  </si>
  <si>
    <t>PGLN</t>
  </si>
  <si>
    <t>Puregold Lanang</t>
  </si>
  <si>
    <t>ZKM6251100012</t>
  </si>
  <si>
    <t>VMSR</t>
  </si>
  <si>
    <t>Vista Mall Sta. Rosa</t>
  </si>
  <si>
    <t>ZKM6251500189</t>
  </si>
  <si>
    <t>ANBP</t>
  </si>
  <si>
    <t>Anilao Bridge Plaza</t>
  </si>
  <si>
    <t>ZKM6251500087</t>
  </si>
  <si>
    <t>EMDC</t>
  </si>
  <si>
    <t>El Mercado De Calumpit</t>
  </si>
  <si>
    <t>ZKM6251500190</t>
  </si>
  <si>
    <t>ZHTS</t>
  </si>
  <si>
    <t>Hinatuan Surigao del Sur-FS</t>
  </si>
  <si>
    <t>ZKM6251700353</t>
  </si>
  <si>
    <t>ZJMB</t>
  </si>
  <si>
    <t>J.M. Basa Iloilo City-FS</t>
  </si>
  <si>
    <t>ZKM6251500100</t>
  </si>
  <si>
    <t>PSDA</t>
  </si>
  <si>
    <t>Paseo De Amadeo</t>
  </si>
  <si>
    <t>ZKM6251700119</t>
  </si>
  <si>
    <t>VMBT</t>
  </si>
  <si>
    <t>Vista Mall Bataan</t>
  </si>
  <si>
    <t>ZKM6251500116</t>
  </si>
  <si>
    <t>ZNSA</t>
  </si>
  <si>
    <t>Nasipit Agusan del Norte-FS</t>
  </si>
  <si>
    <t>ZKM6251700085</t>
  </si>
  <si>
    <t>ABCS</t>
  </si>
  <si>
    <t>Abacus Mall</t>
  </si>
  <si>
    <t>ZKM6251500095</t>
  </si>
  <si>
    <t>VMTG</t>
  </si>
  <si>
    <t>Vista Mall Taguig</t>
  </si>
  <si>
    <t>ZKM6251700115</t>
  </si>
  <si>
    <t>PCDO</t>
  </si>
  <si>
    <t>Puregold CDO</t>
  </si>
  <si>
    <t>ZKM6251700002</t>
  </si>
  <si>
    <t>ZGSG</t>
  </si>
  <si>
    <t>Glan Sarangani-FS</t>
  </si>
  <si>
    <t>ZKM6251500187</t>
  </si>
  <si>
    <t>ZTGS</t>
  </si>
  <si>
    <t>Tigaon Camarines Sur-FS</t>
  </si>
  <si>
    <t>ZKM6251700351</t>
  </si>
  <si>
    <t>ZPPC</t>
  </si>
  <si>
    <t>Punta Princesa Cebu-FS</t>
  </si>
  <si>
    <t>ZKM6251700038</t>
  </si>
  <si>
    <t>MPSP</t>
  </si>
  <si>
    <t>Mainstreet Plaza San Pablo</t>
  </si>
  <si>
    <t>ZKM6251700162</t>
  </si>
  <si>
    <t>ZBRC</t>
  </si>
  <si>
    <t>Barili Cebu</t>
  </si>
  <si>
    <t>ZKM6251700116</t>
  </si>
  <si>
    <t>ZCTM</t>
  </si>
  <si>
    <t>Catarman Diversion-FS</t>
  </si>
  <si>
    <t>ZKM6251700180</t>
  </si>
  <si>
    <t>ZGMC</t>
  </si>
  <si>
    <t>Gumaca Quezon-FS</t>
  </si>
  <si>
    <t>ZKM6251500286</t>
  </si>
  <si>
    <t>ZIUC</t>
  </si>
  <si>
    <t>Iguig Cagayan-FS</t>
  </si>
  <si>
    <t>ZKM6251500308</t>
  </si>
  <si>
    <t>ZTNC</t>
  </si>
  <si>
    <t>Tinambac Camarines Sur-FS</t>
  </si>
  <si>
    <t>ZKM6251700023</t>
  </si>
  <si>
    <t>PRTM</t>
  </si>
  <si>
    <t>Portal Mall</t>
  </si>
  <si>
    <t>ZKM6251500121</t>
  </si>
  <si>
    <t>ZPRC</t>
  </si>
  <si>
    <t>President Roxas Capiz-FS</t>
  </si>
  <si>
    <t>ZKM6251700141</t>
  </si>
  <si>
    <t>ZBPI</t>
  </si>
  <si>
    <t>Bahayang Pag-asa Imus-FS</t>
  </si>
  <si>
    <t>ZKM6251500297</t>
  </si>
  <si>
    <t>ZPNA</t>
  </si>
  <si>
    <t>Pioneer Avenue Tagum-FS</t>
  </si>
  <si>
    <t>ZKM6251700166</t>
  </si>
  <si>
    <t>ZMAB</t>
  </si>
  <si>
    <t>Ma-Ao Bago City-FS</t>
  </si>
  <si>
    <t>ZKM6251700109</t>
  </si>
  <si>
    <t>ALIM</t>
  </si>
  <si>
    <t>Ali Mall</t>
  </si>
  <si>
    <t>PAS4252900187</t>
  </si>
  <si>
    <t>BRCF</t>
  </si>
  <si>
    <t>Boracay Food Alley</t>
  </si>
  <si>
    <t>ZKM6251700324</t>
  </si>
  <si>
    <t>WMMB</t>
  </si>
  <si>
    <t>Waltermart Mabalacat</t>
  </si>
  <si>
    <t>ZKM6251700347</t>
  </si>
  <si>
    <t>SLCD</t>
  </si>
  <si>
    <t>Sta. Lucia Mall Davao</t>
  </si>
  <si>
    <t>ZKM6251400197</t>
  </si>
  <si>
    <t>ZADO</t>
  </si>
  <si>
    <t>Awang Datu Odin Maguindanao-FS</t>
  </si>
  <si>
    <t>ZKM6251700338</t>
  </si>
  <si>
    <t>GTRT</t>
  </si>
  <si>
    <t>Getha Road Tarlac</t>
  </si>
  <si>
    <t>ZKM6251700314</t>
  </si>
  <si>
    <t>MPOZ</t>
  </si>
  <si>
    <t>MPO Bldg. Zamboanga</t>
  </si>
  <si>
    <t>ZKM6251700113</t>
  </si>
  <si>
    <t>ZSRP</t>
  </si>
  <si>
    <t>Santa Rita Pampanga-FS</t>
  </si>
  <si>
    <t>ZKM6251700098</t>
  </si>
  <si>
    <t>ZMSY</t>
  </si>
  <si>
    <t>Midsayap North Cotabato 2-Fs</t>
  </si>
  <si>
    <t>ZKM6245100089</t>
  </si>
  <si>
    <t>PGND</t>
  </si>
  <si>
    <t>Puregold Naga Diversion</t>
  </si>
  <si>
    <t>ZKM6251700215</t>
  </si>
  <si>
    <t>ZCCS</t>
  </si>
  <si>
    <t>Calabanga Camarines Sur-FS</t>
  </si>
  <si>
    <t>ZKM6251700028</t>
  </si>
  <si>
    <t>ZDLG</t>
  </si>
  <si>
    <t>Dologon Maramag-FS</t>
  </si>
  <si>
    <t>ZKM6251700362</t>
  </si>
  <si>
    <t>ZUPM</t>
  </si>
  <si>
    <t>Upi Maguindanao del Norte-FS</t>
  </si>
  <si>
    <t>PAS4252900101</t>
  </si>
  <si>
    <t>ZSIG</t>
  </si>
  <si>
    <t>San Isidro General Santos City-FS</t>
  </si>
  <si>
    <t>ZKM6251500287</t>
  </si>
  <si>
    <t>ZCPG</t>
  </si>
  <si>
    <t>Calumpang Gensan-FS</t>
  </si>
  <si>
    <t>ZKM6251400064</t>
  </si>
  <si>
    <t>ZPNG</t>
  </si>
  <si>
    <t>Pinamungajan Cebu-FS</t>
  </si>
  <si>
    <t>ZKM6251700051</t>
  </si>
  <si>
    <t>JCKP</t>
  </si>
  <si>
    <t>Jackman Plaza</t>
  </si>
  <si>
    <t>ZKM6251400029</t>
  </si>
  <si>
    <t>GGMN</t>
  </si>
  <si>
    <t>Gaisano Grand Mandaue North</t>
  </si>
  <si>
    <t>ZKM6251700179</t>
  </si>
  <si>
    <t>ZGDS</t>
  </si>
  <si>
    <t>Gandara Samar-FS</t>
  </si>
  <si>
    <t>ZKM6251400027</t>
  </si>
  <si>
    <t>VSMO</t>
  </si>
  <si>
    <t>Vista Mall Oton</t>
  </si>
  <si>
    <t>PAS4252900289</t>
  </si>
  <si>
    <t>ZIFQ</t>
  </si>
  <si>
    <t>Infanta Quezon-FS</t>
  </si>
  <si>
    <t>PAS4252900105</t>
  </si>
  <si>
    <t>ZIBA</t>
  </si>
  <si>
    <t>Iba Zambales-FS</t>
  </si>
  <si>
    <t>PAS4252900098</t>
  </si>
  <si>
    <t>XMHG</t>
  </si>
  <si>
    <t>Xmart Hagonoy</t>
  </si>
  <si>
    <t>ZKM6251400026</t>
  </si>
  <si>
    <t>ZMLV</t>
  </si>
  <si>
    <t>Malanday Valenzuela-FS</t>
  </si>
  <si>
    <t>ZKM6251400028</t>
  </si>
  <si>
    <t>BGWA</t>
  </si>
  <si>
    <t>Budgetwise Ayala</t>
  </si>
  <si>
    <t>ZKM6251400030</t>
  </si>
  <si>
    <t>ZKTZ</t>
  </si>
  <si>
    <t>Katipunan Zamboanga del Norte-FS</t>
  </si>
  <si>
    <t>ZKM6251700035</t>
  </si>
  <si>
    <t>GGMC</t>
  </si>
  <si>
    <t>Gaisano Grand Mandaue Centro</t>
  </si>
  <si>
    <t>ZKM6251500180</t>
  </si>
  <si>
    <t>ZAJI</t>
  </si>
  <si>
    <t>Ajuy Iloilo-FS</t>
  </si>
  <si>
    <t>ZKM6251700025</t>
  </si>
  <si>
    <t>VTRA</t>
  </si>
  <si>
    <t>Ventura Mall</t>
  </si>
  <si>
    <t>ZKM6251700036</t>
  </si>
  <si>
    <t>MRBA</t>
  </si>
  <si>
    <t>Marilao Bulacan Arcade</t>
  </si>
  <si>
    <t>PAS4252900266</t>
  </si>
  <si>
    <t>ZNVG</t>
  </si>
  <si>
    <t>Nueva Valencia Guimaras-FS</t>
  </si>
  <si>
    <t>ZKM6251400031</t>
  </si>
  <si>
    <t>ZCDT</t>
  </si>
  <si>
    <t>Cotabato City Downtown-FS</t>
  </si>
  <si>
    <t>ZKM6251700092</t>
  </si>
  <si>
    <t>ZSDG</t>
  </si>
  <si>
    <t>Sibulan Dumaguete-FS</t>
  </si>
  <si>
    <t>ZKM6251400023</t>
  </si>
  <si>
    <t>ZTNB</t>
  </si>
  <si>
    <t>Trinidad Bohol-FS</t>
  </si>
  <si>
    <t>ZKM6251400024</t>
  </si>
  <si>
    <t>GGAC</t>
  </si>
  <si>
    <t>Guagua Arcade</t>
  </si>
  <si>
    <t>PAS4252900104</t>
  </si>
  <si>
    <t>ZPAI</t>
  </si>
  <si>
    <t>Patindig Araw Imus-FS</t>
  </si>
  <si>
    <t>PAS452900100</t>
  </si>
  <si>
    <t>TRBM</t>
  </si>
  <si>
    <t>The Retail Bloc Mandaue</t>
  </si>
  <si>
    <t>ZKM6251700294</t>
  </si>
  <si>
    <t>ZRLZ</t>
  </si>
  <si>
    <t>RT Lim Zamboanga Sibugay-FS</t>
  </si>
  <si>
    <t>ZKM6251400034</t>
  </si>
  <si>
    <t>PPMD</t>
  </si>
  <si>
    <t>Petra Plaza Mandurriao</t>
  </si>
  <si>
    <t>PAS4252900244</t>
  </si>
  <si>
    <t>LSCA</t>
  </si>
  <si>
    <t>Lasam Cagayan Arcade</t>
  </si>
  <si>
    <t>PAS4252900275</t>
  </si>
  <si>
    <t>ZCAC</t>
  </si>
  <si>
    <t>Canitoan Cagayan De Oro - FS</t>
  </si>
  <si>
    <t>PAS4252900064</t>
  </si>
  <si>
    <t>GSGC</t>
  </si>
  <si>
    <t>Gaisano Grand Carmen</t>
  </si>
  <si>
    <t>ZKM6251700033</t>
  </si>
  <si>
    <t>ZMZB</t>
  </si>
  <si>
    <t>Muzon Bulacan-FS</t>
  </si>
  <si>
    <t>PAS4252900186</t>
  </si>
  <si>
    <t>MACK</t>
  </si>
  <si>
    <t>Mall of Ace Koronadal</t>
  </si>
  <si>
    <t>PAS4252900279</t>
  </si>
  <si>
    <t>ZRSD</t>
  </si>
  <si>
    <t>Real St. Dumaguete-FS</t>
  </si>
  <si>
    <t>PAS4252900281</t>
  </si>
  <si>
    <t>ZODR</t>
  </si>
  <si>
    <t>Odiongan Romblon-FS</t>
  </si>
  <si>
    <t>PAS4252900099</t>
  </si>
  <si>
    <t>ZLIC</t>
  </si>
  <si>
    <t>Lal-lo Cagayan-FS</t>
  </si>
  <si>
    <t>PAS4252500199</t>
  </si>
  <si>
    <t>ZTMG</t>
  </si>
  <si>
    <t>Tumaga Rd. Zamboanga City-FS</t>
  </si>
  <si>
    <t>PAS4252900284</t>
  </si>
  <si>
    <t>LLBM</t>
  </si>
  <si>
    <t>Liloan Bay Mall</t>
  </si>
  <si>
    <t>PAS4252900014</t>
  </si>
  <si>
    <t>CNSA</t>
  </si>
  <si>
    <t>Cornerstone Arcade</t>
  </si>
  <si>
    <t>PAS4252500182</t>
  </si>
  <si>
    <t>ZNIC</t>
  </si>
  <si>
    <t>San Nicolas Ilocos Norte-FS</t>
  </si>
  <si>
    <t>PAS4252500200</t>
  </si>
  <si>
    <t>ZAGT</t>
  </si>
  <si>
    <t>Angat Bulacan-FS</t>
  </si>
  <si>
    <t>PAS4252500037</t>
  </si>
  <si>
    <t>PDBA</t>
  </si>
  <si>
    <t>Pandi Bulacan Arcade</t>
  </si>
  <si>
    <t>PAS4252500203</t>
  </si>
  <si>
    <t>ACGA</t>
  </si>
  <si>
    <t>Alcala Cagayan Arcade</t>
  </si>
  <si>
    <t>PAS4252500204</t>
  </si>
  <si>
    <t>ZLST</t>
  </si>
  <si>
    <t>Luisita Tarlac-FS</t>
  </si>
  <si>
    <t>PAS4252500038</t>
  </si>
  <si>
    <t>TKWY</t>
  </si>
  <si>
    <t>Tagkawayan BGS Bldg</t>
  </si>
  <si>
    <t>PAS4252900184</t>
  </si>
  <si>
    <t>ZADD</t>
  </si>
  <si>
    <t>Asuncion Davao Del Norte-FS</t>
  </si>
  <si>
    <t>PAS4252500184</t>
  </si>
  <si>
    <t>ZMRC</t>
  </si>
  <si>
    <t>Marawi City Lanao del Sur 3-FS</t>
  </si>
  <si>
    <t>PAS4252900277</t>
  </si>
  <si>
    <t>ZVAQ</t>
  </si>
  <si>
    <t>Visayas Avenue Quezon City-FS</t>
  </si>
  <si>
    <t>PAS4252500122</t>
  </si>
  <si>
    <t>ZPMO</t>
  </si>
  <si>
    <t>Plaridel Misamis Occidental-FS</t>
  </si>
  <si>
    <t>PAS4252900197</t>
  </si>
  <si>
    <t>MGHA</t>
  </si>
  <si>
    <t>Maginhawa Arcade</t>
  </si>
  <si>
    <t>PAS4252900185</t>
  </si>
  <si>
    <t>TLSM</t>
  </si>
  <si>
    <t>The Lifestyle Strip Mall</t>
  </si>
  <si>
    <t>PAS4252500025</t>
  </si>
  <si>
    <t>SBAT</t>
  </si>
  <si>
    <t>Sibalom Antique</t>
  </si>
  <si>
    <t>PAS4252900287</t>
  </si>
  <si>
    <t>ZGJA</t>
  </si>
  <si>
    <t>The Galleria Jaro 2-FS</t>
  </si>
  <si>
    <t>PAS4252500201</t>
  </si>
  <si>
    <t>ZJDG</t>
  </si>
  <si>
    <t>Jordan Guimaras-FS</t>
  </si>
  <si>
    <t>ZKM6251700181</t>
  </si>
  <si>
    <t>ZPBT</t>
  </si>
  <si>
    <t>Poblacion Talisay-FS</t>
  </si>
  <si>
    <t>PAS4252900286</t>
  </si>
  <si>
    <t>NCCP</t>
  </si>
  <si>
    <t>NCCC Panacan</t>
  </si>
  <si>
    <t>PAS4252500078</t>
  </si>
  <si>
    <t>GSUL</t>
  </si>
  <si>
    <t>Gaisano Uptown Lumbia</t>
  </si>
  <si>
    <t>PAS4252900285</t>
  </si>
  <si>
    <t>GPSS</t>
  </si>
  <si>
    <t>Global Plaza San Simon</t>
  </si>
  <si>
    <t>PAS4253000116</t>
  </si>
  <si>
    <t>BSPI</t>
  </si>
  <si>
    <t>Benelio Square Pavia Iloilo</t>
  </si>
  <si>
    <t>PAS4252900180</t>
  </si>
  <si>
    <t>PAS4252900272</t>
  </si>
  <si>
    <t>ZNKM</t>
  </si>
  <si>
    <t>Nangka Marikina</t>
  </si>
  <si>
    <t>ZKM6251400076</t>
  </si>
  <si>
    <t>ZQAC</t>
  </si>
  <si>
    <t>Quezon Avenue Cotabato City-FS</t>
  </si>
  <si>
    <t>PAS4253000024</t>
  </si>
  <si>
    <t>ZPTN</t>
  </si>
  <si>
    <t>Pontevedra Negros Occidental-FS</t>
  </si>
  <si>
    <t>PAS4253000125</t>
  </si>
  <si>
    <t>ZBLU</t>
  </si>
  <si>
    <t>Bauang La Union-FS</t>
  </si>
  <si>
    <t>ZKM6251500113</t>
  </si>
  <si>
    <t>ZTTE</t>
  </si>
  <si>
    <t>Taytay Easylane-FS</t>
  </si>
  <si>
    <t>PAS4252900036</t>
  </si>
  <si>
    <t>ZABJ</t>
  </si>
  <si>
    <t>Abacus Jaro Iloilo City - FS</t>
  </si>
  <si>
    <t>PAS4253000129</t>
  </si>
  <si>
    <t>7CCJ</t>
  </si>
  <si>
    <t>7s Commercial Center Jagna</t>
  </si>
  <si>
    <t>PAS4253000013</t>
  </si>
  <si>
    <t>ZAVA</t>
  </si>
  <si>
    <t>Altavas Aklan-FS</t>
  </si>
  <si>
    <t>PAS4252900008</t>
  </si>
  <si>
    <t>7SPB</t>
  </si>
  <si>
    <t>7S Panglao Bohol</t>
  </si>
  <si>
    <t>PAS4252900032</t>
  </si>
  <si>
    <t>ZDZS</t>
  </si>
  <si>
    <t>Dumalinao Zamboanga del Norte-FS</t>
  </si>
  <si>
    <t>PAS4252500168</t>
  </si>
  <si>
    <t>CATC</t>
  </si>
  <si>
    <t>Calauan Town Center</t>
  </si>
  <si>
    <t>PAS4252900193</t>
  </si>
  <si>
    <t>Code</t>
  </si>
  <si>
    <t>Name</t>
  </si>
  <si>
    <t>Location</t>
  </si>
  <si>
    <t>Cluster</t>
  </si>
  <si>
    <t>Contact Person</t>
  </si>
  <si>
    <t>Contact Number</t>
  </si>
  <si>
    <t>RTM Operations</t>
  </si>
  <si>
    <t>NN044</t>
  </si>
  <si>
    <t>NCR North &amp; East</t>
  </si>
  <si>
    <t>Phase 1</t>
  </si>
  <si>
    <t>NN037</t>
  </si>
  <si>
    <t>NN004</t>
  </si>
  <si>
    <t>NN010</t>
  </si>
  <si>
    <t>NN085</t>
  </si>
  <si>
    <t>NN006</t>
  </si>
  <si>
    <t>CG059</t>
  </si>
  <si>
    <t>NN058</t>
  </si>
  <si>
    <t>NN009</t>
  </si>
  <si>
    <t>CG032</t>
  </si>
  <si>
    <t>SM Cherry Antipolo</t>
  </si>
  <si>
    <t>NN012</t>
  </si>
  <si>
    <t>NN026</t>
  </si>
  <si>
    <t>CG092</t>
  </si>
  <si>
    <t>CG024</t>
  </si>
  <si>
    <t>NN019</t>
  </si>
  <si>
    <t>NN045</t>
  </si>
  <si>
    <t>NN011</t>
  </si>
  <si>
    <t>NN063</t>
  </si>
  <si>
    <t>NN005</t>
  </si>
  <si>
    <t>NN030</t>
  </si>
  <si>
    <t>NN049</t>
  </si>
  <si>
    <t>NN001</t>
  </si>
  <si>
    <t>NN007</t>
  </si>
  <si>
    <t>NN047</t>
  </si>
  <si>
    <t>NN061</t>
  </si>
  <si>
    <t>NN067</t>
  </si>
  <si>
    <t>NN016</t>
  </si>
  <si>
    <t>NN036</t>
  </si>
  <si>
    <t>NN053</t>
  </si>
  <si>
    <t>NN088</t>
  </si>
  <si>
    <t>NN041</t>
  </si>
  <si>
    <t>NN073</t>
  </si>
  <si>
    <t>NN046</t>
  </si>
  <si>
    <t>NN089</t>
  </si>
  <si>
    <t>NN039</t>
  </si>
  <si>
    <t>NN065</t>
  </si>
  <si>
    <t>Metroplaza Bagong Silang</t>
  </si>
  <si>
    <t>NN070</t>
  </si>
  <si>
    <t>NN042</t>
  </si>
  <si>
    <t>NN076</t>
  </si>
  <si>
    <t>NN048</t>
  </si>
  <si>
    <t>NN028</t>
  </si>
  <si>
    <t>CG114</t>
  </si>
  <si>
    <t>NN060</t>
  </si>
  <si>
    <t>CG108</t>
  </si>
  <si>
    <t>CG093</t>
  </si>
  <si>
    <t>NN029</t>
  </si>
  <si>
    <t>CG021</t>
  </si>
  <si>
    <t>CG027</t>
  </si>
  <si>
    <t>NN013</t>
  </si>
  <si>
    <t>NN032</t>
  </si>
  <si>
    <t>CG091</t>
  </si>
  <si>
    <t>NN066</t>
  </si>
  <si>
    <t>NN018</t>
  </si>
  <si>
    <t>NN072</t>
  </si>
  <si>
    <t>NN069</t>
  </si>
  <si>
    <t>Starmall EDSA Shaw</t>
  </si>
  <si>
    <t>CG089</t>
  </si>
  <si>
    <t>Sta. Lucia 2</t>
  </si>
  <si>
    <t>CG001</t>
  </si>
  <si>
    <t>CG035</t>
  </si>
  <si>
    <t>CG037</t>
  </si>
  <si>
    <t>NN040</t>
  </si>
  <si>
    <t>NN017</t>
  </si>
  <si>
    <t>CG128</t>
  </si>
  <si>
    <t>NN051</t>
  </si>
  <si>
    <t>NN014</t>
  </si>
  <si>
    <t>NN031</t>
  </si>
  <si>
    <t>NN003</t>
  </si>
  <si>
    <t>CG014</t>
  </si>
  <si>
    <t>SS004</t>
  </si>
  <si>
    <t>NN083</t>
  </si>
  <si>
    <t>CG030</t>
  </si>
  <si>
    <t>NN008</t>
  </si>
  <si>
    <t>NN052</t>
  </si>
  <si>
    <t>NN023</t>
  </si>
  <si>
    <t>CG042</t>
  </si>
  <si>
    <t>CG050</t>
  </si>
  <si>
    <t>CG057</t>
  </si>
  <si>
    <t>NN068</t>
  </si>
  <si>
    <t>CG085</t>
  </si>
  <si>
    <t>NN035</t>
  </si>
  <si>
    <t>NN057</t>
  </si>
  <si>
    <t>CG100</t>
  </si>
  <si>
    <t>Baras Rizal - FS</t>
  </si>
  <si>
    <t>NN074</t>
  </si>
  <si>
    <t>Balic-Balic Sampaloc - FS</t>
  </si>
  <si>
    <t>NN084</t>
  </si>
  <si>
    <t>Dalandanan Valenzuela-FS</t>
  </si>
  <si>
    <t>CG105</t>
  </si>
  <si>
    <t>Felix Avenue Cainta - FS</t>
  </si>
  <si>
    <t>SS008</t>
  </si>
  <si>
    <t>NN021</t>
  </si>
  <si>
    <t>NN078</t>
  </si>
  <si>
    <t>Kamuning Quezon City - FS</t>
  </si>
  <si>
    <t>NN081</t>
  </si>
  <si>
    <t>NN064</t>
  </si>
  <si>
    <t>Lilac Marikina City-FS</t>
  </si>
  <si>
    <t>NN087</t>
  </si>
  <si>
    <t>NN062</t>
  </si>
  <si>
    <t>NN079</t>
  </si>
  <si>
    <t>CG054</t>
  </si>
  <si>
    <t>Marc Square Taytay-FS</t>
  </si>
  <si>
    <t>NN025</t>
  </si>
  <si>
    <t>CG020</t>
  </si>
  <si>
    <t>NN077</t>
  </si>
  <si>
    <t>Naval Navotas</t>
  </si>
  <si>
    <t>NN082</t>
  </si>
  <si>
    <t>Nangka Marikina-FS</t>
  </si>
  <si>
    <t>NN033</t>
  </si>
  <si>
    <t>CG098</t>
  </si>
  <si>
    <t>San Isidro Rodriguez Rizal - FS</t>
  </si>
  <si>
    <t>NN071</t>
  </si>
  <si>
    <t>Suki Market Dapitan - FS</t>
  </si>
  <si>
    <t>MS037</t>
  </si>
  <si>
    <t>Mindanao 1</t>
  </si>
  <si>
    <t>Michael Sambuat</t>
  </si>
  <si>
    <t>Phase 10</t>
  </si>
  <si>
    <t>MD060</t>
  </si>
  <si>
    <t>April Caga-anan</t>
  </si>
  <si>
    <t>MT007</t>
  </si>
  <si>
    <t>Dalican Maguindanao-FS</t>
  </si>
  <si>
    <t>Reynand John Cabanalan</t>
  </si>
  <si>
    <t>MS031</t>
  </si>
  <si>
    <t>Richard Gepilga</t>
  </si>
  <si>
    <t>MD044</t>
  </si>
  <si>
    <t>Laak Commercial Building - FS</t>
  </si>
  <si>
    <t>Marlon Peral</t>
  </si>
  <si>
    <t>MS019</t>
  </si>
  <si>
    <t>MS042</t>
  </si>
  <si>
    <t>MARY JANE SOLIS</t>
  </si>
  <si>
    <t>MD043</t>
  </si>
  <si>
    <t>Santa Maria Davao Occidental - FS</t>
  </si>
  <si>
    <t>Gregie Benlot</t>
  </si>
  <si>
    <t>MD059</t>
  </si>
  <si>
    <t>Chady Gellido</t>
  </si>
  <si>
    <t>MD046</t>
  </si>
  <si>
    <t>Uyanguren Davao City - FS</t>
  </si>
  <si>
    <t>Jordan Falcon</t>
  </si>
  <si>
    <t>MA024</t>
  </si>
  <si>
    <t>Mindanao 2</t>
  </si>
  <si>
    <t>Jayson Gamayon</t>
  </si>
  <si>
    <t>MA021</t>
  </si>
  <si>
    <t>Johnny Coronel</t>
  </si>
  <si>
    <t>MZ037</t>
  </si>
  <si>
    <t>Ronel Castillon</t>
  </si>
  <si>
    <t>MO063</t>
  </si>
  <si>
    <t>Decy Mae Baguio</t>
  </si>
  <si>
    <t>MO065</t>
  </si>
  <si>
    <t>Albert Ocang</t>
  </si>
  <si>
    <t>MO059</t>
  </si>
  <si>
    <t>Narciso Cordova</t>
  </si>
  <si>
    <t>MT012</t>
  </si>
  <si>
    <t>Benzar Samirun</t>
  </si>
  <si>
    <t>MZ036</t>
  </si>
  <si>
    <t>Sherwin Supla-ag</t>
  </si>
  <si>
    <t>MO056</t>
  </si>
  <si>
    <t>Lantapan Bukidnnon FS</t>
  </si>
  <si>
    <t>Junie Tañajora</t>
  </si>
  <si>
    <t>MT001</t>
  </si>
  <si>
    <t>Wao - FS</t>
  </si>
  <si>
    <t>MO060</t>
  </si>
  <si>
    <t>NN059</t>
  </si>
  <si>
    <t>Ayala Mall 30th</t>
  </si>
  <si>
    <t>CG003</t>
  </si>
  <si>
    <t>CG129</t>
  </si>
  <si>
    <t>CG140</t>
  </si>
  <si>
    <t>CG125</t>
  </si>
  <si>
    <t>TNN01</t>
  </si>
  <si>
    <t>TAFLZ</t>
  </si>
  <si>
    <t>Ayala Feliz (Mr TOY)</t>
  </si>
  <si>
    <t>TNN03</t>
  </si>
  <si>
    <t>TAMRK</t>
  </si>
  <si>
    <t>Ayala Marikina (Mr TOY)</t>
  </si>
  <si>
    <t>TCG01</t>
  </si>
  <si>
    <t>TSLUC</t>
  </si>
  <si>
    <t>Sta. Lucia (Mr TOY)</t>
  </si>
  <si>
    <t>CG099</t>
  </si>
  <si>
    <t>NN080</t>
  </si>
  <si>
    <t>Manggahan Pasig - FS</t>
  </si>
  <si>
    <t>CG096</t>
  </si>
  <si>
    <t>NCR South &amp; CALAPA</t>
  </si>
  <si>
    <t>SS030</t>
  </si>
  <si>
    <t>SS036</t>
  </si>
  <si>
    <t>Parañaque Integrated Terminal Exchange 2</t>
  </si>
  <si>
    <t>SS033</t>
  </si>
  <si>
    <t>SS037</t>
  </si>
  <si>
    <t>SM Hypermarket Alabang Zapote Road</t>
  </si>
  <si>
    <t>TNN02</t>
  </si>
  <si>
    <t>TAYMB</t>
  </si>
  <si>
    <t>Ayala Manila Bay (Mr TOY)</t>
  </si>
  <si>
    <t>CG119</t>
  </si>
  <si>
    <t>SS034</t>
  </si>
  <si>
    <t>SS010</t>
  </si>
  <si>
    <t>CR022</t>
  </si>
  <si>
    <t>II038</t>
  </si>
  <si>
    <t xml:space="preserve">North &amp; Central Luzon </t>
  </si>
  <si>
    <t>IL083</t>
  </si>
  <si>
    <t>IL056</t>
  </si>
  <si>
    <t>TIL01</t>
  </si>
  <si>
    <t>TAHBP</t>
  </si>
  <si>
    <t>Ayala Harbor Point (Mr TOY)</t>
  </si>
  <si>
    <t>IL079</t>
  </si>
  <si>
    <t>IC022</t>
  </si>
  <si>
    <t>Tuoa Cagayan Valley - FS</t>
  </si>
  <si>
    <t>CB027</t>
  </si>
  <si>
    <t>South Luzon</t>
  </si>
  <si>
    <t>CG012</t>
  </si>
  <si>
    <t>CB033</t>
  </si>
  <si>
    <t>Caramoan Camarines Sur-FS</t>
  </si>
  <si>
    <t>VV094</t>
  </si>
  <si>
    <t>Visayas 1</t>
  </si>
  <si>
    <t>VV085</t>
  </si>
  <si>
    <t>VW089</t>
  </si>
  <si>
    <t>VW073</t>
  </si>
  <si>
    <t>SM Iloilo Markets-Terminal</t>
  </si>
  <si>
    <t>VV068</t>
  </si>
  <si>
    <t>Bindoy, Negros Oriental - FS</t>
  </si>
  <si>
    <t>VW077</t>
  </si>
  <si>
    <t>Guimbal Iloilo-FS</t>
  </si>
  <si>
    <t>VW097</t>
  </si>
  <si>
    <t>VV086</t>
  </si>
  <si>
    <t>Jimalalud Negros Oriental - FS</t>
  </si>
  <si>
    <t>VW022</t>
  </si>
  <si>
    <t>ZTGR</t>
  </si>
  <si>
    <t>The Galleria-FS</t>
  </si>
  <si>
    <t>VV097</t>
  </si>
  <si>
    <t>Visayas 2</t>
  </si>
  <si>
    <t>VE034</t>
  </si>
  <si>
    <t>Caibiran Bilran-FS</t>
  </si>
  <si>
    <t>VE013</t>
  </si>
  <si>
    <t>VE009</t>
  </si>
  <si>
    <t>Liloan Leyte-FS</t>
  </si>
  <si>
    <t>VV070</t>
  </si>
  <si>
    <t>Lutopan Toledo City - FS</t>
  </si>
  <si>
    <t>VE028</t>
  </si>
  <si>
    <t>VE030</t>
  </si>
  <si>
    <t>CG026</t>
  </si>
  <si>
    <t>Phase 2</t>
  </si>
  <si>
    <t>NN043</t>
  </si>
  <si>
    <t>NN056</t>
  </si>
  <si>
    <t>NN050</t>
  </si>
  <si>
    <t>NN015</t>
  </si>
  <si>
    <t>CG063</t>
  </si>
  <si>
    <t>CG058</t>
  </si>
  <si>
    <t>NN086</t>
  </si>
  <si>
    <t>NN027</t>
  </si>
  <si>
    <t>NN054</t>
  </si>
  <si>
    <t>SS029</t>
  </si>
  <si>
    <t>CG040</t>
  </si>
  <si>
    <t>NN034</t>
  </si>
  <si>
    <t>SS003</t>
  </si>
  <si>
    <t>CG025</t>
  </si>
  <si>
    <t>CG136</t>
  </si>
  <si>
    <t>CR002</t>
  </si>
  <si>
    <t>SS012</t>
  </si>
  <si>
    <t>SS009</t>
  </si>
  <si>
    <t>SS027</t>
  </si>
  <si>
    <t>CG120</t>
  </si>
  <si>
    <t>L'Paseo Arcade Indang</t>
  </si>
  <si>
    <t>CG009</t>
  </si>
  <si>
    <t>CG122</t>
  </si>
  <si>
    <t>SS026</t>
  </si>
  <si>
    <t>SS038</t>
  </si>
  <si>
    <t>CG074</t>
  </si>
  <si>
    <t>SS025</t>
  </si>
  <si>
    <t>CG111</t>
  </si>
  <si>
    <t>CG127</t>
  </si>
  <si>
    <t>CG126</t>
  </si>
  <si>
    <t>CG052</t>
  </si>
  <si>
    <t>CG075</t>
  </si>
  <si>
    <t>CG004</t>
  </si>
  <si>
    <t>SS028</t>
  </si>
  <si>
    <t>CG076</t>
  </si>
  <si>
    <t>SS023</t>
  </si>
  <si>
    <t>SS019</t>
  </si>
  <si>
    <t>CG061</t>
  </si>
  <si>
    <t>SS007</t>
  </si>
  <si>
    <t>NN038</t>
  </si>
  <si>
    <t>SS039</t>
  </si>
  <si>
    <t>SS011</t>
  </si>
  <si>
    <t>CG107</t>
  </si>
  <si>
    <t>CG133</t>
  </si>
  <si>
    <t>SS002</t>
  </si>
  <si>
    <t>Waltermart Pasay</t>
  </si>
  <si>
    <t>CG002</t>
  </si>
  <si>
    <t>CG044</t>
  </si>
  <si>
    <t>SS032</t>
  </si>
  <si>
    <t>SS024</t>
  </si>
  <si>
    <t>CG104</t>
  </si>
  <si>
    <t>CG101</t>
  </si>
  <si>
    <t>CG028</t>
  </si>
  <si>
    <t>SS005</t>
  </si>
  <si>
    <t>CG080</t>
  </si>
  <si>
    <t>CG017</t>
  </si>
  <si>
    <t>CG062</t>
  </si>
  <si>
    <t>CG131</t>
  </si>
  <si>
    <t>Bahayang Pag-asa Imus-FS</t>
  </si>
  <si>
    <t>SS017</t>
  </si>
  <si>
    <t>CR009</t>
  </si>
  <si>
    <t>SS016</t>
  </si>
  <si>
    <t>CG019</t>
  </si>
  <si>
    <t>SS022</t>
  </si>
  <si>
    <t>CG116</t>
  </si>
  <si>
    <t>Green Square 2 Gen Trias -FS</t>
  </si>
  <si>
    <t>CG082</t>
  </si>
  <si>
    <t>CG068</t>
  </si>
  <si>
    <t>SS015</t>
  </si>
  <si>
    <t>CG086</t>
  </si>
  <si>
    <t>SS035</t>
  </si>
  <si>
    <t>Malibay Pasay - FS</t>
  </si>
  <si>
    <t>CG117</t>
  </si>
  <si>
    <t>Marahan Alfonso FS</t>
  </si>
  <si>
    <t>CG109</t>
  </si>
  <si>
    <t>M Space Tagaytay</t>
  </si>
  <si>
    <t>SS018</t>
  </si>
  <si>
    <t>CR003</t>
  </si>
  <si>
    <t>CG047</t>
  </si>
  <si>
    <t>CR010</t>
  </si>
  <si>
    <t>CG135</t>
  </si>
  <si>
    <t>SS031</t>
  </si>
  <si>
    <t>SS021</t>
  </si>
  <si>
    <t>NN020</t>
  </si>
  <si>
    <t>CG045</t>
  </si>
  <si>
    <t>CR016</t>
  </si>
  <si>
    <t>CG055</t>
  </si>
  <si>
    <t>CG106</t>
  </si>
  <si>
    <t>Suki Market Laguna - FS</t>
  </si>
  <si>
    <t>CR015</t>
  </si>
  <si>
    <t>SS020</t>
  </si>
  <si>
    <t>Taguig General Luna-FS</t>
  </si>
  <si>
    <t>CG095</t>
  </si>
  <si>
    <t>CG034</t>
  </si>
  <si>
    <t>CR011</t>
  </si>
  <si>
    <t>SS013</t>
  </si>
  <si>
    <t>CG113</t>
  </si>
  <si>
    <t>IC033</t>
  </si>
  <si>
    <t>IL028</t>
  </si>
  <si>
    <t>II009</t>
  </si>
  <si>
    <t>IL004</t>
  </si>
  <si>
    <t>II002</t>
  </si>
  <si>
    <t>IL098</t>
  </si>
  <si>
    <t>ID001</t>
  </si>
  <si>
    <t>IL085</t>
  </si>
  <si>
    <t>IL009</t>
  </si>
  <si>
    <t>IL088</t>
  </si>
  <si>
    <t>IL065</t>
  </si>
  <si>
    <t>Global Plaza Mexico</t>
  </si>
  <si>
    <t>IL102</t>
  </si>
  <si>
    <t>Phase 3</t>
  </si>
  <si>
    <t>IL107</t>
  </si>
  <si>
    <t>IL014</t>
  </si>
  <si>
    <t>IL097</t>
  </si>
  <si>
    <t>IL080</t>
  </si>
  <si>
    <t>Hermosa Bataan</t>
  </si>
  <si>
    <t>IL017</t>
  </si>
  <si>
    <t>IL062</t>
  </si>
  <si>
    <t>IL070</t>
  </si>
  <si>
    <t>IL049</t>
  </si>
  <si>
    <t>IL007</t>
  </si>
  <si>
    <t>IC034</t>
  </si>
  <si>
    <t>II015</t>
  </si>
  <si>
    <t>IL051</t>
  </si>
  <si>
    <t>IL063</t>
  </si>
  <si>
    <t>IL047</t>
  </si>
  <si>
    <t>II004</t>
  </si>
  <si>
    <t>IL106</t>
  </si>
  <si>
    <t>IL012</t>
  </si>
  <si>
    <t>IL030</t>
  </si>
  <si>
    <t>II006</t>
  </si>
  <si>
    <t>IC001</t>
  </si>
  <si>
    <t>IC003</t>
  </si>
  <si>
    <t>IL032</t>
  </si>
  <si>
    <t>II031</t>
  </si>
  <si>
    <t>IC002</t>
  </si>
  <si>
    <t>IL103</t>
  </si>
  <si>
    <t>IL064</t>
  </si>
  <si>
    <t>Puregold Bocaue</t>
  </si>
  <si>
    <t>IL058</t>
  </si>
  <si>
    <t>IL074</t>
  </si>
  <si>
    <t>IL055</t>
  </si>
  <si>
    <t>IL061</t>
  </si>
  <si>
    <t>IL076</t>
  </si>
  <si>
    <t>IL090</t>
  </si>
  <si>
    <t>Puregold NE Zulueta</t>
  </si>
  <si>
    <t>II033</t>
  </si>
  <si>
    <t>IC004</t>
  </si>
  <si>
    <t>IL027</t>
  </si>
  <si>
    <t>IC005</t>
  </si>
  <si>
    <t>II007</t>
  </si>
  <si>
    <t>IL018</t>
  </si>
  <si>
    <t>IL024</t>
  </si>
  <si>
    <t>IC009</t>
  </si>
  <si>
    <t>IL069</t>
  </si>
  <si>
    <t>IL078</t>
  </si>
  <si>
    <t>IL026</t>
  </si>
  <si>
    <t>IL092</t>
  </si>
  <si>
    <t>IL094</t>
  </si>
  <si>
    <t>IL008</t>
  </si>
  <si>
    <t>SS006</t>
  </si>
  <si>
    <t>IL082</t>
  </si>
  <si>
    <t>IL035</t>
  </si>
  <si>
    <t>IL036</t>
  </si>
  <si>
    <t>IL015</t>
  </si>
  <si>
    <t>/</t>
  </si>
  <si>
    <t>IL016</t>
  </si>
  <si>
    <t>IL096</t>
  </si>
  <si>
    <t>IL053</t>
  </si>
  <si>
    <t>IL034</t>
  </si>
  <si>
    <t>IL006</t>
  </si>
  <si>
    <t>IL003</t>
  </si>
  <si>
    <t>II001</t>
  </si>
  <si>
    <t>IL021</t>
  </si>
  <si>
    <t>IL002</t>
  </si>
  <si>
    <t>IL001</t>
  </si>
  <si>
    <t>IC007</t>
  </si>
  <si>
    <t>IL101</t>
  </si>
  <si>
    <t>XMart Hagonoy</t>
  </si>
  <si>
    <t>IL010</t>
  </si>
  <si>
    <t>IC006</t>
  </si>
  <si>
    <t>IC021</t>
  </si>
  <si>
    <t>IC024</t>
  </si>
  <si>
    <t>IL077</t>
  </si>
  <si>
    <t>Astro Park Clark Maingate, Angeles City - FS</t>
  </si>
  <si>
    <t>IL048</t>
  </si>
  <si>
    <t>IL104</t>
  </si>
  <si>
    <t>IC014</t>
  </si>
  <si>
    <t>II029</t>
  </si>
  <si>
    <t>Agoo La Union - FS</t>
  </si>
  <si>
    <t>IL068</t>
  </si>
  <si>
    <t>IC018</t>
  </si>
  <si>
    <t>Aparri Cagayan-FS</t>
  </si>
  <si>
    <t>IL046</t>
  </si>
  <si>
    <t>IC030</t>
  </si>
  <si>
    <t>Aurora Isabela-FS</t>
  </si>
  <si>
    <t>II016</t>
  </si>
  <si>
    <t>II034</t>
  </si>
  <si>
    <t>IL044</t>
  </si>
  <si>
    <t>II027</t>
  </si>
  <si>
    <t>Bacarra Ilocos Norte - FS</t>
  </si>
  <si>
    <t>ID002</t>
  </si>
  <si>
    <t>IC016</t>
  </si>
  <si>
    <t>II012</t>
  </si>
  <si>
    <t>IL013</t>
  </si>
  <si>
    <t>II036</t>
  </si>
  <si>
    <t>IL089</t>
  </si>
  <si>
    <t>Bamban Tarlac-FS</t>
  </si>
  <si>
    <t>IL054</t>
  </si>
  <si>
    <t>Bongabon Nueva Ecija-FS</t>
  </si>
  <si>
    <t>IC029</t>
  </si>
  <si>
    <t>Bayombong Nueva Vizcaya-FS</t>
  </si>
  <si>
    <t>ID003</t>
  </si>
  <si>
    <t>IC015</t>
  </si>
  <si>
    <t>II013</t>
  </si>
  <si>
    <t>II021</t>
  </si>
  <si>
    <t>IC020</t>
  </si>
  <si>
    <t>Cordon Isabela -FS</t>
  </si>
  <si>
    <t>IC025</t>
  </si>
  <si>
    <t>Claveria Cagayan FS</t>
  </si>
  <si>
    <t>IL029</t>
  </si>
  <si>
    <t>IL086</t>
  </si>
  <si>
    <t>IL060</t>
  </si>
  <si>
    <t>IC013</t>
  </si>
  <si>
    <t>II003</t>
  </si>
  <si>
    <t>Phase 4</t>
  </si>
  <si>
    <t>IL039</t>
  </si>
  <si>
    <t>IC026</t>
  </si>
  <si>
    <t>IL040</t>
  </si>
  <si>
    <t>IL087</t>
  </si>
  <si>
    <t>Friendship Hiway Angeles City-FS</t>
  </si>
  <si>
    <t>IL037</t>
  </si>
  <si>
    <t>IL042</t>
  </si>
  <si>
    <t>IL011</t>
  </si>
  <si>
    <t>IL100</t>
  </si>
  <si>
    <t>IC010</t>
  </si>
  <si>
    <t>IC031</t>
  </si>
  <si>
    <t>IL075</t>
  </si>
  <si>
    <t>II025</t>
  </si>
  <si>
    <t>Laoag Bacarra - FS</t>
  </si>
  <si>
    <t>IL081</t>
  </si>
  <si>
    <t>IL071</t>
  </si>
  <si>
    <t>Lubao, Pampanga - FS</t>
  </si>
  <si>
    <t>IC032</t>
  </si>
  <si>
    <t>II020</t>
  </si>
  <si>
    <t>Laoag City, Ilocos Norte FS</t>
  </si>
  <si>
    <t>IL073</t>
  </si>
  <si>
    <t>Limay Bataan -FS</t>
  </si>
  <si>
    <t>IL091</t>
  </si>
  <si>
    <t>Lupao Nueva Ecija-FS</t>
  </si>
  <si>
    <t>IL105</t>
  </si>
  <si>
    <t>IC019</t>
  </si>
  <si>
    <t>II019</t>
  </si>
  <si>
    <t>II010</t>
  </si>
  <si>
    <t>II028</t>
  </si>
  <si>
    <t>Mapandan Pangasinan-FS</t>
  </si>
  <si>
    <t>IL084</t>
  </si>
  <si>
    <t>IL072</t>
  </si>
  <si>
    <t>Munoz Nueva Ecija - FS</t>
  </si>
  <si>
    <t>IL050</t>
  </si>
  <si>
    <t>IL099</t>
  </si>
  <si>
    <t>II037</t>
  </si>
  <si>
    <t>II014</t>
  </si>
  <si>
    <t>IL067</t>
  </si>
  <si>
    <t>Olongapo FS 2</t>
  </si>
  <si>
    <t>IL005</t>
  </si>
  <si>
    <t>IL057</t>
  </si>
  <si>
    <t>IL025</t>
  </si>
  <si>
    <t>IL023</t>
  </si>
  <si>
    <t>IL043</t>
  </si>
  <si>
    <t>II018</t>
  </si>
  <si>
    <t>IL045</t>
  </si>
  <si>
    <t>II023</t>
  </si>
  <si>
    <t>IL066</t>
  </si>
  <si>
    <t>San Antonio, Nueva Ecija-FS</t>
  </si>
  <si>
    <t>IL031</t>
  </si>
  <si>
    <t>II030</t>
  </si>
  <si>
    <t>Santa Cruz Ilocos Sur - FS</t>
  </si>
  <si>
    <t>II026</t>
  </si>
  <si>
    <t>Sto Domongp Ilocos Sur FS</t>
  </si>
  <si>
    <t>IL022</t>
  </si>
  <si>
    <t>II008</t>
  </si>
  <si>
    <t>IL052</t>
  </si>
  <si>
    <t>IL020</t>
  </si>
  <si>
    <t>II035</t>
  </si>
  <si>
    <t>IL033</t>
  </si>
  <si>
    <t>IC023</t>
  </si>
  <si>
    <t>Sanchez Mira Cagayan - FS</t>
  </si>
  <si>
    <t>IC027</t>
  </si>
  <si>
    <t>San Mateo Isabela-FS</t>
  </si>
  <si>
    <t>IC008</t>
  </si>
  <si>
    <t>IL093</t>
  </si>
  <si>
    <t>IL038</t>
  </si>
  <si>
    <t>IL095</t>
  </si>
  <si>
    <t>Sta Rita Pampanga FS</t>
  </si>
  <si>
    <t>IC012</t>
  </si>
  <si>
    <t>II011</t>
  </si>
  <si>
    <t>IC028</t>
  </si>
  <si>
    <t>Tuguegarao City Cagayan-FS</t>
  </si>
  <si>
    <t>IC017</t>
  </si>
  <si>
    <t>IL041</t>
  </si>
  <si>
    <t>II017</t>
  </si>
  <si>
    <t>II032</t>
  </si>
  <si>
    <t>II005</t>
  </si>
  <si>
    <t>II024</t>
  </si>
  <si>
    <t>Vigan, Ilocos Sur 2-FS</t>
  </si>
  <si>
    <t>II022</t>
  </si>
  <si>
    <t>Villasis, Pangasinan - FS</t>
  </si>
  <si>
    <t>IL059</t>
  </si>
  <si>
    <t>CG141</t>
  </si>
  <si>
    <t>CG018</t>
  </si>
  <si>
    <t>CR005</t>
  </si>
  <si>
    <t>CG011</t>
  </si>
  <si>
    <t>CG031</t>
  </si>
  <si>
    <t>CB005</t>
  </si>
  <si>
    <t>CG048</t>
  </si>
  <si>
    <t>CB002</t>
  </si>
  <si>
    <t>CB006</t>
  </si>
  <si>
    <t>CB004</t>
  </si>
  <si>
    <t>CG123</t>
  </si>
  <si>
    <t>CR021</t>
  </si>
  <si>
    <t>CG007</t>
  </si>
  <si>
    <t>CB032</t>
  </si>
  <si>
    <t>CG016</t>
  </si>
  <si>
    <t>CB003</t>
  </si>
  <si>
    <t>CG046</t>
  </si>
  <si>
    <t>CB001</t>
  </si>
  <si>
    <t>CG049</t>
  </si>
  <si>
    <t>CG056</t>
  </si>
  <si>
    <t>CG006</t>
  </si>
  <si>
    <t>CG051</t>
  </si>
  <si>
    <t>CR008</t>
  </si>
  <si>
    <t>CG138</t>
  </si>
  <si>
    <t>CG137</t>
  </si>
  <si>
    <t>The Lifestyle Strip Mall</t>
  </si>
  <si>
    <t>CG087</t>
  </si>
  <si>
    <t>CG039</t>
  </si>
  <si>
    <t>CG124</t>
  </si>
  <si>
    <t>CB016</t>
  </si>
  <si>
    <t>CG010</t>
  </si>
  <si>
    <t>CG013</t>
  </si>
  <si>
    <t>CG015</t>
  </si>
  <si>
    <t>CG084</t>
  </si>
  <si>
    <t>CG066</t>
  </si>
  <si>
    <t>CG073</t>
  </si>
  <si>
    <t>Phase 5</t>
  </si>
  <si>
    <t>CG005</t>
  </si>
  <si>
    <t>CR001</t>
  </si>
  <si>
    <t>CG071</t>
  </si>
  <si>
    <t>CG112</t>
  </si>
  <si>
    <t>Atimonan FS</t>
  </si>
  <si>
    <t>CR018</t>
  </si>
  <si>
    <t>CG070</t>
  </si>
  <si>
    <t>CG029</t>
  </si>
  <si>
    <t>CB021</t>
  </si>
  <si>
    <t>CG115</t>
  </si>
  <si>
    <t>Banay Banay Cabuyao Laguna - FS</t>
  </si>
  <si>
    <t>CB012</t>
  </si>
  <si>
    <t>CG132</t>
  </si>
  <si>
    <t>CB031</t>
  </si>
  <si>
    <t>CG060</t>
  </si>
  <si>
    <t>CG023</t>
  </si>
  <si>
    <t>CG094</t>
  </si>
  <si>
    <t>CG064</t>
  </si>
  <si>
    <t>CR006</t>
  </si>
  <si>
    <t>CB025</t>
  </si>
  <si>
    <t>Daet Camarines Norte FS</t>
  </si>
  <si>
    <t>CB028</t>
  </si>
  <si>
    <t>CB014</t>
  </si>
  <si>
    <t>CB019</t>
  </si>
  <si>
    <t>CG130</t>
  </si>
  <si>
    <t>CG110</t>
  </si>
  <si>
    <t>CG134</t>
  </si>
  <si>
    <t>Infanta Quezon FS</t>
  </si>
  <si>
    <t>CB010</t>
  </si>
  <si>
    <t>CB026</t>
  </si>
  <si>
    <t>CB020</t>
  </si>
  <si>
    <t>CG053</t>
  </si>
  <si>
    <t>CG078</t>
  </si>
  <si>
    <t>CG069</t>
  </si>
  <si>
    <t>CB008</t>
  </si>
  <si>
    <t>CB015</t>
  </si>
  <si>
    <t>CG072</t>
  </si>
  <si>
    <t>CG036</t>
  </si>
  <si>
    <t>CG065</t>
  </si>
  <si>
    <t>CG038</t>
  </si>
  <si>
    <t>CB017</t>
  </si>
  <si>
    <t>CG118</t>
  </si>
  <si>
    <t>Mauban Quezon-FS</t>
  </si>
  <si>
    <t>CR017</t>
  </si>
  <si>
    <t>CB009</t>
  </si>
  <si>
    <t>CR020</t>
  </si>
  <si>
    <t>Najuan Mindoro-FS</t>
  </si>
  <si>
    <t>CG090</t>
  </si>
  <si>
    <t>CR023</t>
  </si>
  <si>
    <t>CB022</t>
  </si>
  <si>
    <t>Old Albay District Legazpi-FS</t>
  </si>
  <si>
    <t>CG102</t>
  </si>
  <si>
    <t>Diversion Road Brgy. Talipan Pagbilao Quezon</t>
  </si>
  <si>
    <t>CG077</t>
  </si>
  <si>
    <t>CB013</t>
  </si>
  <si>
    <t>Pili Camarines Sur-FS</t>
  </si>
  <si>
    <t>CR007</t>
  </si>
  <si>
    <t>CG121</t>
  </si>
  <si>
    <t>CB018</t>
  </si>
  <si>
    <t>CR019</t>
  </si>
  <si>
    <t>Puerto Galera - FS</t>
  </si>
  <si>
    <t>CG088</t>
  </si>
  <si>
    <t>CR013</t>
  </si>
  <si>
    <t>CB023</t>
  </si>
  <si>
    <t>CG041</t>
  </si>
  <si>
    <t>CR004</t>
  </si>
  <si>
    <t>CR012</t>
  </si>
  <si>
    <t>CG033</t>
  </si>
  <si>
    <t>CG067</t>
  </si>
  <si>
    <t>CB007</t>
  </si>
  <si>
    <t>CB011</t>
  </si>
  <si>
    <t>CB024</t>
  </si>
  <si>
    <t>Tabaco City Albay 2 - FS</t>
  </si>
  <si>
    <t>CB029</t>
  </si>
  <si>
    <t>CG081</t>
  </si>
  <si>
    <t>CB030</t>
  </si>
  <si>
    <t>CG097</t>
  </si>
  <si>
    <t>CR014</t>
  </si>
  <si>
    <t>VW018</t>
  </si>
  <si>
    <t>VW015</t>
  </si>
  <si>
    <t>VW084</t>
  </si>
  <si>
    <t>VW067</t>
  </si>
  <si>
    <t>Alpha 1 Barotac Viejo Iloilo</t>
  </si>
  <si>
    <t>VW042</t>
  </si>
  <si>
    <t>VV022</t>
  </si>
  <si>
    <t>VV014</t>
  </si>
  <si>
    <t>VV042</t>
  </si>
  <si>
    <t>VW087</t>
  </si>
  <si>
    <t>VW096</t>
  </si>
  <si>
    <t>VW037</t>
  </si>
  <si>
    <t>VW010</t>
  </si>
  <si>
    <t>VW003</t>
  </si>
  <si>
    <t>VW001</t>
  </si>
  <si>
    <t>VW011</t>
  </si>
  <si>
    <t>VV046</t>
  </si>
  <si>
    <t>VW020</t>
  </si>
  <si>
    <t>VW024</t>
  </si>
  <si>
    <t>VW052</t>
  </si>
  <si>
    <t>VW043</t>
  </si>
  <si>
    <t>VW039</t>
  </si>
  <si>
    <t>VW053</t>
  </si>
  <si>
    <t>VW004</t>
  </si>
  <si>
    <t>VW061</t>
  </si>
  <si>
    <t>VW064</t>
  </si>
  <si>
    <t>Gaisano Capital Janiuay Iloilo</t>
  </si>
  <si>
    <t>VW013</t>
  </si>
  <si>
    <t>VW014</t>
  </si>
  <si>
    <t>VW006</t>
  </si>
  <si>
    <t>VW081</t>
  </si>
  <si>
    <t>VW005</t>
  </si>
  <si>
    <t>VW076</t>
  </si>
  <si>
    <t>VW047</t>
  </si>
  <si>
    <t>VV023</t>
  </si>
  <si>
    <t>Phase 6</t>
  </si>
  <si>
    <t>VV077</t>
  </si>
  <si>
    <t>VW028</t>
  </si>
  <si>
    <t>VW002</t>
  </si>
  <si>
    <t>VW092</t>
  </si>
  <si>
    <t>VW078</t>
  </si>
  <si>
    <t>Pontevedra Town Center Capiz</t>
  </si>
  <si>
    <t>VW068</t>
  </si>
  <si>
    <t>VV003</t>
  </si>
  <si>
    <t>VW094</t>
  </si>
  <si>
    <t>VW007</t>
  </si>
  <si>
    <t>VW017</t>
  </si>
  <si>
    <t>VW012</t>
  </si>
  <si>
    <t>VV065</t>
  </si>
  <si>
    <t>VW093</t>
  </si>
  <si>
    <t>VW019</t>
  </si>
  <si>
    <t>VW088</t>
  </si>
  <si>
    <t>VW048</t>
  </si>
  <si>
    <t>VW054</t>
  </si>
  <si>
    <t>VW091</t>
  </si>
  <si>
    <t>VV049</t>
  </si>
  <si>
    <t>VW016</t>
  </si>
  <si>
    <t>VW069</t>
  </si>
  <si>
    <t>VV037</t>
  </si>
  <si>
    <t>VW062</t>
  </si>
  <si>
    <t>Barotac Nuevo Iloilo - FS</t>
  </si>
  <si>
    <t>VW025</t>
  </si>
  <si>
    <t>VW051</t>
  </si>
  <si>
    <t>VW045</t>
  </si>
  <si>
    <t>VW056</t>
  </si>
  <si>
    <t>Cadiz city, Negros Occidental -FS</t>
  </si>
  <si>
    <t>VV062</t>
  </si>
  <si>
    <t>Canlaon, Negros Oriental - FS</t>
  </si>
  <si>
    <t>VV078</t>
  </si>
  <si>
    <t>VW029</t>
  </si>
  <si>
    <t>VW034</t>
  </si>
  <si>
    <t>VV005</t>
  </si>
  <si>
    <t>VV035</t>
  </si>
  <si>
    <t>VV071</t>
  </si>
  <si>
    <t>Dauin Negros Oriental-FS</t>
  </si>
  <si>
    <t>VW063</t>
  </si>
  <si>
    <t>Estancia Iloilo - FS</t>
  </si>
  <si>
    <t>VW044</t>
  </si>
  <si>
    <t>VW058</t>
  </si>
  <si>
    <t>Granada Bacolod FS</t>
  </si>
  <si>
    <t>VW095</t>
  </si>
  <si>
    <t>VV028</t>
  </si>
  <si>
    <t>VW057</t>
  </si>
  <si>
    <t>Hinoba-an, Negros Occidental - FS</t>
  </si>
  <si>
    <t>VW035</t>
  </si>
  <si>
    <t>VW040</t>
  </si>
  <si>
    <t>VV021</t>
  </si>
  <si>
    <t>VW082</t>
  </si>
  <si>
    <t>VW083</t>
  </si>
  <si>
    <t>VW008</t>
  </si>
  <si>
    <t>VW023</t>
  </si>
  <si>
    <t>VW055</t>
  </si>
  <si>
    <t>Lambunao Iloilo-FS</t>
  </si>
  <si>
    <t>VW033</t>
  </si>
  <si>
    <t>VW031</t>
  </si>
  <si>
    <t>VW046</t>
  </si>
  <si>
    <t>VW080</t>
  </si>
  <si>
    <t>VW086</t>
  </si>
  <si>
    <t>VW049</t>
  </si>
  <si>
    <t>Mansilingan Bacolod - FS</t>
  </si>
  <si>
    <t>VW066</t>
  </si>
  <si>
    <t>Mambusao Capiz FS</t>
  </si>
  <si>
    <t>VV067</t>
  </si>
  <si>
    <t>Mabinay, Negros Oriental - FS</t>
  </si>
  <si>
    <t>VV061</t>
  </si>
  <si>
    <t>VV017</t>
  </si>
  <si>
    <t>VW065</t>
  </si>
  <si>
    <t>Miagao Iloilo - FS</t>
  </si>
  <si>
    <t>VW079</t>
  </si>
  <si>
    <t>VW030</t>
  </si>
  <si>
    <t>VW071</t>
  </si>
  <si>
    <t>Manapla Negros Occidental FS</t>
  </si>
  <si>
    <t>VW038</t>
  </si>
  <si>
    <t>VW090</t>
  </si>
  <si>
    <t>VV095</t>
  </si>
  <si>
    <t>VV043</t>
  </si>
  <si>
    <t>VV080</t>
  </si>
  <si>
    <t>Punta Princesa -FS</t>
  </si>
  <si>
    <t>VW085</t>
  </si>
  <si>
    <t>VV018</t>
  </si>
  <si>
    <t>VW021</t>
  </si>
  <si>
    <t>Passi City Iloilo-FS</t>
  </si>
  <si>
    <t>VW074</t>
  </si>
  <si>
    <t>Pototan Iloilo-FS</t>
  </si>
  <si>
    <t>VW099</t>
  </si>
  <si>
    <t>Pontevedra, Negros Occidental - FS</t>
  </si>
  <si>
    <t>VV093</t>
  </si>
  <si>
    <t>VW032</t>
  </si>
  <si>
    <t>VW026</t>
  </si>
  <si>
    <t>VV090</t>
  </si>
  <si>
    <t>VW072</t>
  </si>
  <si>
    <t>VW041</t>
  </si>
  <si>
    <t>VW009</t>
  </si>
  <si>
    <t>VW036</t>
  </si>
  <si>
    <t>VV029</t>
  </si>
  <si>
    <t>VV026</t>
  </si>
  <si>
    <t>VV076</t>
  </si>
  <si>
    <t>Tagbilaran 3 Bohol-FS</t>
  </si>
  <si>
    <t>VV024</t>
  </si>
  <si>
    <t>VV030</t>
  </si>
  <si>
    <t>VV039</t>
  </si>
  <si>
    <t>VV054</t>
  </si>
  <si>
    <t>VW070</t>
  </si>
  <si>
    <t>VV091</t>
  </si>
  <si>
    <t>VV032</t>
  </si>
  <si>
    <t>VW050</t>
  </si>
  <si>
    <t>VV034</t>
  </si>
  <si>
    <t>VW075</t>
  </si>
  <si>
    <t>VW059</t>
  </si>
  <si>
    <t>Upper East Bacolod - FS</t>
  </si>
  <si>
    <t>VW027</t>
  </si>
  <si>
    <t>VV060</t>
  </si>
  <si>
    <t>Valencia, Negros Oriental FS</t>
  </si>
  <si>
    <t>VV073</t>
  </si>
  <si>
    <t>VE039</t>
  </si>
  <si>
    <t>VV015</t>
  </si>
  <si>
    <t>MT005</t>
  </si>
  <si>
    <t>Usman Hassan</t>
  </si>
  <si>
    <t>Phase 7</t>
  </si>
  <si>
    <t>MD006</t>
  </si>
  <si>
    <t>Bing Ian Wong</t>
  </si>
  <si>
    <t>MS001</t>
  </si>
  <si>
    <t>Sheryl Omandam</t>
  </si>
  <si>
    <t>MD012</t>
  </si>
  <si>
    <t>Julius Antiporta</t>
  </si>
  <si>
    <t>MD037</t>
  </si>
  <si>
    <t>Jonathan San Pablo</t>
  </si>
  <si>
    <t>MD025</t>
  </si>
  <si>
    <t>Jenny Ronda</t>
  </si>
  <si>
    <t>MS028</t>
  </si>
  <si>
    <t>Aniceto Jayson Catacutan</t>
  </si>
  <si>
    <t>MD052</t>
  </si>
  <si>
    <t>Kimberly Penaranda</t>
  </si>
  <si>
    <t>MD002</t>
  </si>
  <si>
    <t>MD032</t>
  </si>
  <si>
    <t>Gaisano Grand City Gate Buhangin</t>
  </si>
  <si>
    <t>Sheryl Rumay</t>
  </si>
  <si>
    <t>MD011</t>
  </si>
  <si>
    <t>MD028</t>
  </si>
  <si>
    <t>MS018</t>
  </si>
  <si>
    <t>Ivhan Daryll Esberto</t>
  </si>
  <si>
    <t>MD031</t>
  </si>
  <si>
    <t>MD029</t>
  </si>
  <si>
    <t>VE019</t>
  </si>
  <si>
    <t>VV055</t>
  </si>
  <si>
    <t>VV038</t>
  </si>
  <si>
    <t>VV016</t>
  </si>
  <si>
    <t>VV001</t>
  </si>
  <si>
    <t>VV064</t>
  </si>
  <si>
    <t>City Mall Consolacion</t>
  </si>
  <si>
    <t>VV044</t>
  </si>
  <si>
    <t>VV004</t>
  </si>
  <si>
    <t>VV052</t>
  </si>
  <si>
    <t>VV053</t>
  </si>
  <si>
    <t>VV082</t>
  </si>
  <si>
    <t>VV083</t>
  </si>
  <si>
    <t>VV063</t>
  </si>
  <si>
    <t>Lagundi Gaisano Grand Oslob</t>
  </si>
  <si>
    <t>VV040</t>
  </si>
  <si>
    <t>VV012</t>
  </si>
  <si>
    <t>VE025</t>
  </si>
  <si>
    <t>VV013</t>
  </si>
  <si>
    <t>VE004</t>
  </si>
  <si>
    <t>VE003</t>
  </si>
  <si>
    <t>VV008</t>
  </si>
  <si>
    <t>VV010</t>
  </si>
  <si>
    <t>VV019</t>
  </si>
  <si>
    <t>VV092</t>
  </si>
  <si>
    <t>VE042</t>
  </si>
  <si>
    <t>VV006</t>
  </si>
  <si>
    <t>VV058</t>
  </si>
  <si>
    <t>VV041</t>
  </si>
  <si>
    <t>VE007</t>
  </si>
  <si>
    <t>VV050</t>
  </si>
  <si>
    <t>VE018</t>
  </si>
  <si>
    <t>VE011</t>
  </si>
  <si>
    <t>Primark Caibaan</t>
  </si>
  <si>
    <t>VV087</t>
  </si>
  <si>
    <t>VV084</t>
  </si>
  <si>
    <t>VV025</t>
  </si>
  <si>
    <t>VV031</t>
  </si>
  <si>
    <t>VV020</t>
  </si>
  <si>
    <t>VV089</t>
  </si>
  <si>
    <t>VV011</t>
  </si>
  <si>
    <t>VE024</t>
  </si>
  <si>
    <t>VE037</t>
  </si>
  <si>
    <t>Alangalang Leyte-FS</t>
  </si>
  <si>
    <t>VE020</t>
  </si>
  <si>
    <t>VE038</t>
  </si>
  <si>
    <t>Abucay Tacloban City-FS</t>
  </si>
  <si>
    <t>VV009</t>
  </si>
  <si>
    <t>VV081</t>
  </si>
  <si>
    <t>Barili Cebu-FS</t>
  </si>
  <si>
    <t>VE031</t>
  </si>
  <si>
    <t>Borongan Samar - FS</t>
  </si>
  <si>
    <t>VE026</t>
  </si>
  <si>
    <t>VV007</t>
  </si>
  <si>
    <t>VE021</t>
  </si>
  <si>
    <t>VV047</t>
  </si>
  <si>
    <t>VV036</t>
  </si>
  <si>
    <t>VV079</t>
  </si>
  <si>
    <t>VE016</t>
  </si>
  <si>
    <t>VE001</t>
  </si>
  <si>
    <t>VV056</t>
  </si>
  <si>
    <t>VE010</t>
  </si>
  <si>
    <t>VE029</t>
  </si>
  <si>
    <t>VV072</t>
  </si>
  <si>
    <t>Consolacion Cebu - FS</t>
  </si>
  <si>
    <t>VE022</t>
  </si>
  <si>
    <t>VE040</t>
  </si>
  <si>
    <t>VV033</t>
  </si>
  <si>
    <t>VE017</t>
  </si>
  <si>
    <t>VV059</t>
  </si>
  <si>
    <t>VE041</t>
  </si>
  <si>
    <t>Gandara Samar - FS</t>
  </si>
  <si>
    <t>VE006</t>
  </si>
  <si>
    <t>VE032</t>
  </si>
  <si>
    <t>Isabel Leyte-FS</t>
  </si>
  <si>
    <t>VV027</t>
  </si>
  <si>
    <t>VE023</t>
  </si>
  <si>
    <t>VV057</t>
  </si>
  <si>
    <t>VV048</t>
  </si>
  <si>
    <t>VE014</t>
  </si>
  <si>
    <t>VV069</t>
  </si>
  <si>
    <t>Moal Boal Cebu - FS</t>
  </si>
  <si>
    <t>VE033</t>
  </si>
  <si>
    <t>Marasbaras Tacloban - FS</t>
  </si>
  <si>
    <t>VE005</t>
  </si>
  <si>
    <t>VE012</t>
  </si>
  <si>
    <t>VE027</t>
  </si>
  <si>
    <t>VE036</t>
  </si>
  <si>
    <t>Palo Market Leyte-FS</t>
  </si>
  <si>
    <t>VV088</t>
  </si>
  <si>
    <t>Pinamungajan Cebu - FS</t>
  </si>
  <si>
    <t>VV075</t>
  </si>
  <si>
    <t>Sibonga Cebu-FS</t>
  </si>
  <si>
    <t>VV066</t>
  </si>
  <si>
    <t>San Fernando Cebu - FS</t>
  </si>
  <si>
    <t>VV045</t>
  </si>
  <si>
    <t>VV051</t>
  </si>
  <si>
    <t>VE002</t>
  </si>
  <si>
    <t>VE015</t>
  </si>
  <si>
    <t>VE035</t>
  </si>
  <si>
    <t>Villaba Leyte-FS</t>
  </si>
  <si>
    <t>VE008</t>
  </si>
  <si>
    <t>MD033</t>
  </si>
  <si>
    <t>Phase 8</t>
  </si>
  <si>
    <t>MD005</t>
  </si>
  <si>
    <t>MD057</t>
  </si>
  <si>
    <t>Gaisano Grand Mall Carmen</t>
  </si>
  <si>
    <t>MD004</t>
  </si>
  <si>
    <t>MD001</t>
  </si>
  <si>
    <t>MS012</t>
  </si>
  <si>
    <t>Jocejane Gazo</t>
  </si>
  <si>
    <t>MS004</t>
  </si>
  <si>
    <t>MS041</t>
  </si>
  <si>
    <t>Jenil Arendain</t>
  </si>
  <si>
    <t>MD007</t>
  </si>
  <si>
    <t>MD050</t>
  </si>
  <si>
    <t>Ralph Laurenz San Miguel</t>
  </si>
  <si>
    <t>MD009</t>
  </si>
  <si>
    <t>MD049</t>
  </si>
  <si>
    <t>MS002</t>
  </si>
  <si>
    <t>MD055</t>
  </si>
  <si>
    <t>MD016</t>
  </si>
  <si>
    <t>MD003</t>
  </si>
  <si>
    <t>Neil Adtoon</t>
  </si>
  <si>
    <t>MD038</t>
  </si>
  <si>
    <t>Agdao Davao City</t>
  </si>
  <si>
    <t>MD058</t>
  </si>
  <si>
    <t>Niel Jay Lopez</t>
  </si>
  <si>
    <t>MT008</t>
  </si>
  <si>
    <t>MS024</t>
  </si>
  <si>
    <t>Dioly Anne Balolot</t>
  </si>
  <si>
    <t>MS033</t>
  </si>
  <si>
    <t>MS020</t>
  </si>
  <si>
    <t>Antipas North Cotabato-FS</t>
  </si>
  <si>
    <t>Jay Em Castor</t>
  </si>
  <si>
    <t>MD030</t>
  </si>
  <si>
    <t>MD035</t>
  </si>
  <si>
    <t>Bansalan Davao Del Sur - FS</t>
  </si>
  <si>
    <t>MD042</t>
  </si>
  <si>
    <t>Cabaguio Davao City - FS</t>
  </si>
  <si>
    <t>MD041</t>
  </si>
  <si>
    <t>Calinan Davao City FS</t>
  </si>
  <si>
    <t>MD039</t>
  </si>
  <si>
    <t>Compostela Davao de Oro- FS</t>
  </si>
  <si>
    <t>Rex Cubero</t>
  </si>
  <si>
    <t>MD040</t>
  </si>
  <si>
    <t>MT009</t>
  </si>
  <si>
    <t>MS038</t>
  </si>
  <si>
    <t>MS025</t>
  </si>
  <si>
    <t>Cotabato Mega Market - FS</t>
  </si>
  <si>
    <t>MD023</t>
  </si>
  <si>
    <t>MT003</t>
  </si>
  <si>
    <t>MS013</t>
  </si>
  <si>
    <t>MD053</t>
  </si>
  <si>
    <t>MS014</t>
  </si>
  <si>
    <t>MS007</t>
  </si>
  <si>
    <t>MS039</t>
  </si>
  <si>
    <t>MS017</t>
  </si>
  <si>
    <t>MS011</t>
  </si>
  <si>
    <t>Mary Jane Solis</t>
  </si>
  <si>
    <t>MD018</t>
  </si>
  <si>
    <t>Kapalong Davao Del Norte-FS</t>
  </si>
  <si>
    <t>MS016</t>
  </si>
  <si>
    <t>Abobacar Aminola</t>
  </si>
  <si>
    <t>MS029</t>
  </si>
  <si>
    <t>MS021</t>
  </si>
  <si>
    <t>MS026</t>
  </si>
  <si>
    <t>Libungan Cotabato FS</t>
  </si>
  <si>
    <t>MS030</t>
  </si>
  <si>
    <t>MD034</t>
  </si>
  <si>
    <t>MS027</t>
  </si>
  <si>
    <t>Maitum Sarangani FS</t>
  </si>
  <si>
    <t>MS023</t>
  </si>
  <si>
    <t>MD020</t>
  </si>
  <si>
    <t>Bengierell Semic</t>
  </si>
  <si>
    <t>MD015</t>
  </si>
  <si>
    <t>Vacant</t>
  </si>
  <si>
    <t>MD026</t>
  </si>
  <si>
    <t>MD021</t>
  </si>
  <si>
    <t>MS005</t>
  </si>
  <si>
    <t>MS003</t>
  </si>
  <si>
    <t>MS034</t>
  </si>
  <si>
    <t>Midsayap North Cotabato 2-FS</t>
  </si>
  <si>
    <t>MS036</t>
  </si>
  <si>
    <t>MD048</t>
  </si>
  <si>
    <t>MD022</t>
  </si>
  <si>
    <t>MD014</t>
  </si>
  <si>
    <t>MS035</t>
  </si>
  <si>
    <t>Norala South Cotabato-FS</t>
  </si>
  <si>
    <t>Ana Marie Chanlyn Javellana</t>
  </si>
  <si>
    <t>MS015</t>
  </si>
  <si>
    <t>MD010</t>
  </si>
  <si>
    <t>MD024</t>
  </si>
  <si>
    <t>MT002</t>
  </si>
  <si>
    <t>MD056</t>
  </si>
  <si>
    <t>MD045</t>
  </si>
  <si>
    <t>Panabo City Davao del Norte 2 - FS</t>
  </si>
  <si>
    <t>MS008</t>
  </si>
  <si>
    <t>MD054</t>
  </si>
  <si>
    <t>MT013</t>
  </si>
  <si>
    <t>MD013</t>
  </si>
  <si>
    <t>MD036</t>
  </si>
  <si>
    <t>MD019</t>
  </si>
  <si>
    <t>MS040</t>
  </si>
  <si>
    <t>MS010</t>
  </si>
  <si>
    <t>MD047</t>
  </si>
  <si>
    <t>San Pedro Davao-FS</t>
  </si>
  <si>
    <t>MS006</t>
  </si>
  <si>
    <t>MD017</t>
  </si>
  <si>
    <t>MS022</t>
  </si>
  <si>
    <t>Tboli South Cotabo FS</t>
  </si>
  <si>
    <t>MD051</t>
  </si>
  <si>
    <t>Tagum City Davao Del Norte 2-FS</t>
  </si>
  <si>
    <t>MS009</t>
  </si>
  <si>
    <t>MD027</t>
  </si>
  <si>
    <t>MS032</t>
  </si>
  <si>
    <t>MT010</t>
  </si>
  <si>
    <t>MO015</t>
  </si>
  <si>
    <t>May Rose Amad</t>
  </si>
  <si>
    <t>MZ018</t>
  </si>
  <si>
    <t>MZ039</t>
  </si>
  <si>
    <t>Jobeth Bedayo</t>
  </si>
  <si>
    <t>MZ023</t>
  </si>
  <si>
    <t>Jumelthon Pausal</t>
  </si>
  <si>
    <t>MZ026</t>
  </si>
  <si>
    <t>Aljun Cantonjos</t>
  </si>
  <si>
    <t>MZ003</t>
  </si>
  <si>
    <t>Leizel Romero</t>
  </si>
  <si>
    <t>MZ001</t>
  </si>
  <si>
    <t>Dave Christian Solatorio</t>
  </si>
  <si>
    <t>MO001</t>
  </si>
  <si>
    <t>Jan Gale Puzon</t>
  </si>
  <si>
    <t>MA018</t>
  </si>
  <si>
    <t>Central Warehouse San Francisco</t>
  </si>
  <si>
    <t>Rona May Avellana</t>
  </si>
  <si>
    <t>MO008</t>
  </si>
  <si>
    <t>Gaisano Capital Balingasag</t>
  </si>
  <si>
    <t>Tessie Jean Malveda</t>
  </si>
  <si>
    <t>MO009</t>
  </si>
  <si>
    <t>Marites Evangelio</t>
  </si>
  <si>
    <t>MO027</t>
  </si>
  <si>
    <t>MO068</t>
  </si>
  <si>
    <t>Mark John Ornopia</t>
  </si>
  <si>
    <t>MZ004</t>
  </si>
  <si>
    <t>MZ035</t>
  </si>
  <si>
    <t>MZ006</t>
  </si>
  <si>
    <t>One Cecilia Bldg</t>
  </si>
  <si>
    <t>MO010</t>
  </si>
  <si>
    <t>Mayrose Amad</t>
  </si>
  <si>
    <t>Phase 9</t>
  </si>
  <si>
    <t>MO061</t>
  </si>
  <si>
    <t>MA010</t>
  </si>
  <si>
    <t>Armie Biol</t>
  </si>
  <si>
    <t>MO053</t>
  </si>
  <si>
    <t>MO050</t>
  </si>
  <si>
    <t>Sophie Red Misamis Jasaan</t>
  </si>
  <si>
    <t>MZ009</t>
  </si>
  <si>
    <t>MA005</t>
  </si>
  <si>
    <t>Roger Cañete Jr</t>
  </si>
  <si>
    <t>MO042</t>
  </si>
  <si>
    <t>Agora CDO - FS</t>
  </si>
  <si>
    <t>Jessie Reynes</t>
  </si>
  <si>
    <t>MO046</t>
  </si>
  <si>
    <t>Alae Manolo Fortich - FS</t>
  </si>
  <si>
    <t>Rosendo Aquino V</t>
  </si>
  <si>
    <t>MA013</t>
  </si>
  <si>
    <t>MZ029</t>
  </si>
  <si>
    <t>MZ027</t>
  </si>
  <si>
    <t>Lover Boy Dag-uman</t>
  </si>
  <si>
    <t>MA008</t>
  </si>
  <si>
    <t>Glenn Pesquera</t>
  </si>
  <si>
    <t>MO058</t>
  </si>
  <si>
    <t>Gerald Gua-an</t>
  </si>
  <si>
    <t>MA012</t>
  </si>
  <si>
    <t>MO016</t>
  </si>
  <si>
    <t>MA020</t>
  </si>
  <si>
    <t>MO049</t>
  </si>
  <si>
    <t>MA003</t>
  </si>
  <si>
    <t>Sandra Lopez</t>
  </si>
  <si>
    <t>MA006</t>
  </si>
  <si>
    <t>MZ013</t>
  </si>
  <si>
    <t>Joan France Piedad</t>
  </si>
  <si>
    <t>MA001</t>
  </si>
  <si>
    <t>MO067</t>
  </si>
  <si>
    <t>Canitoan Cagayan De Oro-FS</t>
  </si>
  <si>
    <t>MO033</t>
  </si>
  <si>
    <t>MO014</t>
  </si>
  <si>
    <t>Jemar Eroy</t>
  </si>
  <si>
    <t>MO048</t>
  </si>
  <si>
    <t>MO002</t>
  </si>
  <si>
    <t>MO026</t>
  </si>
  <si>
    <t>Cyrus Lopez</t>
  </si>
  <si>
    <t>MO054</t>
  </si>
  <si>
    <t>Casisang Malaybalay FS</t>
  </si>
  <si>
    <t>MA011</t>
  </si>
  <si>
    <t>Kim Joseph Cogenera</t>
  </si>
  <si>
    <t>MZ030</t>
  </si>
  <si>
    <t>Annalyn Bucoy</t>
  </si>
  <si>
    <t>MO062</t>
  </si>
  <si>
    <t>Dangcagan Bukidnon-FS</t>
  </si>
  <si>
    <t>Artemio Pam-ot Jr</t>
  </si>
  <si>
    <t>MO064</t>
  </si>
  <si>
    <t>MO038</t>
  </si>
  <si>
    <t>MZ016</t>
  </si>
  <si>
    <t>MZ002</t>
  </si>
  <si>
    <t>MZ015</t>
  </si>
  <si>
    <t>MZ034</t>
  </si>
  <si>
    <t>FS Fajares Ave. Pagadian-FS</t>
  </si>
  <si>
    <t>MO021</t>
  </si>
  <si>
    <t>Regen Derecho</t>
  </si>
  <si>
    <t>MZ010</t>
  </si>
  <si>
    <t>MO024</t>
  </si>
  <si>
    <t>MZ024</t>
  </si>
  <si>
    <t>MZ033</t>
  </si>
  <si>
    <t>MZ028</t>
  </si>
  <si>
    <t>Guiwan Zamboanga City-FS</t>
  </si>
  <si>
    <t>Joie Falcasantos</t>
  </si>
  <si>
    <t>MA022</t>
  </si>
  <si>
    <t>MO017</t>
  </si>
  <si>
    <t>Norhaiza Mendoza</t>
  </si>
  <si>
    <t>MO057</t>
  </si>
  <si>
    <t>MZ008</t>
  </si>
  <si>
    <t>MZ012</t>
  </si>
  <si>
    <t>MA015</t>
  </si>
  <si>
    <t>MO040</t>
  </si>
  <si>
    <t>Kibawe Bukidnon-Fs</t>
  </si>
  <si>
    <t>MO047</t>
  </si>
  <si>
    <t>Kapatagan Lanao Del Norte - FS</t>
  </si>
  <si>
    <t>MZ038</t>
  </si>
  <si>
    <t>MO039</t>
  </si>
  <si>
    <t>MZ014</t>
  </si>
  <si>
    <t>MA019</t>
  </si>
  <si>
    <t>MO003</t>
  </si>
  <si>
    <t>MZ020</t>
  </si>
  <si>
    <t>MO025</t>
  </si>
  <si>
    <t>MO019</t>
  </si>
  <si>
    <t>MT006</t>
  </si>
  <si>
    <t>Alinor Palawan</t>
  </si>
  <si>
    <t>MA017</t>
  </si>
  <si>
    <t>MZ011</t>
  </si>
  <si>
    <t>MO041</t>
  </si>
  <si>
    <t>Maigo Market - FS</t>
  </si>
  <si>
    <t>Argie Capagalan</t>
  </si>
  <si>
    <t>MZ025</t>
  </si>
  <si>
    <t>MO018</t>
  </si>
  <si>
    <t>MO028</t>
  </si>
  <si>
    <t>MZ005</t>
  </si>
  <si>
    <t>MO052</t>
  </si>
  <si>
    <t>Medina Public Market-FS</t>
  </si>
  <si>
    <t>MT011</t>
  </si>
  <si>
    <t>MT004</t>
  </si>
  <si>
    <t>MA023</t>
  </si>
  <si>
    <t>MZ031</t>
  </si>
  <si>
    <t>MO031</t>
  </si>
  <si>
    <t>Lindon Arnoza</t>
  </si>
  <si>
    <t>MO004</t>
  </si>
  <si>
    <t>MO006</t>
  </si>
  <si>
    <t>MO037</t>
  </si>
  <si>
    <t>MO066</t>
  </si>
  <si>
    <t>MO029</t>
  </si>
  <si>
    <t>MO023</t>
  </si>
  <si>
    <t>MZ022</t>
  </si>
  <si>
    <t>MO022</t>
  </si>
  <si>
    <t>MZ021</t>
  </si>
  <si>
    <t>MZ040</t>
  </si>
  <si>
    <t>MZ007</t>
  </si>
  <si>
    <t>Sindangan Zamboanga del Norte-FS</t>
  </si>
  <si>
    <t>MA009</t>
  </si>
  <si>
    <t>MA004</t>
  </si>
  <si>
    <t>MZ032</t>
  </si>
  <si>
    <t>MA014</t>
  </si>
  <si>
    <t>MA016</t>
  </si>
  <si>
    <t>Surigao Highway-FS</t>
  </si>
  <si>
    <t>MO051</t>
  </si>
  <si>
    <t>MO044</t>
  </si>
  <si>
    <t>Tubod Iligan FS</t>
  </si>
  <si>
    <t>MO034</t>
  </si>
  <si>
    <t>MA007</t>
  </si>
  <si>
    <t>MO045</t>
  </si>
  <si>
    <t>Christine Joy Nier</t>
  </si>
  <si>
    <t>MO007</t>
  </si>
  <si>
    <t>MO036</t>
  </si>
  <si>
    <t>MO035</t>
  </si>
  <si>
    <t>MO011</t>
  </si>
  <si>
    <t>MZ041</t>
  </si>
  <si>
    <t>MO020</t>
  </si>
  <si>
    <t>MO013</t>
  </si>
  <si>
    <t>MA002</t>
  </si>
  <si>
    <t>MZ019</t>
  </si>
  <si>
    <t>MO043</t>
  </si>
  <si>
    <t>Valencia 2 - FS</t>
  </si>
  <si>
    <t>MO030</t>
  </si>
  <si>
    <t>MO005</t>
  </si>
  <si>
    <t>MO032</t>
  </si>
  <si>
    <t>Warehouse</t>
  </si>
  <si>
    <t>WTAI</t>
  </si>
  <si>
    <t>Warehouse Tonivic 1 In</t>
  </si>
  <si>
    <t>WTAO</t>
  </si>
  <si>
    <t>Warehouse Tonivic 1 Out</t>
  </si>
  <si>
    <t>WTBI</t>
  </si>
  <si>
    <t>Warehouse Tonivic 2 In</t>
  </si>
  <si>
    <t>WTBO</t>
  </si>
  <si>
    <t>Warehouse Tonivic 2 Out</t>
  </si>
  <si>
    <t>WDAI</t>
  </si>
  <si>
    <t>Warehouse Dasma In</t>
  </si>
  <si>
    <t>ZKM6251500171</t>
  </si>
  <si>
    <t>WDAO</t>
  </si>
  <si>
    <t>Warehouse Dasma Out</t>
  </si>
  <si>
    <t>AKDG012350236</t>
  </si>
  <si>
    <t>COUNTA of Rollout Phase</t>
  </si>
  <si>
    <t>Roll Out Phase</t>
  </si>
  <si>
    <t>No. of Stores</t>
  </si>
  <si>
    <t>Date</t>
  </si>
  <si>
    <t>Phase 1 Total</t>
  </si>
  <si>
    <t>Phase 10 Total</t>
  </si>
  <si>
    <t>Phase 2 Total</t>
  </si>
  <si>
    <t>Phase 3 Total</t>
  </si>
  <si>
    <t>Tagged as no internet yet</t>
  </si>
  <si>
    <t>Phase 4 Total</t>
  </si>
  <si>
    <t>Phase 5 Total</t>
  </si>
  <si>
    <t>Phase 6 Total</t>
  </si>
  <si>
    <t>Phase 7 Total</t>
  </si>
  <si>
    <t>Phase 8 Total</t>
  </si>
  <si>
    <t>Phase 9 Total</t>
  </si>
  <si>
    <t>Grand 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</si>
</sst>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numFmts>
  <fonts count="14">
    <font>
      <sz val="11.0"/>
      <color theme="1"/>
      <name val="Aptos Narrow"/>
      <scheme val="minor"/>
    </font>
    <font>
      <b/>
      <sz val="11.0"/>
      <color theme="1"/>
      <name val="Aptos Narrow"/>
    </font>
    <font>
      <i/>
      <sz val="11.0"/>
      <color theme="1"/>
      <name val="Aptos Narrow"/>
    </font>
    <font>
      <b/>
      <sz val="16.0"/>
      <color theme="0"/>
      <name val="Aptos Narrow"/>
    </font>
    <font/>
    <font>
      <b/>
      <sz val="11.0"/>
      <color theme="0"/>
      <name val="Aptos Narrow"/>
    </font>
    <font>
      <sz val="11.0"/>
      <color theme="1"/>
      <name val="Aptos Narrow"/>
    </font>
    <font>
      <sz val="11.0"/>
      <color theme="1"/>
      <name val="Arial"/>
    </font>
    <font>
      <b/>
      <sz val="11.0"/>
      <color rgb="FF000000"/>
      <name val="&quot;Aptos Narrow&quot;"/>
    </font>
    <font>
      <b/>
      <sz val="11.0"/>
      <color rgb="FF000000"/>
      <name val="Arial"/>
    </font>
    <font>
      <b/>
      <color theme="1"/>
      <name val="Arial"/>
    </font>
    <font>
      <sz val="11.0"/>
      <color rgb="FF000000"/>
      <name val="&quot;Aptos Narrow&quot;"/>
    </font>
    <font>
      <color theme="1"/>
      <name val="Aptos Narrow"/>
      <scheme val="minor"/>
    </font>
    <font>
      <color theme="1"/>
      <name val="Arial"/>
    </font>
  </fonts>
  <fills count="8">
    <fill>
      <patternFill patternType="none"/>
    </fill>
    <fill>
      <patternFill patternType="lightGray"/>
    </fill>
    <fill>
      <patternFill patternType="solid">
        <fgColor rgb="FF002060"/>
        <bgColor rgb="FF002060"/>
      </patternFill>
    </fill>
    <fill>
      <patternFill patternType="solid">
        <fgColor rgb="FFFFFFFF"/>
        <bgColor rgb="FFFFFFFF"/>
      </patternFill>
    </fill>
    <fill>
      <patternFill patternType="solid">
        <fgColor rgb="FFFF9900"/>
        <bgColor rgb="FFFF9900"/>
      </patternFill>
    </fill>
    <fill>
      <patternFill patternType="solid">
        <fgColor rgb="FF9FC5E8"/>
        <bgColor rgb="FF9FC5E8"/>
      </patternFill>
    </fill>
    <fill>
      <patternFill patternType="solid">
        <fgColor rgb="FFB6D7A8"/>
        <bgColor rgb="FFB6D7A8"/>
      </patternFill>
    </fill>
    <fill>
      <patternFill patternType="solid">
        <fgColor rgb="FFEA9999"/>
        <bgColor rgb="FFEA9999"/>
      </patternFill>
    </fill>
  </fills>
  <borders count="8">
    <border/>
    <border>
      <left/>
      <top/>
      <bottom style="thin">
        <color rgb="FF000000"/>
      </bottom>
    </border>
    <border>
      <top/>
      <bottom style="thin">
        <color rgb="FF000000"/>
      </bottom>
    </border>
    <border>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left" shrinkToFit="0" wrapText="1"/>
    </xf>
    <xf borderId="2" fillId="0" fontId="4" numFmtId="0" xfId="0" applyBorder="1" applyFont="1"/>
    <xf borderId="3" fillId="0" fontId="4" numFmtId="0" xfId="0" applyBorder="1" applyFont="1"/>
    <xf borderId="4" fillId="2" fontId="5" numFmtId="0" xfId="0" applyBorder="1" applyFont="1"/>
    <xf borderId="4" fillId="0" fontId="6" numFmtId="0" xfId="0" applyBorder="1" applyFont="1"/>
    <xf borderId="4" fillId="0" fontId="6" numFmtId="0" xfId="0" applyAlignment="1" applyBorder="1" applyFont="1">
      <alignment shrinkToFit="0" wrapText="1"/>
    </xf>
    <xf borderId="4" fillId="0" fontId="7" numFmtId="0" xfId="0" applyAlignment="1" applyBorder="1" applyFont="1">
      <alignment readingOrder="0"/>
    </xf>
    <xf borderId="0" fillId="0" fontId="2" numFmtId="0" xfId="0" applyAlignment="1" applyFont="1">
      <alignment horizontal="left" shrinkToFit="0" vertical="center" wrapText="1"/>
    </xf>
    <xf borderId="4" fillId="0" fontId="8" numFmtId="0" xfId="0" applyAlignment="1" applyBorder="1" applyFont="1">
      <alignment readingOrder="0" shrinkToFit="0" vertical="bottom" wrapText="0"/>
    </xf>
    <xf borderId="4" fillId="0" fontId="9" numFmtId="0" xfId="0" applyAlignment="1" applyBorder="1" applyFont="1">
      <alignment readingOrder="0" shrinkToFit="0" vertical="bottom" wrapText="0"/>
    </xf>
    <xf borderId="4" fillId="0" fontId="10" numFmtId="0" xfId="0" applyAlignment="1" applyBorder="1" applyFont="1">
      <alignment horizontal="left" readingOrder="0"/>
    </xf>
    <xf borderId="4" fillId="0" fontId="10" numFmtId="0" xfId="0" applyAlignment="1" applyBorder="1" applyFont="1">
      <alignment readingOrder="0"/>
    </xf>
    <xf borderId="4" fillId="0" fontId="11" numFmtId="0" xfId="0" applyAlignment="1" applyBorder="1" applyFont="1">
      <alignment readingOrder="0" shrinkToFit="0" vertical="bottom" wrapText="0"/>
    </xf>
    <xf borderId="4" fillId="0" fontId="12" numFmtId="0" xfId="0" applyAlignment="1" applyBorder="1" applyFont="1">
      <alignment horizontal="left"/>
    </xf>
    <xf borderId="4" fillId="0" fontId="12" numFmtId="0" xfId="0" applyBorder="1" applyFont="1"/>
    <xf borderId="4" fillId="0" fontId="11" numFmtId="0" xfId="0" applyAlignment="1" applyBorder="1" applyFont="1">
      <alignment shrinkToFit="0" vertical="bottom" wrapText="0"/>
    </xf>
    <xf borderId="4" fillId="0" fontId="6" numFmtId="0" xfId="0" applyAlignment="1" applyBorder="1" applyFont="1">
      <alignment horizontal="center" vertical="bottom"/>
    </xf>
    <xf borderId="4" fillId="0" fontId="13" numFmtId="0" xfId="0" applyAlignment="1" applyBorder="1" applyFont="1">
      <alignment horizontal="center" vertical="bottom"/>
    </xf>
    <xf borderId="4" fillId="3" fontId="6" numFmtId="0" xfId="0" applyAlignment="1" applyBorder="1" applyFill="1" applyFont="1">
      <alignment horizontal="center" vertical="bottom"/>
    </xf>
    <xf borderId="4" fillId="3" fontId="13" numFmtId="0" xfId="0" applyAlignment="1" applyBorder="1" applyFont="1">
      <alignment horizontal="center" vertical="bottom"/>
    </xf>
    <xf borderId="4" fillId="3" fontId="7" numFmtId="0" xfId="0" applyAlignment="1" applyBorder="1" applyFont="1">
      <alignment horizontal="center" vertical="bottom"/>
    </xf>
    <xf borderId="4" fillId="0" fontId="7" numFmtId="0" xfId="0" applyAlignment="1" applyBorder="1" applyFont="1">
      <alignment horizontal="center" vertical="bottom"/>
    </xf>
    <xf borderId="4" fillId="3" fontId="13" numFmtId="0" xfId="0" applyAlignment="1" applyBorder="1" applyFont="1">
      <alignment vertical="bottom"/>
    </xf>
    <xf borderId="4" fillId="0" fontId="13" numFmtId="0" xfId="0" applyAlignment="1" applyBorder="1" applyFont="1">
      <alignment vertical="bottom"/>
    </xf>
    <xf borderId="4" fillId="0" fontId="0" numFmtId="0" xfId="0" applyAlignment="1" applyBorder="1" applyFont="1">
      <alignment horizontal="center" readingOrder="0"/>
    </xf>
    <xf borderId="0" fillId="0" fontId="0" numFmtId="0" xfId="0" applyAlignment="1" applyFont="1">
      <alignment horizontal="center" readingOrder="0"/>
    </xf>
    <xf borderId="4" fillId="0" fontId="6" numFmtId="0" xfId="0" applyAlignment="1" applyBorder="1" applyFont="1">
      <alignment horizontal="center" readingOrder="0" vertical="bottom"/>
    </xf>
    <xf borderId="4" fillId="0" fontId="7" numFmtId="0" xfId="0" applyAlignment="1" applyBorder="1" applyFont="1">
      <alignment horizontal="center" readingOrder="0" vertical="bottom"/>
    </xf>
    <xf borderId="0" fillId="0" fontId="11" numFmtId="0" xfId="0" applyAlignment="1" applyFont="1">
      <alignment readingOrder="0" shrinkToFit="0" vertical="bottom" wrapText="0"/>
    </xf>
    <xf borderId="0" fillId="0" fontId="12" numFmtId="0" xfId="0" applyAlignment="1" applyFont="1">
      <alignment horizontal="left"/>
    </xf>
    <xf borderId="0" fillId="4" fontId="10" numFmtId="0" xfId="0" applyAlignment="1" applyFill="1" applyFont="1">
      <alignment horizontal="center" vertical="bottom"/>
    </xf>
    <xf borderId="4" fillId="5" fontId="8" numFmtId="0" xfId="0" applyAlignment="1" applyBorder="1" applyFill="1" applyFont="1">
      <alignment horizontal="center" readingOrder="0" shrinkToFit="0" vertical="bottom" wrapText="0"/>
    </xf>
    <xf borderId="4" fillId="5" fontId="9" numFmtId="0" xfId="0" applyAlignment="1" applyBorder="1" applyFont="1">
      <alignment horizontal="center" readingOrder="0" shrinkToFit="0" vertical="bottom" wrapText="0"/>
    </xf>
    <xf borderId="4" fillId="5" fontId="10" numFmtId="0" xfId="0" applyAlignment="1" applyBorder="1" applyFont="1">
      <alignment horizontal="center" readingOrder="0"/>
    </xf>
    <xf borderId="4" fillId="6" fontId="10" numFmtId="0" xfId="0" applyAlignment="1" applyBorder="1" applyFill="1" applyFont="1">
      <alignment horizontal="center" readingOrder="0"/>
    </xf>
    <xf borderId="0" fillId="0" fontId="13" numFmtId="0" xfId="0" applyAlignment="1" applyFont="1">
      <alignment horizontal="center" vertical="bottom"/>
    </xf>
    <xf borderId="0" fillId="0" fontId="13" numFmtId="0" xfId="0" applyAlignment="1" applyFont="1">
      <alignment horizontal="left" vertical="bottom"/>
    </xf>
    <xf borderId="0" fillId="0" fontId="13" numFmtId="0" xfId="0" applyAlignment="1" applyFont="1">
      <alignment vertical="bottom"/>
    </xf>
    <xf borderId="0" fillId="0" fontId="12" numFmtId="0" xfId="0" applyAlignment="1" applyFont="1">
      <alignment horizontal="center"/>
    </xf>
    <xf borderId="0" fillId="0" fontId="13" numFmtId="0" xfId="0" applyAlignment="1" applyFont="1">
      <alignment horizontal="center" readingOrder="0"/>
    </xf>
    <xf borderId="0" fillId="3" fontId="13" numFmtId="0" xfId="0" applyAlignment="1" applyFont="1">
      <alignment horizontal="center" vertical="bottom"/>
    </xf>
    <xf borderId="0" fillId="7" fontId="13" numFmtId="0" xfId="0" applyAlignment="1" applyFill="1" applyFont="1">
      <alignment horizontal="center" vertical="bottom"/>
    </xf>
    <xf borderId="0" fillId="0" fontId="13" numFmtId="0" xfId="0" applyAlignment="1" applyFont="1">
      <alignment horizontal="right" vertical="bottom"/>
    </xf>
    <xf borderId="0" fillId="3" fontId="13" numFmtId="0" xfId="0" applyAlignment="1" applyFont="1">
      <alignment horizontal="left" vertical="bottom"/>
    </xf>
    <xf borderId="0" fillId="0" fontId="13" numFmtId="0" xfId="0" applyAlignment="1" applyFont="1">
      <alignment readingOrder="0"/>
    </xf>
    <xf borderId="0" fillId="0" fontId="13" numFmtId="0" xfId="0" applyAlignment="1" applyFont="1">
      <alignment horizontal="left" readingOrder="0"/>
    </xf>
    <xf borderId="4" fillId="0" fontId="12" numFmtId="0" xfId="0" applyAlignment="1" applyBorder="1" applyFont="1">
      <alignment horizontal="center"/>
    </xf>
    <xf borderId="4" fillId="0" fontId="13" numFmtId="164" xfId="0" applyAlignment="1" applyBorder="1" applyFont="1" applyNumberFormat="1">
      <alignment horizontal="center" readingOrder="0"/>
    </xf>
    <xf borderId="5" fillId="0" fontId="12" numFmtId="0" xfId="0" applyAlignment="1" applyBorder="1" applyFont="1">
      <alignment horizontal="center" vertical="center"/>
    </xf>
    <xf borderId="5" fillId="0" fontId="12" numFmtId="0" xfId="0" applyAlignment="1" applyBorder="1" applyFont="1">
      <alignment horizontal="center"/>
    </xf>
    <xf borderId="6" fillId="0" fontId="4" numFmtId="0" xfId="0" applyBorder="1" applyFont="1"/>
    <xf borderId="7" fillId="0" fontId="4" numFmtId="0" xfId="0" applyBorder="1" applyFont="1"/>
    <xf borderId="5" fillId="0" fontId="13"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858250" cy="4381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975" sheet="Roll Out Phase Per Store"/>
  </cacheSource>
  <cacheFields>
    <cacheField name="Division" numFmtId="0">
      <sharedItems>
        <s v="RTM Operations"/>
      </sharedItems>
    </cacheField>
    <cacheField name="Code" numFmtId="0">
      <sharedItems>
        <s v="NN044"/>
        <s v="NN037"/>
        <s v="NN004"/>
        <s v="NN010"/>
        <s v="NN085"/>
        <s v="NN006"/>
        <s v="CG059"/>
        <s v="NN058"/>
        <s v="NN009"/>
        <s v="CG032"/>
        <s v="NN012"/>
        <s v="NN026"/>
        <s v="CG092"/>
        <s v="CG024"/>
        <s v="NN019"/>
        <s v="NN045"/>
        <s v="NN011"/>
        <s v="NN063"/>
        <s v="NN005"/>
        <s v="NN030"/>
        <s v="NN049"/>
        <s v="NN001"/>
        <s v="NN007"/>
        <s v="NN047"/>
        <s v="NN061"/>
        <s v="NN067"/>
        <s v="NN016"/>
        <s v="NN036"/>
        <s v="NN053"/>
        <s v="NN088"/>
        <s v="NN041"/>
        <s v="NN073"/>
        <s v="NN046"/>
        <s v="NN089"/>
        <s v="NN039"/>
        <s v="NN065"/>
        <s v="NN070"/>
        <s v="NN042"/>
        <s v="NN076"/>
        <s v="NN048"/>
        <s v="NN028"/>
        <s v="CG114"/>
        <s v="NN060"/>
        <s v="CG108"/>
        <s v="CG093"/>
        <s v="NN029"/>
        <s v="CG021"/>
        <s v="CG027"/>
        <s v="NN013"/>
        <s v="NN032"/>
        <s v="CG091"/>
        <s v="NN066"/>
        <s v="NN018"/>
        <s v="NN072"/>
        <s v="NN069"/>
        <s v="CG089"/>
        <s v="CG001"/>
        <s v="CG035"/>
        <s v="CG037"/>
        <s v="NN040"/>
        <s v="NN017"/>
        <s v="CG128"/>
        <s v="NN051"/>
        <s v="NN014"/>
        <s v="NN031"/>
        <s v="NN003"/>
        <s v="CG014"/>
        <s v="SS004"/>
        <s v="NN083"/>
        <s v="CG030"/>
        <s v="NN008"/>
        <s v="NN052"/>
        <s v="NN023"/>
        <s v="CG042"/>
        <s v="CG050"/>
        <s v="CG057"/>
        <s v="NN068"/>
        <s v="CG085"/>
        <s v="NN035"/>
        <s v="NN057"/>
        <s v="CG100"/>
        <s v="NN074"/>
        <s v="NN084"/>
        <s v="CG105"/>
        <s v="SS008"/>
        <s v="NN021"/>
        <s v="NN078"/>
        <s v="NN081"/>
        <s v="NN064"/>
        <s v="NN087"/>
        <s v="NN062"/>
        <s v="NN079"/>
        <s v="CG054"/>
        <s v="NN025"/>
        <s v="CG020"/>
        <s v="NN077"/>
        <s v="NN082"/>
        <s v="NN033"/>
        <s v="CG098"/>
        <s v="NN071"/>
        <s v="MS037"/>
        <s v="MD060"/>
        <s v="MT007"/>
        <s v="MS031"/>
        <s v="MD044"/>
        <s v="MS019"/>
        <s v="MS042"/>
        <s v="MD043"/>
        <s v="MD059"/>
        <s v="MD046"/>
        <s v="MA024"/>
        <s v="MA021"/>
        <s v="MZ037"/>
        <s v="MO063"/>
        <s v="MO065"/>
        <s v="MO059"/>
        <s v="MT012"/>
        <s v="MZ036"/>
        <s v="MO056"/>
        <s v="MT001"/>
        <s v="MO060"/>
        <s v="NN059"/>
        <s v="CG003"/>
        <s v="CG129"/>
        <s v="CG140"/>
        <s v="CG125"/>
        <s v="TNN01"/>
        <s v="TNN03"/>
        <s v="TCG01"/>
        <s v="CG099"/>
        <s v="NN080"/>
        <s v="CG096"/>
        <s v="SS030"/>
        <s v="SS036"/>
        <s v="SS033"/>
        <s v="SS037"/>
        <s v="TNN02"/>
        <s v="CG119"/>
        <s v="SS034"/>
        <s v="SS010"/>
        <s v="CR022"/>
        <s v="II038"/>
        <s v="IL083"/>
        <s v="IL056"/>
        <s v="TIL01"/>
        <s v="IL079"/>
        <s v="IC022"/>
        <s v="CB027"/>
        <s v="CG012"/>
        <s v="CB033"/>
        <s v="VV094"/>
        <s v="VV085"/>
        <s v="VW089"/>
        <s v="VW073"/>
        <s v="VV068"/>
        <s v="VW077"/>
        <s v="VW097"/>
        <s v="VV086"/>
        <s v="VW022"/>
        <s v="VV097"/>
        <s v="VE034"/>
        <s v="VE013"/>
        <s v="VE009"/>
        <s v="VV070"/>
        <s v="VE028"/>
        <s v="VE030"/>
        <s v="CG026"/>
        <s v="NN043"/>
        <s v="NN056"/>
        <s v="NN050"/>
        <s v="NN015"/>
        <s v="CG063"/>
        <s v="CG058"/>
        <s v="NN086"/>
        <s v="NN027"/>
        <s v="NN054"/>
        <s v="SS029"/>
        <s v="CG040"/>
        <s v="NN034"/>
        <s v="SS003"/>
        <s v="CG025"/>
        <s v="CG136"/>
        <s v="CR002"/>
        <s v="SS012"/>
        <s v="SS009"/>
        <s v="SS027"/>
        <s v="CG120"/>
        <s v="CG009"/>
        <s v="CG122"/>
        <s v="SS026"/>
        <s v="SS038"/>
        <s v="CG074"/>
        <s v="SS025"/>
        <s v="CG111"/>
        <s v="CG127"/>
        <s v="CG126"/>
        <s v="CG052"/>
        <s v="CG075"/>
        <s v="CG004"/>
        <s v="SS028"/>
        <s v="CG076"/>
        <s v="SS023"/>
        <s v="SS019"/>
        <s v="CG061"/>
        <s v="SS007"/>
        <s v="NN038"/>
        <s v="SS039"/>
        <s v="SS011"/>
        <s v="CG107"/>
        <s v="CG133"/>
        <s v="SS002"/>
        <s v="CG002"/>
        <s v="CG044"/>
        <s v="SS032"/>
        <s v="SS024"/>
        <s v="CG104"/>
        <s v="CG101"/>
        <s v="CG028"/>
        <s v="SS005"/>
        <s v="CG080"/>
        <s v="CG017"/>
        <s v="CG062"/>
        <s v="CG131"/>
        <s v="SS017"/>
        <s v="CR009"/>
        <s v="SS016"/>
        <s v="CG019"/>
        <s v="SS022"/>
        <s v="CG116"/>
        <s v="CG082"/>
        <s v="CG068"/>
        <s v="SS015"/>
        <s v="CG086"/>
        <s v="SS035"/>
        <s v="CG117"/>
        <s v="CG109"/>
        <s v="SS018"/>
        <s v="CR003"/>
        <s v="CG047"/>
        <s v="CR010"/>
        <s v="CG135"/>
        <s v="SS031"/>
        <s v="SS021"/>
        <s v="NN020"/>
        <s v="CG045"/>
        <s v="CR016"/>
        <s v="CG055"/>
        <s v="CG106"/>
        <s v="CR015"/>
        <s v="SS020"/>
        <s v="CG095"/>
        <s v="CG034"/>
        <s v="CR011"/>
        <s v="SS013"/>
        <s v="CG113"/>
        <s v="IC033"/>
        <s v="IL028"/>
        <s v="II009"/>
        <s v="IL004"/>
        <s v="II002"/>
        <s v="IL098"/>
        <s v="ID001"/>
        <s v="IL085"/>
        <s v="IL009"/>
        <s v="IL088"/>
        <s v="IL065"/>
        <s v="IL102"/>
        <s v="IL107"/>
        <s v="IL014"/>
        <s v="IL097"/>
        <s v="IL080"/>
        <s v="IL017"/>
        <s v="IL062"/>
        <s v="IL070"/>
        <s v="IL049"/>
        <s v="IL007"/>
        <s v="IC034"/>
        <s v="II015"/>
        <s v="IL051"/>
        <s v="IL063"/>
        <s v="IL047"/>
        <s v="II004"/>
        <s v="IL106"/>
        <s v="IL012"/>
        <s v="IL030"/>
        <s v="II006"/>
        <s v="IC001"/>
        <s v="IC003"/>
        <s v="IL032"/>
        <s v="II031"/>
        <s v="IC002"/>
        <s v="IL103"/>
        <s v="IL064"/>
        <s v="IL058"/>
        <s v="IL074"/>
        <s v="IL055"/>
        <s v="IL061"/>
        <s v="IL076"/>
        <s v="IL090"/>
        <s v="II033"/>
        <s v="IC004"/>
        <s v="IL027"/>
        <s v="IC005"/>
        <s v="II007"/>
        <s v="IL018"/>
        <s v="IL024"/>
        <s v="IC009"/>
        <s v="IL069"/>
        <s v="IL078"/>
        <s v="IL026"/>
        <s v="IL092"/>
        <s v="IL094"/>
        <s v="IL008"/>
        <s v="SS006"/>
        <s v="IL082"/>
        <s v="IL035"/>
        <s v="IL036"/>
        <s v="IL015"/>
        <s v="/"/>
        <s v="IL016"/>
        <s v="IL096"/>
        <s v="IL053"/>
        <s v="IL034"/>
        <s v="IL006"/>
        <s v="IL003"/>
        <s v="II001"/>
        <s v="IL021"/>
        <s v="IL002"/>
        <s v="IL001"/>
        <s v="IC007"/>
        <s v="IL101"/>
        <s v="IL010"/>
        <s v="IC006"/>
        <s v="IC021"/>
        <s v="IC024"/>
        <s v="IL077"/>
        <s v="IL048"/>
        <s v="IL104"/>
        <s v="IC014"/>
        <s v="II029"/>
        <s v="IL068"/>
        <s v="IC018"/>
        <s v="IL046"/>
        <s v="IC030"/>
        <s v="II016"/>
        <s v="II034"/>
        <s v="IL044"/>
        <s v="II027"/>
        <s v="ID002"/>
        <s v="IC016"/>
        <s v="II012"/>
        <s v="IL013"/>
        <s v="II036"/>
        <s v="IL089"/>
        <s v="IL054"/>
        <s v="IC029"/>
        <s v="ID003"/>
        <s v="IC015"/>
        <s v="II013"/>
        <s v="II021"/>
        <s v="IC020"/>
        <s v="IC025"/>
        <s v="IL029"/>
        <s v="IL086"/>
        <s v="IL060"/>
        <s v="IC013"/>
        <s v="II003"/>
        <s v="IL039"/>
        <s v="IC026"/>
        <s v="IL040"/>
        <s v="IL087"/>
        <s v="IL037"/>
        <s v="IL042"/>
        <s v="IL011"/>
        <s v="IL100"/>
        <s v="IC010"/>
        <s v="IC031"/>
        <s v="IL075"/>
        <s v="II025"/>
        <s v="IL081"/>
        <s v="IL071"/>
        <s v="IC032"/>
        <s v="II020"/>
        <s v="IL073"/>
        <s v="IL091"/>
        <s v="IL105"/>
        <s v="IC019"/>
        <s v="II019"/>
        <s v="II010"/>
        <s v="II028"/>
        <s v="IL084"/>
        <s v="IL072"/>
        <s v="IL050"/>
        <s v="IL099"/>
        <s v="II037"/>
        <s v="II014"/>
        <s v="IL067"/>
        <s v="IL005"/>
        <s v="IL057"/>
        <s v="IL025"/>
        <s v="IL023"/>
        <s v="IL043"/>
        <s v="II018"/>
        <s v="IL045"/>
        <s v="II023"/>
        <s v="IL066"/>
        <s v="IL031"/>
        <s v="II030"/>
        <s v="II026"/>
        <s v="IL022"/>
        <s v="II008"/>
        <s v="IL052"/>
        <s v="IL020"/>
        <s v="II035"/>
        <s v="IL033"/>
        <s v="IC023"/>
        <s v="IC027"/>
        <s v="IC008"/>
        <s v="IL093"/>
        <s v="IL038"/>
        <s v="IL095"/>
        <s v="IC012"/>
        <s v="II011"/>
        <s v="IC028"/>
        <s v="IC017"/>
        <s v="IL041"/>
        <s v="II017"/>
        <s v="II032"/>
        <s v="II005"/>
        <s v="II024"/>
        <s v="II022"/>
        <s v="IL059"/>
        <s v="CG141"/>
        <s v="CG018"/>
        <s v="CR005"/>
        <s v="CG011"/>
        <s v="CG031"/>
        <s v="CB005"/>
        <s v="CG048"/>
        <s v="CB002"/>
        <s v="CB006"/>
        <s v="CB004"/>
        <s v="CG123"/>
        <s v="CR021"/>
        <s v="CG007"/>
        <s v="CB032"/>
        <s v="CG016"/>
        <s v="CB003"/>
        <s v="CG046"/>
        <s v="CB001"/>
        <s v="CG049"/>
        <s v="CG056"/>
        <s v="CG006"/>
        <s v="CG051"/>
        <s v="CR008"/>
        <s v="CG138"/>
        <s v="CG137"/>
        <s v="CG087"/>
        <s v="CG039"/>
        <s v="CG124"/>
        <s v="CB016"/>
        <s v="CG010"/>
        <s v="CG013"/>
        <s v="CG015"/>
        <s v="CG084"/>
        <s v="CG066"/>
        <s v="CG073"/>
        <s v="CG005"/>
        <s v="CR001"/>
        <s v="CG071"/>
        <s v="CG112"/>
        <s v="CR018"/>
        <s v="CG070"/>
        <s v="CG029"/>
        <s v="CB021"/>
        <s v="CG115"/>
        <s v="CB012"/>
        <s v="CG132"/>
        <s v="CB031"/>
        <s v="CG060"/>
        <s v="CG023"/>
        <s v="CG094"/>
        <s v="CG064"/>
        <s v="CR006"/>
        <s v="CB025"/>
        <s v="CB028"/>
        <s v="CB014"/>
        <s v="CB019"/>
        <s v="CG130"/>
        <s v="CG110"/>
        <s v="CG134"/>
        <s v="CB010"/>
        <s v="CB026"/>
        <s v="CB020"/>
        <s v="CG053"/>
        <s v="CG078"/>
        <s v="CG069"/>
        <s v="CB008"/>
        <s v="CB015"/>
        <s v="CG072"/>
        <s v="CG036"/>
        <s v="CG065"/>
        <s v="CG038"/>
        <s v="CB017"/>
        <s v="CG118"/>
        <s v="CR017"/>
        <s v="CB009"/>
        <s v="CR020"/>
        <s v="CG090"/>
        <s v="CR023"/>
        <s v="CB022"/>
        <s v="CG102"/>
        <s v="CG077"/>
        <s v="CB013"/>
        <s v="CR007"/>
        <s v="CG121"/>
        <s v="CB018"/>
        <s v="CR019"/>
        <s v="CG088"/>
        <s v="CR013"/>
        <s v="CB023"/>
        <s v="CG041"/>
        <s v="CR004"/>
        <s v="CR012"/>
        <s v="CG033"/>
        <s v="CG067"/>
        <s v="CB007"/>
        <s v="CB011"/>
        <s v="CB024"/>
        <s v="CB029"/>
        <s v="CG081"/>
        <s v="CB030"/>
        <s v="CG097"/>
        <s v="CR014"/>
        <s v="VW018"/>
        <s v="VW015"/>
        <s v="VW084"/>
        <s v="VW067"/>
        <s v="VW042"/>
        <s v="VV022"/>
        <s v="VV014"/>
        <s v="VV042"/>
        <s v="VW087"/>
        <s v="VW096"/>
        <s v="VW037"/>
        <s v="VW010"/>
        <s v="VW003"/>
        <s v="VW001"/>
        <s v="VW011"/>
        <s v="VV046"/>
        <s v="VW020"/>
        <s v="VW024"/>
        <s v="VW052"/>
        <s v="VW043"/>
        <s v="VW039"/>
        <s v="VW053"/>
        <s v="VW004"/>
        <s v="VW061"/>
        <s v="VW064"/>
        <s v="VW013"/>
        <s v="VW014"/>
        <s v="VW006"/>
        <s v="VW081"/>
        <s v="VW005"/>
        <s v="VW076"/>
        <s v="VW047"/>
        <s v="VV023"/>
        <s v="VV077"/>
        <s v="VW028"/>
        <s v="VW002"/>
        <s v="VW092"/>
        <s v="VW078"/>
        <s v="VW068"/>
        <s v="VV003"/>
        <s v="VW094"/>
        <s v="VW007"/>
        <s v="VW017"/>
        <s v="VW012"/>
        <s v="VV065"/>
        <s v="VW093"/>
        <s v="VW019"/>
        <s v="VW088"/>
        <s v="VW048"/>
        <s v="VW054"/>
        <s v="VW091"/>
        <s v="VV049"/>
        <s v="VW016"/>
        <s v="VW069"/>
        <s v="VV037"/>
        <s v="VW062"/>
        <s v="VW025"/>
        <s v="VW051"/>
        <s v="VW045"/>
        <s v="VW056"/>
        <s v="VV062"/>
        <s v="VV078"/>
        <s v="VW029"/>
        <s v="VW034"/>
        <s v="VV005"/>
        <s v="VV035"/>
        <s v="VV071"/>
        <s v="VW063"/>
        <s v="VW044"/>
        <s v="VW058"/>
        <s v="VW095"/>
        <s v="VV028"/>
        <s v="VW057"/>
        <s v="VW035"/>
        <s v="VW040"/>
        <s v="VV021"/>
        <s v="VW082"/>
        <s v="VW083"/>
        <s v="VW008"/>
        <s v="VW023"/>
        <s v="VW055"/>
        <s v="VW033"/>
        <s v="VW031"/>
        <s v="VW046"/>
        <s v="VW080"/>
        <s v="VW086"/>
        <s v="VW049"/>
        <s v="VW066"/>
        <s v="VV067"/>
        <s v="VV061"/>
        <s v="VV017"/>
        <s v="VW065"/>
        <s v="VW079"/>
        <s v="VW030"/>
        <s v="VW071"/>
        <s v="VW038"/>
        <s v="VW090"/>
        <s v="VV095"/>
        <s v="VV043"/>
        <s v="VV080"/>
        <s v="VW085"/>
        <s v="VV018"/>
        <s v="VW021"/>
        <s v="VW074"/>
        <s v="VW099"/>
        <s v="VV093"/>
        <s v="VW032"/>
        <s v="VW026"/>
        <s v="VV090"/>
        <s v="VW072"/>
        <s v="VW041"/>
        <s v="VW009"/>
        <s v="VW036"/>
        <s v="VV029"/>
        <s v="VV026"/>
        <s v="VV076"/>
        <s v="VV024"/>
        <s v="VV030"/>
        <s v="VV039"/>
        <s v="VV054"/>
        <s v="VW070"/>
        <s v="VV091"/>
        <s v="VV032"/>
        <s v="VW050"/>
        <s v="VV034"/>
        <s v="VW075"/>
        <s v="VW059"/>
        <s v="VW027"/>
        <s v="VV060"/>
        <s v="VV073"/>
        <s v="VE039"/>
        <s v="VV015"/>
        <s v="MT005"/>
        <s v="MD006"/>
        <s v="MS001"/>
        <s v="MD012"/>
        <s v="MD037"/>
        <s v="MD025"/>
        <s v="MS028"/>
        <s v="MD052"/>
        <s v="MD002"/>
        <s v="MD032"/>
        <s v="MD011"/>
        <s v="MD028"/>
        <s v="MS018"/>
        <s v="MD031"/>
        <s v="MD029"/>
        <s v="VE019"/>
        <s v="VV055"/>
        <s v="VV038"/>
        <s v="VV016"/>
        <s v="VV001"/>
        <s v="VV064"/>
        <s v="VV044"/>
        <s v="VV004"/>
        <s v="VV052"/>
        <s v="VV053"/>
        <s v="VV082"/>
        <s v="VV083"/>
        <s v="VV063"/>
        <s v="VV040"/>
        <s v="VV012"/>
        <s v="VE025"/>
        <s v="VV013"/>
        <s v="VE004"/>
        <s v="VE003"/>
        <s v="VV008"/>
        <s v="VV010"/>
        <s v="VV019"/>
        <s v="VV092"/>
        <s v="VE042"/>
        <s v="VV006"/>
        <s v="VV058"/>
        <s v="VV041"/>
        <s v="VE007"/>
        <s v="VV050"/>
        <s v="VE018"/>
        <s v="VE011"/>
        <s v="VV087"/>
        <s v="VV084"/>
        <s v="VV025"/>
        <s v="VV031"/>
        <s v="VV020"/>
        <s v="VV089"/>
        <s v="VV011"/>
        <s v="VE024"/>
        <s v="VE037"/>
        <s v="VE020"/>
        <s v="VE038"/>
        <s v="VV009"/>
        <s v="VV081"/>
        <s v="VE031"/>
        <s v="VE026"/>
        <s v="VV007"/>
        <s v="VE021"/>
        <s v="VV047"/>
        <s v="VV036"/>
        <s v="VV079"/>
        <s v="VE016"/>
        <s v="VE001"/>
        <s v="VV056"/>
        <s v="VE010"/>
        <s v="VE029"/>
        <s v="VV072"/>
        <s v="VE022"/>
        <s v="VE040"/>
        <s v="VV033"/>
        <s v="VE017"/>
        <s v="VV059"/>
        <s v="VE041"/>
        <s v="VE006"/>
        <s v="VE032"/>
        <s v="VV027"/>
        <s v="VE023"/>
        <s v="VV057"/>
        <s v="VV048"/>
        <s v="VE014"/>
        <s v="VV069"/>
        <s v="VE033"/>
        <s v="VE005"/>
        <s v="VE012"/>
        <s v="VE027"/>
        <s v="VE036"/>
        <s v="VV088"/>
        <s v="VV075"/>
        <s v="VV066"/>
        <s v="VV045"/>
        <s v="VV051"/>
        <s v="VE002"/>
        <s v="VE015"/>
        <s v="VE035"/>
        <s v="VE008"/>
        <s v="MD033"/>
        <s v="MD005"/>
        <s v="MD057"/>
        <s v="MD004"/>
        <s v="MD001"/>
        <s v="MS012"/>
        <s v="MS004"/>
        <s v="MS041"/>
        <s v="MD007"/>
        <s v="MD050"/>
        <s v="MD009"/>
        <s v="MD049"/>
        <s v="MS002"/>
        <s v="MD055"/>
        <s v="MD016"/>
        <s v="MD003"/>
        <s v="MD038"/>
        <s v="MD058"/>
        <s v="MT008"/>
        <s v="MS024"/>
        <s v="MS033"/>
        <s v="MS020"/>
        <s v="MD030"/>
        <s v="MD035"/>
        <s v="MD042"/>
        <s v="MD041"/>
        <s v="MD039"/>
        <s v="MD040"/>
        <s v="MT009"/>
        <s v="MS038"/>
        <s v="MS025"/>
        <s v="MD023"/>
        <s v="MT003"/>
        <s v="MS013"/>
        <s v="MD053"/>
        <s v="MS014"/>
        <s v="MS007"/>
        <s v="MS039"/>
        <s v="MS017"/>
        <s v="MS011"/>
        <s v="MD018"/>
        <s v="MS016"/>
        <s v="MS029"/>
        <s v="MS021"/>
        <s v="MS026"/>
        <s v="MS030"/>
        <s v="MD034"/>
        <s v="MS027"/>
        <s v="MS023"/>
        <s v="MD020"/>
        <s v="MD015"/>
        <s v="MD026"/>
        <s v="MD021"/>
        <s v="MS005"/>
        <s v="MS003"/>
        <s v="MS034"/>
        <s v="MS036"/>
        <s v="MD048"/>
        <s v="MD022"/>
        <s v="MD014"/>
        <s v="MS035"/>
        <s v="MS015"/>
        <s v="MD010"/>
        <s v="MD024"/>
        <s v="MT002"/>
        <s v="MD056"/>
        <s v="MD045"/>
        <s v="MS008"/>
        <s v="MD054"/>
        <s v="MT013"/>
        <s v="MD013"/>
        <s v="MD036"/>
        <s v="MD019"/>
        <s v="MS040"/>
        <s v="MS010"/>
        <s v="MD047"/>
        <s v="MS006"/>
        <s v="MD017"/>
        <s v="MS022"/>
        <s v="MD051"/>
        <s v="MS009"/>
        <s v="MD027"/>
        <s v="MS032"/>
        <s v="MT010"/>
        <s v="MO015"/>
        <s v="MZ018"/>
        <s v="MZ039"/>
        <s v="MZ023"/>
        <s v="MZ026"/>
        <s v="MZ003"/>
        <s v="MZ001"/>
        <s v="MO001"/>
        <s v="MA018"/>
        <s v="MO008"/>
        <s v="MO009"/>
        <s v="MO027"/>
        <s v="MO068"/>
        <s v="MZ004"/>
        <s v="MZ035"/>
        <s v="MZ006"/>
        <s v="MO010"/>
        <s v="MO061"/>
        <s v="MA010"/>
        <s v="MO053"/>
        <s v="MO050"/>
        <s v="MZ009"/>
        <s v="MA005"/>
        <s v="MO042"/>
        <s v="MO046"/>
        <s v="MA013"/>
        <s v="MZ029"/>
        <s v="MZ027"/>
        <s v="MA008"/>
        <s v="MO058"/>
        <s v="MA012"/>
        <s v="MO016"/>
        <s v="MA020"/>
        <s v="MO049"/>
        <s v="MA003"/>
        <s v="MA006"/>
        <s v="MZ013"/>
        <s v="MA001"/>
        <s v="MO067"/>
        <s v="MO033"/>
        <s v="MO014"/>
        <s v="MO048"/>
        <s v="MO002"/>
        <s v="MO026"/>
        <s v="MO054"/>
        <s v="MA011"/>
        <s v="MZ030"/>
        <s v="MO062"/>
        <s v="MO064"/>
        <s v="MO038"/>
        <s v="MZ016"/>
        <s v="MZ002"/>
        <s v="MZ015"/>
        <s v="MZ034"/>
        <s v="MO021"/>
        <s v="MZ010"/>
        <s v="MO024"/>
        <s v="MZ024"/>
        <s v="MZ033"/>
        <s v="MZ028"/>
        <s v="MA022"/>
        <s v="MO017"/>
        <s v="MO057"/>
        <s v="MZ008"/>
        <s v="MZ012"/>
        <s v="MA015"/>
        <s v="MO040"/>
        <s v="MO047"/>
        <s v="MZ038"/>
        <s v="MO039"/>
        <s v="MZ014"/>
        <s v="MA019"/>
        <s v="MO003"/>
        <s v="MZ020"/>
        <s v="MO025"/>
        <s v="MO019"/>
        <s v="MT006"/>
        <s v="MA017"/>
        <s v="MZ011"/>
        <s v="MO041"/>
        <s v="MZ025"/>
        <s v="MO018"/>
        <s v="MO028"/>
        <s v="MZ005"/>
        <s v="MO052"/>
        <s v="MT011"/>
        <s v="MT004"/>
        <s v="MA023"/>
        <s v="MZ031"/>
        <s v="MO031"/>
        <s v="MO004"/>
        <s v="MO006"/>
        <s v="MO037"/>
        <s v="MO066"/>
        <s v="MO029"/>
        <s v="MO023"/>
        <s v="MZ022"/>
        <s v="MO022"/>
        <s v="MZ021"/>
        <s v="MZ040"/>
        <s v="MZ007"/>
        <s v="MA009"/>
        <s v="MA004"/>
        <s v="MZ032"/>
        <s v="MA014"/>
        <s v="MA016"/>
        <s v="MO051"/>
        <s v="MO044"/>
        <s v="MO034"/>
        <s v="MA007"/>
        <s v="MO045"/>
        <s v="MO007"/>
        <s v="MO036"/>
        <s v="MO035"/>
        <s v="MO011"/>
        <s v="MZ041"/>
        <s v="MO020"/>
        <s v="MO013"/>
        <s v="MA002"/>
        <s v="MZ019"/>
        <s v="MO043"/>
        <s v="MO030"/>
        <s v="MO005"/>
        <s v="MO032"/>
      </sharedItems>
    </cacheField>
    <cacheField name="Name" numFmtId="0">
      <sharedItems>
        <s v="999C"/>
        <s v="ABTC"/>
        <s v="AFLZ"/>
        <s v="AFVT"/>
        <s v="ALIM"/>
        <s v="AMRK"/>
        <s v="ARDM"/>
        <s v="AYCL"/>
        <s v="BWMQ"/>
        <s v="CATP"/>
        <s v="CCLC"/>
        <s v="CFDC"/>
        <s v="CMAN"/>
        <s v="CMBG"/>
        <s v="CMOT"/>
        <s v="CUTC"/>
        <s v="DECA"/>
        <s v="DIVI"/>
        <s v="EGCW"/>
        <s v="ETCT"/>
        <s v="EWCB"/>
        <s v="FISH"/>
        <s v="FMLB"/>
        <s v="FTCM"/>
        <s v="GENL"/>
        <s v="GRCP"/>
        <s v="GRNH"/>
        <s v="IMCM"/>
        <s v="ITIC"/>
        <s v="JCKP"/>
        <s v="KAIM"/>
        <s v="LCTM"/>
        <s v="MBCS"/>
        <s v="MGHA"/>
        <s v="MPAR"/>
        <s v="MPBS"/>
        <s v="MPMD"/>
        <s v="MPMM"/>
        <s v="NOVP"/>
        <s v="PACO"/>
        <s v="PGCB"/>
        <s v="PGLV"/>
        <s v="PGNV"/>
        <s v="PGSM"/>
        <s v="PGSU"/>
        <s v="PGTY"/>
        <s v="PKGH"/>
        <s v="PMCT"/>
        <s v="PMMT"/>
        <s v="PPDB"/>
        <s v="RBTC"/>
        <s v="RMRS"/>
        <s v="RVBK"/>
        <s v="SCUB"/>
        <s v="SEDS"/>
        <s v="SLU2"/>
        <s v="SLUC"/>
        <s v="SMCA"/>
        <s v="SMHC"/>
        <s v="SMMD"/>
        <s v="SNVL"/>
        <s v="SPMS"/>
        <s v="SUSC"/>
        <s v="TDST"/>
        <s v="TTBC"/>
        <s v="UNTP"/>
        <s v="VATP"/>
        <s v="VGEH"/>
        <s v="VTMP"/>
        <s v="WATP"/>
        <s v="WEDS"/>
        <s v="WMCL"/>
        <s v="WMER"/>
        <s v="WMTT"/>
        <s v="XRCS"/>
        <s v="ZAGN"/>
        <s v="ZAQC"/>
        <s v="ZBNR"/>
        <s v="ZBNW"/>
        <s v="ZBSC"/>
        <s v="ZBAR"/>
        <s v="ZBBS"/>
        <s v="ZDDV"/>
        <s v="ZFAC"/>
        <s v="ZHDG"/>
        <s v="ZKHT"/>
        <s v="ZKQC"/>
        <s v="ZKTP"/>
        <s v="ZLMC"/>
        <s v="ZMLV"/>
        <s v="ZMPC"/>
        <s v="ZMRV"/>
        <s v="ZMSQ"/>
        <s v="ZMSV"/>
        <s v="ZMTB"/>
        <s v="ZNAV"/>
        <s v="ZNKM"/>
        <s v="ZSGD"/>
        <s v="ZSIR"/>
        <s v="ZSMD"/>
        <s v="ZBNC"/>
        <s v="ZCD2"/>
        <s v="ZDDO"/>
        <s v="ZKSK"/>
        <s v="ZLAK"/>
        <s v="ZLSK"/>
        <s v="ZMKL"/>
        <s v="ZSAM"/>
        <s v="ZSMT"/>
        <s v="ZUDC"/>
        <s v="GGCA"/>
        <s v="GSBT"/>
        <s v="ZMNK"/>
        <s v="LKKC"/>
        <s v="ZBGB"/>
        <s v="ZKLC"/>
        <s v="ZLBS"/>
        <s v="ZLBZ"/>
        <s v="ZLTP"/>
        <s v="ZWAO"/>
        <s v="ZBCO"/>
        <s v="AY30"/>
        <s v="IAPL"/>
        <s v="MSMT"/>
        <s v="PGTT"/>
        <s v="SMHA"/>
        <s v="TAFLZ"/>
        <s v="TAMRK"/>
        <s v="TSLUC"/>
        <s v="XROD"/>
        <s v="ZMGT"/>
        <s v="CMAB"/>
        <s v="ONEA"/>
        <s v="PIT2"/>
        <s v="SGMM"/>
        <s v="SMAZ"/>
        <s v="TAYMB"/>
        <s v="TQSM"/>
        <s v="VEMM"/>
        <s v="WMKT"/>
        <s v="ZQPL"/>
        <s v="MGTC"/>
        <s v="PGBT"/>
        <s v="SMMC"/>
        <s v="TAHBP"/>
        <s v="WTCT"/>
        <s v="ZTUA"/>
        <s v="SMCD"/>
        <s v="VSTS"/>
        <s v="ZCRC"/>
        <s v="STCB"/>
        <s v="OPCC"/>
        <s v="SMHI"/>
        <s v="SMIM"/>
        <s v="ZBDN"/>
        <s v="ZGBI"/>
        <s v="ZIBJ"/>
        <s v="ZJNO"/>
        <s v="ZTGR"/>
        <s v="GSGA"/>
        <s v="ZCBI"/>
        <s v="ZHNG"/>
        <s v="ZLIL"/>
        <s v="ZLTC"/>
        <s v="ZOES"/>
        <s v="ZSBS"/>
        <s v="ZSMR"/>
        <s v="ZSQQ"/>
        <s v="ZSSM"/>
        <s v="ZSTM"/>
        <s v="ZTMA"/>
        <s v="ZTNY"/>
        <s v="ZTRS"/>
        <s v="ZVAQ"/>
        <s v="ZWSJ"/>
        <s v="AYMB"/>
        <s v="AYSP"/>
        <s v="CBNL"/>
        <s v="CFGS"/>
        <s v="CLTC"/>
        <s v="CMCV"/>
        <s v="CNSA"/>
        <s v="CPPR"/>
        <s v="FTVL"/>
        <s v="GATC"/>
        <s v="GIGM"/>
        <s v="LPAI"/>
        <s v="LTSM"/>
        <s v="MSQB"/>
        <s v="MTSM"/>
        <s v="PGSC"/>
        <s v="PGTZ"/>
        <s v="PGTG"/>
        <s v="PMPZ"/>
        <s v="PRTM"/>
        <s v="PSDA"/>
        <s v="PVLM"/>
        <s v="RFCM"/>
        <s v="SHWD"/>
        <s v="SMCM"/>
        <s v="SMCR"/>
        <s v="SMCS"/>
        <s v="SMHM"/>
        <s v="STSS"/>
        <s v="STGG"/>
        <s v="UNMC"/>
        <s v="VMTG"/>
        <s v="VPSY"/>
        <s v="VSMT"/>
        <s v="VTRA"/>
        <s v="WMAL"/>
        <s v="WDMR"/>
        <s v="WMBC"/>
        <s v="WMBI"/>
        <s v="WMMT"/>
        <s v="WMNA"/>
        <s v="WMSL"/>
        <s v="WMTM"/>
        <s v="WSCT"/>
        <s v="ZBKC"/>
        <s v="ZBLS"/>
        <s v="ZBNL"/>
        <s v="ZBPI"/>
        <s v="ZBFR"/>
        <s v="ZBRP"/>
        <s v="ZEVM"/>
        <s v="ZCVT"/>
        <s v="ZEVP"/>
        <s v="ZGSQ"/>
        <s v="ZHMP"/>
        <s v="ZIMC"/>
        <s v="ZKIM"/>
        <s v="ZMIC"/>
        <s v="ZMLB"/>
        <s v="ZMRH"/>
        <s v="ZMST"/>
        <s v="ZMTL"/>
        <s v="ZNCC"/>
        <s v="ZNOV"/>
        <s v="ZNAP"/>
        <s v="ZPAI"/>
        <s v="ZPAT"/>
        <s v="ZPDS"/>
        <s v="ZPGS"/>
        <s v="ZROC"/>
        <s v="ZRXP"/>
        <s v="ZSLC"/>
        <s v="ZSML"/>
        <s v="ZSPP"/>
        <s v="ZTGL"/>
        <s v="ZTGT"/>
        <s v="ZTOP"/>
        <s v="ZTTP"/>
        <s v="ZVA1"/>
        <s v="ZZPT"/>
        <s v="ACGA"/>
        <s v="ACME"/>
        <s v="ALPG"/>
        <s v="ASBB"/>
        <s v="CBML"/>
        <s v="CCFL"/>
        <s v="CDPK"/>
        <s v="CTJZ"/>
        <s v="CTWK"/>
        <s v="EMDC"/>
        <s v="GBPM"/>
        <s v="GGAC"/>
        <s v="GPSS"/>
        <s v="GSMR"/>
        <s v="GTRT"/>
        <s v="HMSB"/>
        <s v="IBTC"/>
        <s v="JBJA"/>
        <s v="JBJD"/>
        <s v="JBJS"/>
        <s v="JJAG"/>
        <s v="LSCA"/>
        <s v="MAGC"/>
        <s v="MALO"/>
        <s v="MBSP"/>
        <s v="MGSC"/>
        <s v="MNNA"/>
        <s v="MRBA"/>
        <s v="MTRT"/>
        <s v="NEPA"/>
        <s v="NGLN"/>
        <s v="NSLG"/>
        <s v="PBBG"/>
        <s v="PCAB"/>
        <s v="PCTG"/>
        <s v="PCYN"/>
        <s v="PDBA"/>
        <s v="PGBO"/>
        <s v="PGDA"/>
        <s v="PGGU"/>
        <s v="PGMA"/>
        <s v="PGMG"/>
        <s v="PGML"/>
        <s v="PGNE"/>
        <s v="PMAG"/>
        <s v="PMAP"/>
        <s v="PMCB"/>
        <s v="PMSL"/>
        <s v="SCTC"/>
        <s v="SIDB"/>
        <s v="SMCP"/>
        <s v="SMTG"/>
        <s v="SRMM"/>
        <s v="SSJD"/>
        <s v="TMCP"/>
        <s v="TSTI"/>
        <s v="VMBT"/>
        <s v="WBLG"/>
        <s v="WCBN"/>
        <s v="WMAR"/>
        <s v="WMAT"/>
        <s v="WMBL"/>
        <s v="WMCP"/>
        <s v="WMGP"/>
        <s v="WMLL"/>
        <s v="WMMB"/>
        <s v="WMPL"/>
        <s v="WMTL"/>
        <s v="WPNQ"/>
        <s v="WSBC"/>
        <s v="WSFN"/>
        <s v="WSJS"/>
        <s v="WSMR"/>
        <s v="XBLT"/>
        <s v="XCBG"/>
        <s v="XMHG"/>
        <s v="XMLL"/>
        <s v="XSTG"/>
        <s v="XTMR"/>
        <s v="ZABU"/>
        <s v="ZACM"/>
        <s v="ZACP"/>
        <s v="ZAGT"/>
        <s v="ZALI"/>
        <s v="ZALU"/>
        <s v="ZANE"/>
        <s v="ZAPC"/>
        <s v="ZAPL"/>
        <s v="ZARI"/>
        <s v="ZASP"/>
        <s v="ZBAC"/>
        <s v="ZBAU"/>
        <s v="ZBCI"/>
        <s v="ZBGA"/>
        <s v="ZBGG"/>
        <s v="ZBIN"/>
        <s v="ZBLA"/>
        <s v="ZBLU"/>
        <s v="ZBMT"/>
        <s v="ZBNE"/>
        <s v="ZBNV"/>
        <s v="ZBTK"/>
        <s v="ZBTT"/>
        <s v="ZBYP"/>
        <s v="ZCBG"/>
        <s v="ZCDI"/>
        <s v="ZCLV"/>
        <s v="ZCMT"/>
        <s v="ZCPB"/>
        <s v="ZCPT"/>
        <s v="ZCYC"/>
        <s v="ZDGP"/>
        <s v="ZDNB"/>
        <s v="ZECI"/>
        <s v="ZFBP"/>
        <s v="ZFHA"/>
        <s v="ZGNE"/>
        <s v="ZGPN"/>
        <s v="ZGPP"/>
        <s v="ZIBA"/>
        <s v="ZIGC"/>
        <s v="ZIUC"/>
        <s v="ZJNE"/>
        <s v="ZLAB"/>
        <s v="ZLB2"/>
        <s v="ZLBP"/>
        <s v="ZLIC"/>
        <s v="ZLIN"/>
        <s v="ZLMY"/>
        <s v="ZLNE"/>
        <s v="ZLST"/>
        <s v="ZMDQ"/>
        <s v="ZMGP"/>
        <s v="ZMNP"/>
        <s v="ZMPP"/>
        <s v="ZMSZ"/>
        <s v="ZMUN"/>
        <s v="ZMVB"/>
        <s v="ZMZB"/>
        <s v="ZNIC"/>
        <s v="ZNVC"/>
        <s v="ZOGP"/>
        <s v="ZOLG"/>
        <s v="ZORA"/>
        <s v="ZPLA"/>
        <s v="ZPNT"/>
        <s v="ZPRP"/>
        <s v="ZRLU"/>
        <s v="ZRNE"/>
        <s v="ZRSP"/>
        <s v="ZSAN"/>
        <s v="ZSBZ"/>
        <s v="ZSCI"/>
        <s v="ZSDI"/>
        <s v="ZSFD"/>
        <s v="ZSFU"/>
        <s v="ZSIN"/>
        <s v="ZSJM"/>
        <s v="ZSJP"/>
        <s v="ZSMB"/>
        <s v="ZSMC"/>
        <s v="ZSMI"/>
        <s v="ZSNV"/>
        <s v="ZSPL"/>
        <s v="ZSRN"/>
        <s v="ZSRP"/>
        <s v="ZSTI"/>
        <s v="ZTBD"/>
        <s v="ZTGG"/>
        <s v="ZTMU"/>
        <s v="ZTNE"/>
        <s v="ZTYP"/>
        <s v="ZUDP"/>
        <s v="ZVGN"/>
        <s v="ZVIG"/>
        <s v="ZVLP"/>
        <s v="ZZNE"/>
        <s v="CATC"/>
        <s v="CTBT"/>
        <s v="DKBD"/>
        <s v="ENGA"/>
        <s v="FMLG"/>
        <s v="GSCS"/>
        <s v="IMCB"/>
        <s v="LCCM"/>
        <s v="LCCN"/>
        <s v="LCP2"/>
        <s v="MPSP"/>
        <s v="NCTC"/>
        <s v="OLVR"/>
        <s v="PGND"/>
        <s v="PLCN"/>
        <s v="PLGP"/>
        <s v="PMCA"/>
        <s v="SDET"/>
        <s v="SMCL"/>
        <s v="SQAC"/>
        <s v="SRSR"/>
        <s v="SSTR"/>
        <s v="ZBOM"/>
        <s v="TKWY"/>
        <s v="TLSM"/>
        <s v="TOLP"/>
        <s v="VCMT"/>
        <s v="VMSR"/>
        <s v="VRCM"/>
        <s v="WBTG"/>
        <s v="WCDL"/>
        <s v="WMKL"/>
        <s v="WMSP"/>
        <s v="WMTN"/>
        <s v="WSRB"/>
        <s v="WSTS"/>
        <s v="XCLP"/>
        <s v="XMLM"/>
        <s v="ZAMQ"/>
        <s v="ZBOA"/>
        <s v="ZBLY"/>
        <s v="ZBBT"/>
        <s v="ZBCS"/>
        <s v="ZBBC"/>
        <s v="ZBSS"/>
        <s v="ZCBU"/>
        <s v="ZCCS"/>
        <s v="ZCDL"/>
        <s v="ZCLB"/>
        <s v="ZCLC"/>
        <s v="ZCLG"/>
        <s v="ZCLP"/>
        <s v="ZDCS"/>
        <s v="ZGBA"/>
        <s v="ZGBS"/>
        <s v="ZGCS"/>
        <s v="ZGMC"/>
        <s v="ZHLC"/>
        <s v="ZIFQ"/>
        <s v="ZIRG"/>
        <s v="ZIRO"/>
        <s v="ZLBC"/>
        <s v="ZLBQ"/>
        <s v="ZLCN"/>
        <s v="ZLEX"/>
        <s v="ZLGA"/>
        <s v="ZLGC"/>
        <s v="ZLMB"/>
        <s v="ZLPC"/>
        <s v="ZLPQ"/>
        <s v="ZLUC"/>
        <s v="ZMBC"/>
        <s v="ZMBQ"/>
        <s v="ZMOM"/>
        <s v="ZNGC"/>
        <s v="ZNJM"/>
        <s v="ZNSB"/>
        <s v="ZODR"/>
        <s v="ZOLD"/>
        <s v="ZPBQ"/>
        <s v="ZPBS"/>
        <s v="ZPCS"/>
        <s v="ZPOM"/>
        <s v="ZPSL"/>
        <s v="ZPSS"/>
        <s v="ZPTG"/>
        <s v="ZROS"/>
        <s v="ZSCM"/>
        <s v="ZSCS"/>
        <s v="ZSJB"/>
        <s v="ZSJO"/>
        <s v="ZSOB"/>
        <s v="ZSPC"/>
        <s v="ZSRY"/>
        <s v="ZSSG"/>
        <s v="ZTBC"/>
        <s v="ZTCA"/>
        <s v="ZTGS"/>
        <s v="ZTIA"/>
        <s v="ZTNC"/>
        <s v="ZTYB"/>
        <s v="ZVOM"/>
        <s v="8BCL"/>
        <s v="ABCL"/>
        <s v="ABCS"/>
        <s v="ABVI"/>
        <s v="ARGT"/>
        <s v="AYCB"/>
        <s v="AYCC"/>
        <s v="BLKM"/>
        <s v="BRCF"/>
        <s v="BSPI"/>
        <s v="CETR"/>
        <s v="CGDF"/>
        <s v="CMDL"/>
        <s v="CRXS"/>
        <s v="CVTR"/>
        <s v="GCBC"/>
        <s v="GCLP"/>
        <s v="GCPB"/>
        <s v="GGCC"/>
        <s v="GGRM"/>
        <s v="GGSI"/>
        <s v="GPSC"/>
        <s v="GPVA"/>
        <s v="GSAA"/>
        <s v="GSCJ"/>
        <s v="GSCL"/>
        <s v="GTML"/>
        <s v="MRMC"/>
        <s v="NMCM"/>
        <s v="PBYW"/>
        <s v="PGBN"/>
        <s v="PGOT"/>
        <s v="LEAH"/>
        <s v="PGUB"/>
        <s v="PHML"/>
        <s v="PKBK"/>
        <s v="PPMD"/>
        <s v="PTCC"/>
        <s v="PTPI"/>
        <s v="PWCB"/>
        <s v="SBAT"/>
        <s v="SCDZ"/>
        <s v="SHDM"/>
        <s v="SMFT"/>
        <s v="VIBP"/>
        <s v="VSMO"/>
        <s v="CTAG"/>
        <s v="ZAJI"/>
        <s v="ZANO"/>
        <s v="ZAPB"/>
        <s v="ZAVA"/>
        <s v="ZBAN"/>
        <s v="ZBGC"/>
        <s v="ZBGK"/>
        <s v="ZBNG"/>
        <s v="ZBNI"/>
        <s v="ZBNO"/>
        <s v="SUTC"/>
        <s v="ZBVG"/>
        <s v="ZCAD"/>
        <s v="ZCAN"/>
        <s v="ZCMB"/>
        <s v="ZCYN"/>
        <s v="ZDCL"/>
        <s v="ZDMG"/>
        <s v="ZDGC"/>
        <s v="ZDNO"/>
        <s v="ZESI"/>
        <s v="ZG2B"/>
        <s v="ZGBC"/>
        <s v="ZGJA"/>
        <s v="ZGNO"/>
        <s v="ZHNB"/>
        <s v="ZHNO"/>
        <s v="ZIZN"/>
        <s v="ZJAL"/>
        <s v="ZJDG"/>
        <s v="ZJMB"/>
        <s v="ZKLB"/>
        <s v="ZKNO"/>
        <s v="ZLBN"/>
        <s v="ZLCA"/>
        <s v="ZLCC"/>
        <s v="ZLGI"/>
        <s v="ZLNI"/>
        <s v="ZMAB"/>
        <s v="ZMAN"/>
        <s v="ZMBS"/>
        <s v="ZMBY"/>
        <s v="ZMG2"/>
        <s v="ZMGC"/>
        <s v="ZMGI"/>
        <s v="ZMGN"/>
        <s v="ZQIC"/>
        <s v="ZMNO"/>
        <s v="ZMUR"/>
        <s v="ZNVG"/>
        <s v="ZPBT"/>
        <s v="ZPLB"/>
        <s v="ZPPC"/>
        <s v="ZPRC"/>
        <s v="ZPSA"/>
        <s v="ZPSC"/>
        <s v="ZPTI"/>
        <s v="ZPTN"/>
        <s v="ZRSD"/>
        <s v="ZSAG"/>
        <s v="ZSCN"/>
        <s v="ZSDG"/>
        <s v="ZSGY"/>
        <s v="ZSIP"/>
        <s v="ZSJA"/>
        <s v="ZSNO"/>
        <s v="ZT2B"/>
        <s v="ZTAB"/>
        <s v="ZTB3"/>
        <s v="ZTBB"/>
        <s v="ZTBH"/>
        <s v="ZTBN"/>
        <s v="ZTBT"/>
        <s v="ZTLS"/>
        <s v="ZTNB"/>
        <s v="ZTNO"/>
        <s v="ZTRC"/>
        <s v="ZTSC"/>
        <s v="ZTTS"/>
        <s v="ZUEB"/>
        <s v="ZVIC"/>
        <s v="ZVNO"/>
        <s v="ABCM"/>
        <s v="ANBP"/>
        <s v="APMC"/>
        <s v="AINM"/>
        <s v="AYAB"/>
        <s v="CISL"/>
        <s v="DGBC"/>
        <s v="CTPP"/>
        <s v="CWHL"/>
        <s v="CWKI"/>
        <s v="CWPB"/>
        <s v="GDGS"/>
        <s v="GGCB"/>
        <s v="GGMD"/>
        <s v="GGPA"/>
        <s v="GGPL"/>
        <s v="GGTA"/>
        <s v="GGTB"/>
        <s v="BBCM"/>
        <s v="BBML"/>
        <s v="BGCC"/>
        <s v="CBCS"/>
        <s v="CDNA"/>
        <s v="CTMC"/>
        <s v="CTPI"/>
        <s v="EZBH"/>
        <s v="GGBA"/>
        <s v="GGMA"/>
        <s v="GGMC"/>
        <s v="GGMN"/>
        <s v="GGOS"/>
        <s v="GMCB"/>
        <s v="GSCM"/>
        <s v="GSGM"/>
        <s v="GSME"/>
        <s v="GSMH"/>
        <s v="GTLB"/>
        <s v="ICMT"/>
        <s v="ISSM"/>
        <s v="LGGW"/>
        <s v="LLBM"/>
        <s v="MAAC"/>
        <s v="MTNT"/>
        <s v="NDRC"/>
        <s v="OUGC"/>
        <s v="PMSG"/>
        <s v="PMSM"/>
        <s v="PRBB"/>
        <s v="PRCB"/>
        <s v="PRKM"/>
        <s v="PSMC"/>
        <s v="PCMM"/>
        <s v="SMMT"/>
        <s v="SPWD"/>
        <s v="TRBM"/>
        <s v="Z7AR"/>
        <s v="ZABL"/>
        <s v="ZAGL"/>
        <s v="ZANS"/>
        <s v="ZATC"/>
        <s v="ZBOG"/>
        <s v="ZBRC"/>
        <s v="ZBRG"/>
        <s v="ZBRL"/>
        <s v="ZBCB"/>
        <s v="ZBAT"/>
        <s v="ZBC2"/>
        <s v="ZBTC"/>
        <s v="ZCBC"/>
        <s v="ZCBS"/>
        <s v="ZCBY"/>
        <s v="ZCCC"/>
        <s v="ZCGL"/>
        <s v="ZCNS"/>
        <s v="ZCSC"/>
        <s v="ZCTC"/>
        <s v="ZCTM"/>
        <s v="ZDBC"/>
        <s v="ZDLS"/>
        <s v="ZDNC"/>
        <s v="ZGDS"/>
        <s v="ZGUS"/>
        <s v="ZISB"/>
        <s v="ZJSC"/>
        <s v="ZKNL"/>
        <s v="ZLAP"/>
        <s v="ZLLC"/>
        <s v="ZMCA"/>
        <s v="ZMOC"/>
        <s v="ZMRA"/>
        <s v="ZORM"/>
        <s v="ZPCB"/>
        <s v="ZPLP"/>
        <s v="ZPML"/>
        <s v="ZPNG"/>
        <s v="ZSBC"/>
        <s v="ZSFC"/>
        <s v="ZTBR"/>
        <s v="ZTCC"/>
        <s v="ZTLB"/>
        <s v="ZTNL"/>
        <s v="ZVLB"/>
        <s v="ZVNB"/>
        <s v="GGTR"/>
        <s v="GMDV"/>
        <s v="GSGC"/>
        <s v="GTGM"/>
        <s v="GTRL"/>
        <s v="JGTC"/>
        <s v="KMCC"/>
        <s v="MACK"/>
        <s v="NCBH"/>
        <s v="NCCP"/>
        <s v="NCTG"/>
        <s v="PGLN"/>
        <s v="PMTC"/>
        <s v="SLCD"/>
        <s v="SSGC"/>
        <s v="TSDV"/>
        <s v="ZADC"/>
        <s v="ZADD"/>
        <s v="ZADO"/>
        <s v="ZALB"/>
        <s v="ZAMC"/>
        <s v="ZANC"/>
        <s v="ZBDO"/>
        <s v="ZBDD"/>
        <s v="ZCBD"/>
        <s v="ZCDC"/>
        <s v="ZCDD"/>
        <s v="ZCDO"/>
        <s v="ZCDT"/>
        <s v="ZCPG"/>
        <s v="ZCTB"/>
        <s v="ZCTD"/>
        <s v="ZCTU"/>
        <s v="ZESK"/>
        <s v="ZGGD"/>
        <s v="ZGS2"/>
        <s v="ZGSC"/>
        <s v="ZGSG"/>
        <s v="ZISK"/>
        <s v="ZKBC"/>
        <s v="ZKDD"/>
        <s v="ZKIA"/>
        <s v="ZKS2"/>
        <s v="ZKSC"/>
        <s v="ZLBG"/>
        <s v="ZLGS"/>
        <s v="ZMAC"/>
        <s v="ZMAI"/>
        <s v="ZMAS"/>
        <s v="ZMDD"/>
        <s v="ZMDO"/>
        <s v="ZMDV"/>
        <s v="ZMKY"/>
        <s v="ZMNC"/>
        <s v="ZMSC"/>
        <s v="ZMSY"/>
        <s v="ZMTC"/>
        <s v="ZMTD"/>
        <s v="ZMTV"/>
        <s v="ZNDD"/>
        <s v="ZNSC"/>
        <s v="ZPCC"/>
        <s v="ZPCD"/>
        <s v="ZPDD"/>
        <s v="ZPMA"/>
        <s v="ZPNA"/>
        <s v="ZPNB"/>
        <s v="ZPOL"/>
        <s v="ZPTD"/>
        <s v="ZQAC"/>
        <s v="ZRCD"/>
        <s v="ZSDD"/>
        <s v="ZSDN"/>
        <s v="ZSIG"/>
        <s v="ZSNS"/>
        <s v="ZSPD"/>
        <s v="ZSSC"/>
        <s v="ZSTD"/>
        <s v="ZTBS"/>
        <s v="ZTCD"/>
        <s v="ZTCS"/>
        <s v="ZTGC"/>
        <s v="ZTPS"/>
        <s v="ZUPM"/>
        <s v="ACDO"/>
        <s v="BGSA"/>
        <s v="BGWA"/>
        <s v="BGWI"/>
        <s v="BGWT"/>
        <s v="C3PD"/>
        <s v="CDPG"/>
        <s v="CIPN"/>
        <s v="CWSF"/>
        <s v="GCBL"/>
        <s v="GCOZ"/>
        <s v="GGMO"/>
        <s v="GSUL"/>
        <s v="LARC"/>
        <s v="MPOZ"/>
        <s v="OCEC"/>
        <s v="PCA2"/>
        <s v="PCDO"/>
        <s v="PWMS"/>
        <s v="ROBI"/>
        <s v="SRMJ"/>
        <s v="UBCS"/>
        <s v="ZAGB"/>
        <s v="ZAGO"/>
        <s v="ZAMF"/>
        <s v="ZAMP"/>
        <s v="ZARP"/>
        <s v="ZAUR"/>
        <s v="ZBRS"/>
        <s v="ZBGV"/>
        <s v="ZBIS"/>
        <s v="ZBMO"/>
        <s v="ZBCA"/>
        <s v="ZBTV"/>
        <s v="ZBVA"/>
        <s v="ZBYG"/>
        <s v="ZBZS"/>
        <s v="ZCAB"/>
        <s v="ZCAC"/>
        <s v="ZCAL"/>
        <s v="ZCAO"/>
        <s v="ZCCD"/>
        <s v="ZCGN"/>
        <s v="ZCMM"/>
        <s v="ZCSS"/>
        <s v="ZCVS"/>
        <s v="ZCZB"/>
        <s v="ZDCB"/>
        <s v="ZDLG"/>
        <s v="ZDMF"/>
        <s v="ZDPH"/>
        <s v="ZDPL"/>
        <s v="ZDZN"/>
        <s v="ZFJP"/>
        <s v="ZGHM"/>
        <s v="ZGLZ"/>
        <s v="ZGMM"/>
        <s v="ZGRR"/>
        <s v="ZGVA"/>
        <s v="ZGWN"/>
        <s v="ZHTS"/>
        <s v="ZIAG"/>
        <s v="ZIMO"/>
        <s v="ZIPM"/>
        <s v="ZIZS"/>
        <s v="ZJCA"/>
        <s v="ZKBW"/>
        <s v="ZKPD"/>
        <s v="ZKTZ"/>
        <s v="ZKWG"/>
        <s v="ZKZS"/>
        <s v="ZLGB"/>
        <s v="ZLGN"/>
        <s v="ZLZB"/>
        <s v="ZMB2"/>
        <s v="ZMBB"/>
        <s v="ZMCL"/>
        <s v="ZMDS"/>
        <s v="ZMFT"/>
        <s v="ZMGM"/>
        <s v="ZMHY"/>
        <s v="ZMLD"/>
        <s v="ZMLT"/>
        <s v="ZMLZ"/>
        <s v="ZMPM"/>
        <s v="ZMRC"/>
        <s v="ZMRW"/>
        <s v="ZNSA"/>
        <s v="ZNZB"/>
        <s v="ZOCH"/>
        <s v="ZOMZ"/>
        <s v="ZORQ"/>
        <s v="ZOZM"/>
        <s v="ZPMO"/>
        <s v="ZPSU"/>
        <s v="ZPTC"/>
        <s v="ZQAD"/>
        <s v="ZQBK"/>
        <s v="ZRAP"/>
        <s v="ZRLZ"/>
        <s v="ZSDZ"/>
        <s v="ZSFA"/>
        <s v="ZSFV"/>
        <s v="ZSJG"/>
        <s v="ZSNI"/>
        <s v="ZSUR"/>
        <s v="ZTBG"/>
        <s v="ZTBI"/>
        <s v="ZTBL"/>
        <s v="ZTDC"/>
        <s v="ZTDL"/>
        <s v="ZTGB"/>
        <s v="ZTGM"/>
        <s v="ZTGP"/>
        <s v="ZTLG"/>
        <s v="ZTMG"/>
        <s v="ZTMO"/>
        <s v="ZTSM"/>
        <s v="ZTTA"/>
        <s v="ZTZS"/>
        <s v="ZVAL"/>
        <s v="ZVHM"/>
        <s v="ZVLC"/>
        <s v="ZXCO"/>
      </sharedItems>
    </cacheField>
    <cacheField name="Location" numFmtId="0">
      <sharedItems>
        <s v="999 Caloocan"/>
        <s v="Zabarte Town Center"/>
        <s v="Ayala Feliz"/>
        <s v="Ayala Fairview Terraces"/>
        <s v="Ali Mall"/>
        <s v="Ayala Marikina"/>
        <s v="Ardi Mall"/>
        <s v="Ayala Cloverleaf"/>
        <s v="Bluewave Marquinton"/>
        <s v="SM Cherry Antipolo"/>
        <s v="Circle C"/>
        <s v="Cherry Foodarama Congressional"/>
        <s v="Citymall of Antipolo"/>
        <s v="CentralMall Binangonan"/>
        <s v="Choice Market Ortigas"/>
        <s v="Culiat Town Center"/>
        <s v="Deca Mall"/>
        <s v="999 Divisoria"/>
        <s v="Ever Gotesco Commonwealth"/>
        <s v="Eton Centris"/>
        <s v="Eastwood Cyber &amp; Fashion Mall"/>
        <s v="Fisher Mall"/>
        <s v="Fishermall Malabon"/>
        <s v="Fairview Town Center Mall"/>
        <s v="Gen Luis Novaliches"/>
        <s v="Graceland Plaza"/>
        <s v="Greenhills"/>
        <s v="iMall Camarin"/>
        <s v="Ziti Center"/>
        <s v="Jackman Plaza"/>
        <s v="Kai Mall"/>
        <s v="Lucky ChinaTown Manila"/>
        <s v="Malabon Citisquare"/>
        <s v="Maginhawa Arcade"/>
        <s v="Mariposa Arcade"/>
        <s v="Metroplaza Bagong Silang"/>
        <s v="Marketplace Mandaluyong"/>
        <s v="Metroplaza Mall Malaria"/>
        <s v="Nova Plaza Mall"/>
        <s v="Paco Commercial Center"/>
        <s v="Puregold Cubao"/>
        <s v="Puregold Luvers"/>
        <s v="Puregold Novaliches"/>
        <s v="Puregold San Mateo"/>
        <s v="Puregold Sumulong"/>
        <s v="Puregold Tayuman"/>
        <s v="Primark Kasiglahan"/>
        <s v="Primark Cainta"/>
        <s v="Puregold Monumento"/>
        <s v="Puregold Paso De Blas"/>
        <s v="Roblou Town Center"/>
        <s v="RMR Square"/>
        <s v="Riverbanks"/>
        <s v="SM Hypermarket Cubao"/>
        <s v="Starmall EDSA Shaw"/>
        <s v="Sta. Lucia 2"/>
        <s v="Sta Lucia"/>
        <s v="SM Center Angono"/>
        <s v="SM Hypermarket Cainta"/>
        <s v="SM Hypermarket Mandaluyong"/>
        <s v="SM Hypermarket Novaliches"/>
        <s v="Super 8 Masinag"/>
        <s v="Susano Complex"/>
        <s v="Tiendesitas"/>
        <s v="Tutuban Center"/>
        <s v="UN Times Plaza"/>
        <s v="Victory Antipolo"/>
        <s v="Victory Good Earth"/>
        <s v="Victory Mall Plaza"/>
        <s v="Waltermart Antipolo"/>
        <s v="Waltermart North Edsa"/>
        <s v="Waltermart Caloocan"/>
        <s v="Waltermart E. Rodriguez"/>
        <s v="Waltermart Taytay"/>
        <s v="XRC Square Montana"/>
        <s v="Angono-FS"/>
        <s v="Anonas Quezon City-FS"/>
        <s v="Binangonan Rizal-FS"/>
        <s v="Banawe St. Quezon City-FS"/>
        <s v="Bagong Silang Caloocan City-FS"/>
        <s v="Baras Rizal - FS"/>
        <s v="Balic-Balic Sampaloc - FS"/>
        <s v="Dalandanan Valenzuela-FS"/>
        <s v="Felix Avenue Cainta - FS"/>
        <s v="Hidalgo Quiapo-FS"/>
        <s v="Karuhatan-FS"/>
        <s v="Kamuning Quezon City - FS"/>
        <s v="Katipunan Quezon City-FS"/>
        <s v="Lilac Marikina City-FS"/>
        <s v="Malanday Valenzuela-FS"/>
        <s v="Maypajo Caloocan City-FS"/>
        <s v="Marulas Valenzuela-FS"/>
        <s v="Marc Square Taytay-FS"/>
        <s v="Maysan Valenzuela-FS"/>
        <s v="Montalban-FS"/>
        <s v="Naval Navotas"/>
        <s v="Nangka Marikina-FS"/>
        <s v="Sangandaan Caloocan City-FS"/>
        <s v="San Isidro Rodriguez Rizal - FS"/>
        <s v="Suki Market Dapitan - FS"/>
        <s v="Banisilan Cotabato-FS"/>
        <s v="Calinan Davao City 2-FS"/>
        <s v="Dalican Maguindanao-FS"/>
        <s v="Kalamansig Sultan Kudarat-FS"/>
        <s v="Laak Commercial Building - FS"/>
        <s v="Lebak Sultan Kudarat-FS"/>
        <s v="Makilala North Cotabato-FS"/>
        <s v="Santa Maria Davao Occidental - FS"/>
        <s v="San Miguel Tagum-FS"/>
        <s v="Uyanguren Davao City - FS"/>
        <s v="Gaisano Grand Cabadbaran"/>
        <s v="Gaisano Butuan"/>
        <s v="Manukan Zamboanga Del Norte-FS"/>
        <s v="Limketkai Center"/>
        <s v="Baungon Bukidnon-FS"/>
        <s v="Kalilangan Centro-FS"/>
        <s v="Lamitan Basilan-FS"/>
        <s v="Labangan Zamboanga-FS"/>
        <s v="Lantapan Bukidnnon FS"/>
        <s v="Wao - FS"/>
        <s v="Bulua Cagayan de Oro-FS"/>
        <s v="Ayala Mall 30th"/>
        <s v="iMall Antipolo"/>
        <s v="Massway Mall Tanay"/>
        <s v="Puregold Taytay"/>
        <s v="SM Hypermarket Antipolo"/>
        <s v="Ayala Feliz (Mr TOY)"/>
        <s v="Ayala Marikina (Mr TOY)"/>
        <s v="Sta. Lucia (Mr TOY)"/>
        <s v="Xentromall Rodriguez"/>
        <s v="Manggahan Pasig - FS"/>
        <s v="Citymall Anabu"/>
        <s v="One Ayala"/>
        <s v="Parañaque Integrated Terminal Exchange 2"/>
        <s v="Southgate Mall Makati"/>
        <s v="SM Hypermarket Alabang Zapote Road"/>
        <s v="Ayala Manila Bay (Mr TOY)"/>
        <s v="The Square Mall 2"/>
        <s v="Venice Mckinley Mall"/>
        <s v="Waltermart Makati"/>
        <s v="Quezon Palawan-FS"/>
        <s v="Mangaldan Town Center"/>
        <s v="Puregold Bustos"/>
        <s v="SM Megacenter Cabanatuan"/>
        <s v="Ayala Harbor Point (Mr TOY)"/>
        <s v="Waltermart Concepcion Tarlac"/>
        <s v="Tuoa Cagayan Valley - FS"/>
        <s v="SM City Daet"/>
        <s v="Victory Central Mall Sta. Rosa"/>
        <s v="Caramoan Camarines Sur-FS"/>
        <s v="Starmall Talisay Cebu"/>
        <s v="One Pacita Cebu City"/>
        <s v="SM Hypermarket Iloilo"/>
        <s v="SM Iloilo Markets-Terminal"/>
        <s v="Bindoy, Negros Oriental - FS"/>
        <s v="Guimbal Iloilo-FS"/>
        <s v="Ibajay Aklan-FS"/>
        <s v="Jimalalud Negros Oriental - FS"/>
        <s v="The Galleria-FS"/>
        <s v="Gaisano Grand Argao"/>
        <s v="Caibiran Bilran-FS"/>
        <s v="Hinunangan Leyte-FS"/>
        <s v="Liloan Leyte-FS"/>
        <s v="Lutopan Toledo City - FS"/>
        <s v="Oras Eastern Samar-FS"/>
        <s v="Saint Bernard Southern Leyte-FS"/>
        <s v="San Mateo Rizal-FS"/>
        <s v="Sta. Quiteria Quezon City-FS"/>
        <s v="Stop and Shop Manila-FS"/>
        <s v="Suntin Mart Caloocan-FS"/>
        <s v="Timog Avenue-FS"/>
        <s v="Tanay-FS"/>
        <s v="Teresa Rizal-FS"/>
        <s v="Visayas Avenue Quezon City-FS"/>
        <s v="Wilson San Juan-FS"/>
        <s v="Ayala Manila Bay"/>
        <s v="Ayala South Park"/>
        <s v="CentralMall Binan Laguna"/>
        <s v="California Garden Square"/>
        <s v="Colours Town Center"/>
        <s v="CentralMall Cavite"/>
        <s v="Cornerstone Arcade"/>
        <s v="Chinatown Puerto Princesa"/>
        <s v="Festival Mall"/>
        <s v="Gaisano Alabang Town Center"/>
        <s v="GIG Mall"/>
        <s v="L'Paseo Arcade Indang"/>
        <s v="Lotus Mall"/>
        <s v="Main Square Bacoor"/>
        <s v="Metro Star Mall"/>
        <s v="Puregold Sucat"/>
        <s v="Puregold Tanza"/>
        <s v="Puregold Taguig"/>
        <s v="Premier Plaza"/>
        <s v="Portal Mall"/>
        <s v="Paseo De Amadeo"/>
        <s v="Pavilion Mall"/>
        <s v="RFC Molino Mall"/>
        <s v="Southwoods"/>
        <s v="SM Center Muntinlupa"/>
        <s v="SM City Rosario"/>
        <s v="SM City Sucat"/>
        <s v="SM Hypermarket Makati"/>
        <s v="Stadium Shopping Strip"/>
        <s v="SM Hypermarket Taguig"/>
        <s v="Unimart Capitol Commons"/>
        <s v="Vista Mall Taguig"/>
        <s v="Victory Pasay Mall"/>
        <s v="Vista Mall Tanza"/>
        <s v="Ventura Mall"/>
        <s v="Waltermart Pasay"/>
        <s v="Waltermart Dasmarinas"/>
        <s v="Waltermart Bacoor"/>
        <s v="Waltermart Bicutan"/>
        <s v="Waltermart Muntinlupa"/>
        <s v="Waltermart Naic"/>
        <s v="Waltermart Silang"/>
        <s v="Waltermart Trece Martires"/>
        <s v="Waltermart Sucat"/>
        <s v="Binakayan Kawit Cavite-FS"/>
        <s v="Bulihan Silang-FS"/>
        <s v="Binan Laguna-FS"/>
        <s v="Bahayang Pag-asa Imus-FS"/>
        <s v="BF Resort Drive Las Pinas City-FS"/>
        <s v="Brookes Point Palawan-FS"/>
        <s v="Evangelista Makati-FS"/>
        <s v="Cavite City-FS"/>
        <s v="Evacom Paranaque-FS"/>
        <s v="Green Square 2 Gen Trias -FS"/>
        <s v="Harvest Market Place Cavite-FS"/>
        <s v="Imus City Cavite-FS"/>
        <s v="Kimston Plaza-FS"/>
        <s v="Malagasang Imus Cavite-FS"/>
        <s v="Malibay Pasay - FS"/>
        <s v="Marahan Alfonso FS"/>
        <s v="M Space Tagaytay"/>
        <s v="Muntinlupa City-FS"/>
        <s v="NCCC Palawan-FS"/>
        <s v="Noveleta Cavite-FS"/>
        <s v="Narra Palawan-FS"/>
        <s v="Patindig Araw Imus-FS"/>
        <s v="Pateros-FS"/>
        <s v="Petron Diego Silang-FS"/>
        <s v="Pedro Gil Sta. Ana-FS"/>
        <s v="Rosario Cavite-FS"/>
        <s v="Roxas Palawan-FS"/>
        <s v="Silang Cavite-FS"/>
        <s v="Suki Market Laguna - FS"/>
        <s v="Sicsican Puerto Princesa Palawan-FS"/>
        <s v="Taguig General Luna-FS"/>
        <s v="TGC Tagaytay-FS"/>
        <s v="Tagaytay Olivarez Plaza-FS"/>
        <s v="Taytay Palawan-FS"/>
        <s v="Valley 1 Paranaque-FS"/>
        <s v="Zapote Bacoor-FS"/>
        <s v="Alcala Cagayan Arcade"/>
        <s v="Aliw Complex Meycauayan"/>
        <s v="Alaminos Pangasinan"/>
        <s v="Ayala Subic Bay"/>
        <s v="CB Mall"/>
        <s v="City Center Fairlane"/>
        <s v="Cedar Peak"/>
        <s v="Castillejos Zambales"/>
        <s v="Citywalk"/>
        <s v="El Mercado De Calumpit"/>
        <s v="Global Plaza Mexico"/>
        <s v="Guagua Arcade"/>
        <s v="Global Plaza San Simon"/>
        <s v="Gaisano Marquee Mall"/>
        <s v="Getha Road Tarlac"/>
        <s v="Hermosa Bataan"/>
        <s v="Iba Town Center"/>
        <s v="Jumbo Jenra Apalit"/>
        <s v="Jumbo Jenra Dolores"/>
        <s v="Jumbo Jenra Sindalan"/>
        <s v="Jumbo Jenra Angeles"/>
        <s v="Lasam Cagayan Arcade"/>
        <s v="Magic Calasiao"/>
        <s v="Malolos Bayan"/>
        <s v="Mabalacat Square Pampanga"/>
        <s v="Magic Sta. Cruz"/>
        <s v="Manna Mall"/>
        <s v="Marilao Bulacan Arcade"/>
        <s v="Metro Town Mall"/>
        <s v="NE Pacific Mall"/>
        <s v="Naguilian"/>
        <s v="North Star Ilagan"/>
        <s v="Primark Bambang"/>
        <s v="Primark Cabiao"/>
        <s v="Primark Center Tagudin"/>
        <s v="Primark Cauayan"/>
        <s v="Pandi Bulacan Arcade"/>
        <s v="Puregold Bocaue"/>
        <s v="Puregold Dau"/>
        <s v="Puregold Guiguinto"/>
        <s v="Puregold Maria Aurora"/>
        <s v="Puregold Magalang"/>
        <s v="Puregold Maunlad"/>
        <s v="Puregold NE Zulueta"/>
        <s v="Primark Aringay"/>
        <s v="Primark Aparri"/>
        <s v="Primark Macabebe"/>
        <s v="Primark Solana"/>
        <s v="San Carlos Town Center"/>
        <s v="SICC San Ildefonso Bulacan"/>
        <s v="SM Center Pulilan"/>
        <s v="SM Center Tuguegarao"/>
        <s v="San Rafael Massway Mall"/>
        <s v="Starmall San Jose Del Monte"/>
        <s v="TM Centerpoint"/>
        <s v="The Shoppes at The Infinity"/>
        <s v="Vista Mall Bataan"/>
        <s v="Waltermart Balanga"/>
        <s v="Waltermart Cabanatuan"/>
        <s v="Waltermart Arayat"/>
        <s v="Waltermart Altaraza"/>
        <s v="Waltermart Baliuag"/>
        <s v="Waltermart Capas"/>
        <s v="Waltermart Gapan"/>
        <s v="Waltermart Malolos"/>
        <s v="Waltermart Mabalacat"/>
        <s v="Waltermart Plaridel"/>
        <s v="Waltermart Talavera"/>
        <s v="Waltermart Paniqui"/>
        <s v="Waltermart Subic"/>
        <s v="Waltermart San Fernando"/>
        <s v="Waltermart San Jose"/>
        <s v="Waltermart Sta Maria"/>
        <s v="Xentro Balagtas"/>
        <s v="Xentromall Cabagan"/>
        <s v="XMart Hagonoy"/>
        <s v="Xentro Mall Malolos"/>
        <s v="Xentro Santiago"/>
        <s v="Xentro Mall Roxas"/>
        <s v="Abulug Cagayan-FS"/>
        <s v="Astro Park Clark Maingate, Angeles City - FS"/>
        <s v="Angeles City Pampanga-FS"/>
        <s v="Angat Bulacan-FS"/>
        <s v="Alicia Isabela-FS"/>
        <s v="Agoo La Union - FS"/>
        <s v="Aliaga Nueva Ecija-FS"/>
        <s v="Aparri Cagayan-FS"/>
        <s v="Apalit Pampanga-FS"/>
        <s v="Aurora Isabela-FS"/>
        <s v="Asingan Pangasinan-FS"/>
        <s v="Bacnotan La Union-FS"/>
        <s v="Baler Aurora-FS"/>
        <s v="Bacarra Ilocos Norte - FS"/>
        <s v="Bangued Abra-FS"/>
        <s v="Baggao Cagayan-FS"/>
        <s v="Batac Ilocos Norte-FS"/>
        <s v="Balanga-FS"/>
        <s v="Bauang La Union-FS"/>
        <s v="Bamban Tarlac-FS"/>
        <s v="Bongabon Nueva Ecija-FS"/>
        <s v="Bayombong Nueva Vizcaya-FS"/>
        <s v="Bulanao Tabuk Kalinga-FS"/>
        <s v="Buntun Tuguegarao-FS"/>
        <s v="Bayambang Pangasinan-FS"/>
        <s v="Cabugao Ilocos Sur-FS"/>
        <s v="Cordon Isabela -FS"/>
        <s v="Claveria Cagayan FS"/>
        <s v="Camiling Tarlac-FS"/>
        <s v="Cay Pombo Bulacan-FS"/>
        <s v="Concepcion Tarlac-FS"/>
        <s v="Cauayan City Isabela-FS"/>
        <s v="Dagupan Pangasinan-FS"/>
        <s v="Dinalupihan Bataan-FS"/>
        <s v="Echague Isabela-FS"/>
        <s v="Floridablanca Pampanga-FS"/>
        <s v="Friendship Hiway Angeles City-FS"/>
        <s v="Guimba Nueva Ecija-FS"/>
        <s v="Gapan Nueva Ecija-FS"/>
        <s v="Guagua Pampanga-FS"/>
        <s v="Iba Zambales-FS"/>
        <s v="Ilagan City Isabela-FS"/>
        <s v="Iguig Cagayan-FS"/>
        <s v="Jaen Nueva Ecija-FS"/>
        <s v="Laoag Bacarra - FS"/>
        <s v="Limay Bataan 2-FS"/>
        <s v="Lubao, Pampanga - FS"/>
        <s v="Lal-lo Cagayan-FS"/>
        <s v="Laoag City, Ilocos Norte FS"/>
        <s v="Limay Bataan -FS"/>
        <s v="Lupao Nueva Ecija-FS"/>
        <s v="Luisita Tarlac-FS"/>
        <s v="Maddela Quirino-FS"/>
        <s v="Mangatarem Pangasinan-FS"/>
        <s v="Manaoag Pangasinan-FS"/>
        <s v="Mapandan Pangasinan-FS"/>
        <s v="Masinloc Zambales-FS"/>
        <s v="Munoz Nueva Ecija - FS"/>
        <s v="Mariveles Bataan-FS"/>
        <s v="Muzon Bulacan-FS"/>
        <s v="San Nicolas Ilocos Norte-FS"/>
        <s v="Narvacan Ilocos Sur-FS"/>
        <s v="Olongapo FS 2"/>
        <s v="Olongapo-FS"/>
        <s v="Orani Bataan-FS"/>
        <s v="Plaridel Bulacan-FS"/>
        <s v="Paniqui Tarlac-FS"/>
        <s v="Porac Pampanga-FS"/>
        <s v="Rosario La Union-FS"/>
        <s v="Rizal Nueva Ecija-FS"/>
        <s v="Rosales Pangasinan-FS"/>
        <s v="San Antonio, Nueva Ecija-FS"/>
        <s v="Subic Zambales-FS"/>
        <s v="Santa Cruz Ilocos Sur - FS"/>
        <s v="Sto Domongp Ilocos Sur FS"/>
        <s v="San Fernando-FS"/>
        <s v="San Fernando La Union-FS"/>
        <s v="San Isidro Nueva Ecija-FS"/>
        <s v="San Jose del Monte Bulacan-FS"/>
        <s v="San Jacinto Pangasinan-FS"/>
        <s v="San Miguel Bulacan-FS"/>
        <s v="Sanchez Mira Cagayan - FS"/>
        <s v="San Mateo Isabela-FS"/>
        <s v="Solano Nueva Vizcaya-FS"/>
        <s v="San Pablo Lubao-FS"/>
        <s v="Sta. Rosa Nueva Ecija-FS"/>
        <s v="Sta Rita Pampanga FS"/>
        <s v="Santiago Isabela-FS"/>
        <s v="Tabuk Dagupan-FS"/>
        <s v="Tuguegarao City Cagayan-FS"/>
        <s v="Tumauini Isabela-FS"/>
        <s v="Talavera Nueva Ecija-FS"/>
        <s v="Tayug Pangasinan-FS"/>
        <s v="Urdaneta Pangasinan-FS"/>
        <s v="Vigan FS"/>
        <s v="Vigan, Ilocos Sur 2-FS"/>
        <s v="Villasis, Pangasinan - FS"/>
        <s v="Zaragoza Nueva Ecija-FS"/>
        <s v="Calauan Town Center"/>
        <s v="Citimart Batangas"/>
        <s v="D&amp;K Building"/>
        <s v="E-Mall Naga"/>
        <s v="iMall Famy Laguna"/>
        <s v="Gaisano Camsur"/>
        <s v="iMall Canlubang"/>
        <s v="LCC Mall Daraga"/>
        <s v="LCC Mall Naga"/>
        <s v="LCC Mall Polangui 2"/>
        <s v="Mainstreet Plaza San Pablo"/>
        <s v="Nuciti Central Calapan"/>
        <s v="Olivarez Plaza Los Banos"/>
        <s v="Puregold Naga Diversion"/>
        <s v="Pacific Mall Lucena"/>
        <s v="Pacific Mall Legazpi"/>
        <s v="Primark Catanauan"/>
        <s v="SM Hypermarket Daet"/>
        <s v="SM Center Lemery"/>
        <s v="SQA Corporate Center"/>
        <s v="SM Hypermarket Rosario"/>
        <s v="Sunstar Mall"/>
        <s v="Bongabong Oriental Mindoro-FS"/>
        <s v="Tagkawayan BGS Bldg"/>
        <s v="The Lifestyle Strip Mall"/>
        <s v="The Outlets Lipa"/>
        <s v="Victory Mall Tanauan"/>
        <s v="Vista Mall Sta. Rosa"/>
        <s v="Virac Center Mall"/>
        <s v="Waltermart Batangas"/>
        <s v="Waltermart Candelaria"/>
        <s v="Waltermart Makiling"/>
        <s v="Waltermart San Pascual"/>
        <s v="Waltermart Tanauan"/>
        <s v="Waltermart Sta. Rosa Bel Air"/>
        <s v="Waltermart Sta Rosa"/>
        <s v="Xentro Calapan"/>
        <s v="Xentro Mall Lemery"/>
        <s v="Atimonan FS"/>
        <s v="Boac Marinduque-FS"/>
        <s v="Balayan Batangas-FS"/>
        <s v="Bauan Batangas-FS"/>
        <s v="Nabua Camarines Sur-FS"/>
        <s v="Banay Banay Cabuyao Laguna - FS"/>
        <s v="Bulan Sorsogon-FS"/>
        <s v="Cabuyao Bayan-FS"/>
        <s v="Calabanga Camarines Sur-FS"/>
        <s v="Candelaria Quezon-FS"/>
        <s v="Calamba City Laguna-FS"/>
        <s v="Calaca Batangas-FS"/>
        <s v="Calauan Laguna-FS"/>
        <s v="Calapan Mindoro-FS"/>
        <s v="Daet Camarines Norte FS"/>
        <s v="Guinobatan Albay-FS"/>
        <s v="Gubat Sorsogon-FS"/>
        <s v="Goa Camarines Sur-FS"/>
        <s v="Gumaca Quezon-FS"/>
        <s v="Halang Calamba-FS"/>
        <s v="Infanta Quezon FS"/>
        <s v="Iriga City-FS"/>
        <s v="Irosin Sorsogon-FS"/>
        <s v="Labo Camarines Norte-FS"/>
        <s v="Lucban Quezon-FS"/>
        <s v="Lucena 2-FS"/>
        <s v="Lipa Exchange Batangas-FS"/>
        <s v="Ligao Albay-FS"/>
        <s v="Legazpi City Albay-FS"/>
        <s v="Lemery Batangas-FS"/>
        <s v="Lipa City Batangas-FS"/>
        <s v="Lopez Quezon-FS"/>
        <s v="Lucena-FS"/>
        <s v="Masbate City-FS"/>
        <s v="Mauban Quezon-FS"/>
        <s v="Mamburao Occidental Mindoro-FS"/>
        <s v="Naga Centro-FS"/>
        <s v="Najuan Mindoro-FS"/>
        <s v="Nasugbu Batangas-FS"/>
        <s v="Odiongan Romblon-FS"/>
        <s v="Old Albay District Legazpi-FS"/>
        <s v="Diversion Road Brgy. Talipan Pagbilao Quezon"/>
        <s v="Poblacion Sta. Cruz Laguna-FS"/>
        <s v="Pili Camarines Sur-FS"/>
        <s v="Pinamalayan Oriental Mindoro-FS"/>
        <s v="Pagsanjan Laguna-FS"/>
        <s v="Pilar Sorsogon-FS"/>
        <s v="Puerto Galera - FS"/>
        <s v="Rosario Batangas-FS"/>
        <s v="Santa Cruz Marinduque-FS"/>
        <s v="Sipocot Camarines Sur-FS"/>
        <s v="San Juan Batangas-FS"/>
        <s v="San Jose Occidental Mindoro-FS"/>
        <s v="Sablayan Occidental Mindoro-FS"/>
        <s v="San Pablo City Laguna-FS"/>
        <s v="Sariaya Quezon-FS"/>
        <s v="Sorsogon City-FS"/>
        <s v="Tabaco City Albay-FS"/>
        <s v="Tabaco City Albay 2 - FS"/>
        <s v="Tigaon Camarines Sur-FS"/>
        <s v="Tiaong Quezon-FS"/>
        <s v="Tinambac Camarines Sur-FS"/>
        <s v="Tayabas Quezon-FS"/>
        <s v="Victoria Oriental Mindoro-FS"/>
        <s v="888 Chinatown Square Bacolod"/>
        <s v="Ayala Capitol Bacolod"/>
        <s v="Abacus Mall"/>
        <s v="Alpha 1 Barotac Viejo Iloilo"/>
        <s v="Zarraga Town Center Iloilo"/>
        <s v="Ayala Central Bloc"/>
        <s v="Ayala Center Cebu"/>
        <s v="Bacong Leon Kilat Mall"/>
        <s v="Boracay Food Alley"/>
        <s v="Benelio Square Pavia Iloilo"/>
        <s v="Centroplex Mall"/>
        <s v="Citymall Golden Fields"/>
        <s v="Citymall Mandalagan"/>
        <s v="Citymall Roxas"/>
        <s v="Citymall Victorias"/>
        <s v="Guadalupe Commercial Building Cebu"/>
        <s v="Gaisano Capital Lapaz"/>
        <s v="Gaisano Capital Balasan"/>
        <s v="Gaisano Grand City Central"/>
        <s v="Gaisano Grand Roxas Marketplace"/>
        <s v="Gaisano Grand Sara Iloilo"/>
        <s v="Golden Paragon Shopping Center"/>
        <s v="GT Town Center Pavia"/>
        <s v="Gaisano Araneta Avenue"/>
        <s v="Gaisano Capital Janiuay Iloilo"/>
        <s v="Gaisano Capital San Carlos"/>
        <s v="GT Plaza Mall Molo"/>
        <s v="Marymart Center"/>
        <s v="NMCM Commercial Complex"/>
        <s v="Puregold Bayawan"/>
        <s v="Puregold Banago"/>
        <s v="Puregold Oton"/>
        <s v="Leah Mall Naga"/>
        <s v="Puregold Ubay"/>
        <s v="Prince Himamaylan"/>
        <s v="Puregold Kabankalan"/>
        <s v="Petra Plaza Mandurriao"/>
        <s v="Pontevedra Town Center Capiz"/>
        <s v="Plazuela Tres Pavia Iloilo"/>
        <s v="Primeway Cebu"/>
        <s v="Sibalom Antique"/>
        <s v="SM Hypermarket Cadiz"/>
        <e v="#N/A"/>
        <s v="Savemore Market Fortune Town"/>
        <s v="Vibo Place"/>
        <s v="Vista Mall Oton"/>
        <s v="Citymall Tagbak"/>
        <s v="Ajuy Iloilo-FS"/>
        <s v="Ayungon Negros Oriental-FS"/>
        <s v="Amar Plaza Bacolod-FS"/>
        <s v="Altavas Aklan-FS"/>
        <s v="Bayawan Negros Oriental-FS"/>
        <s v="Bago City-FS"/>
        <s v="Banga Aklan-FS"/>
        <s v="Bais Negros Oriental-FS"/>
        <s v="Barotac Nuevo Iloilo - FS"/>
        <s v="Binalbagan Negros Occidental-FS"/>
        <s v="Suvil Town Center"/>
        <s v="Buenavista Guimaras-FS"/>
        <s v="Cadiz city, Negros Occidental -FS"/>
        <s v="Canlaon, Negros Oriental - FS"/>
        <s v="Carmen Bohol-FS"/>
        <s v="Cauayan Negros Occidental-FS"/>
        <s v="Dancalan Ilog Negros Occidental-FS"/>
        <s v="Dumaguete-FS"/>
        <s v="Dumaguete City 2 Negros Oriental-FS"/>
        <s v="Dauin Negros Oriental-FS"/>
        <s v="Estancia Iloilo - FS"/>
        <s v="G2 Building Kalibo-FS"/>
        <s v="Granada Bacolod FS"/>
        <s v="The Galleria Jaro 2-FS"/>
        <s v="Guihulngan Negros Oriental-FS"/>
        <s v="Hinoba-an, Negros Occidental - FS"/>
        <s v="Hinigaran Negros Occidental-FS"/>
        <s v="Iznart Iloilo-FS"/>
        <s v="JAL Commercial Building Talisay-FS"/>
        <s v="Jordan Guimaras-FS"/>
        <s v="J.M. Basa Iloilo City-FS"/>
        <s v="Kalibo-FS"/>
        <s v="Kabankalan Negros Occidental-FS"/>
        <s v="Lambunao Iloilo-FS"/>
        <s v="La Castellana Negros Occidental-FS"/>
        <s v="La Carlota City Negros Occidental-FS"/>
        <s v="Leganes Iloilo-FS"/>
        <s v="Leon Iloilo-FS"/>
        <s v="Ma-Ao Bago City-FS"/>
        <s v="Mansilingan Bacolod - FS"/>
        <s v="Mambusao Capiz FS"/>
        <s v="Mabinay, Negros Oriental - FS"/>
        <s v="Minglanilla Cebu 2-FS"/>
        <s v="Minglanilla Cebu-FS"/>
        <s v="Miagao Iloilo - FS"/>
        <s v="E.B Magalona Negros Occidental-FS"/>
        <s v="Quezon Iloilo City-FS"/>
        <s v="Manapla Negros Occidental FS"/>
        <s v="Murcia Negros Occidental-FS"/>
        <s v="Nueva Valencia Guimaras-FS"/>
        <s v="Poblacion Talisay-FS"/>
        <s v="Panglao Bohol-FS"/>
        <s v="Punta Princesa -FS"/>
        <s v="President Roxas Capiz-FS"/>
        <s v="Paseo Arcenas-FS"/>
        <s v="Passi City Iloilo-FS"/>
        <s v="Pototan Iloilo-FS"/>
        <s v="Pontevedra, Negros Occidental - FS"/>
        <s v="Real St. Dumaguete-FS"/>
        <s v="Sum Ag Bacolod City-FS"/>
        <s v="San Carlos City Negros Occidental-FS"/>
        <s v="Sibulan Dumaguete-FS"/>
        <s v="Sagay City Negros Occidental-FS"/>
        <s v="Sipalay Negros Occidental-FS"/>
        <s v="San Jose Antique - FS"/>
        <s v="Silay Negros Occidental-FS"/>
        <s v="Tagbilaran 2 Bohol-FS"/>
        <s v="Tagbilaran Bohol-FS"/>
        <s v="Tagbilaran 3 Bohol-FS"/>
        <s v="Tubigon Bohol FS"/>
        <s v="Talibon Bohol-FS"/>
        <s v="Tabunok Cebu-FS"/>
        <s v="Tabunok Talisay-FS"/>
        <s v="Talisay Negros Occidental-FS"/>
        <s v="Trinidad Bohol-FS"/>
        <s v="Tanjay Negros Oriental-FS"/>
        <s v="The Triangle Roxas City-FS"/>
        <s v="Talisay Cebu-FS"/>
        <s v="Trade Town San Jose Antique-FS"/>
        <s v="Upper East Bacolod - FS"/>
        <s v="Victorias City Negros Occidental-FS"/>
        <s v="Valencia, Negros Oriental FS"/>
        <s v="Alba Center Marigondon"/>
        <s v="Anilao Bridge Plaza"/>
        <s v="APM Centrale"/>
        <s v="Al Nor Mall"/>
        <s v="Ayala Abreeza"/>
        <s v="Citymall Isulan"/>
        <s v="Digos Business Center"/>
        <s v="Center Point Plaza"/>
        <s v="Central Warehouse Lupon"/>
        <s v="Central Warehouse Kidapawan"/>
        <s v="Central Warehouse Panabo"/>
        <s v="Gaisano Digos"/>
        <s v="Gaisano Grand City Gate Buhangin"/>
        <s v="Gaisano Grand Marketplace Digos"/>
        <s v="Gaisano Grand Panabo"/>
        <s v="Gaisano Grand Polomolok"/>
        <s v="Gaisano Grand Tagum"/>
        <s v="Gaisano Grand Tibungco"/>
        <s v="Baybay Central Mall"/>
        <s v="Babag Mall Lapu Lapu City"/>
        <s v="Bogo City Centrium"/>
        <s v="Citymall Bacalso"/>
        <s v="Citymall Danao"/>
        <s v="City Mall Consolacion"/>
        <s v="CTPI Cordova Cebu"/>
        <s v="Elizabeth Mall"/>
        <s v="Gaisano Grand Balamban"/>
        <s v="Gaisano Grand Mactan"/>
        <s v="Gaisano Grand Mandaue Centro"/>
        <s v="Gaisano Grand Mandaue North"/>
        <s v="Lagundi Gaisano Grand Oslob"/>
        <s v="Gmall Cebu"/>
        <s v="Gaisano Country Mall"/>
        <s v="Gaisano Grand Maasin"/>
        <s v="Gaisano Super Metro Colon"/>
        <s v="Gaisano Metro Hilongos"/>
        <s v="Gaisano Tacloban"/>
        <s v="Island Central Mactan"/>
        <s v="Insular Square Mandaue"/>
        <s v="LG Garden Walk Mactan"/>
        <s v="Liloan Bay Mall"/>
        <s v="Maasin Commercial"/>
        <s v="Mactan Town"/>
        <s v="North Drive Cebu"/>
        <s v="Ouano Grand Center"/>
        <s v="Primark Sogod"/>
        <s v="Plumera Square Mactan"/>
        <s v="Prince Baybay"/>
        <s v="Primark Caibaan"/>
        <s v="Parkmall"/>
        <s v="Paradise Square Mandaue City"/>
        <s v="Pacific Mall Mandaue"/>
        <s v="SM Hypermarket Mactan"/>
        <s v="Springwood District"/>
        <s v="The Retail Bloc Mandaue"/>
        <s v="7-Arts Building Cebu-FS"/>
        <s v="Abuyog Leyte-FS"/>
        <s v="Alangalang Leyte-FS"/>
        <s v="Allen Northern Samar FS"/>
        <s v="Abucay Tacloban City-FS"/>
        <s v="Bogo City-FS"/>
        <s v="Barili Cebu-FS"/>
        <s v="Borongan Samar - FS"/>
        <s v="Burauen Leyte-FS"/>
        <s v="Balamban Cebu-FS"/>
        <s v="Bato Leyte-FS"/>
        <s v="Bantayan Cebu 2-FS"/>
        <s v="Bantayan Cebu-FS"/>
        <s v="Carbon Cebu-FS"/>
        <s v="Catbalogan Samar-FS"/>
        <s v="Calbayog City-FS"/>
        <s v="Carcar City Cebu-FS"/>
        <s v="Carigara Leyte-FS"/>
        <s v="Catarman Northern Samar-FS"/>
        <s v="Consolacion Cebu - FS"/>
        <s v="Cameo Town Center Samar-FS"/>
        <s v="Catarman Diversion-FS"/>
        <s v="Daan Bantayan Cebu-FS"/>
        <s v="Dolores Samar-FS"/>
        <s v="Danao Cebu-FS"/>
        <s v="Gandara Samar - FS"/>
        <s v="Guiuan Samar-FS"/>
        <s v="Isabel Leyte-FS"/>
        <s v="Jakosalem Cebu-FS"/>
        <s v="Kananga Leyte-FS"/>
        <s v="Lapu Lapu Cebu-FS"/>
        <s v="Liloan Cebu-FS"/>
        <s v="McArthur Leyte-FS"/>
        <s v="Moal Boal Cebu - FS"/>
        <s v="Marasbaras Tacloban - FS"/>
        <s v="Ormoc City-FS"/>
        <s v="Palo Commercial Building-FS"/>
        <s v="Palompon Leyte-FS"/>
        <s v="Palo Market Leyte-FS"/>
        <s v="Pinamungajan Cebu - FS"/>
        <s v="Sibonga Cebu-FS"/>
        <s v="San Fernando Cebu - FS"/>
        <s v="Tuburan Cebu-FS"/>
        <s v="Toledo Cebu City-FS"/>
        <s v="Tacloban-FS"/>
        <s v="Tanauan Leyte-FS"/>
        <s v="Villaba Leyte-FS"/>
        <s v="Naval Biliran-FS"/>
        <s v="Gaisano Grand Toril"/>
        <s v="Gmall Davao"/>
        <s v="Gaisano Grand Mall Carmen"/>
        <s v="Gaisano Tagum"/>
        <s v="Gaisano Toril"/>
        <s v="J&amp;G Town Center Mabuhay"/>
        <s v="KMCC Kidapawan"/>
        <s v="Mall of Ace Koronadal"/>
        <s v="NCCC Mall Buhangin"/>
        <s v="NCCC Panacan"/>
        <s v="NCCC Mall Tagum"/>
        <s v="Puregold Lanang"/>
        <s v="Primark Tacurong"/>
        <s v="Sta. Lucia Mall Davao"/>
        <s v="Sunscore Grocerama"/>
        <s v="Time Square Davao"/>
        <s v="Agdao Davao City"/>
        <s v="Asuncion Davao Del Norte-FS"/>
        <s v="Awang Datu Odin Maguindanao-FS"/>
        <s v="Alabel Sarangani-FS"/>
        <s v="Alamada Cotabato-FS"/>
        <s v="Antipas North Cotabato-FS"/>
        <s v="Baganga Davao Oriental-FS"/>
        <s v="Bansalan Davao Del Sur - FS"/>
        <s v="Cabaguio Davao City - FS"/>
        <s v="Calinan Davao City FS"/>
        <s v="Compostela Davao de Oro- FS"/>
        <s v="Cateel Davao Oriental-FS"/>
        <s v="Cotabato City Downtown-FS"/>
        <s v="Calumpang Gensan-FS"/>
        <s v="Cotabato Mega Market - FS"/>
        <s v="Catalunan Davao City-FS"/>
        <s v="Cotabato Uptown-FS"/>
        <s v="Esperanza Sultan Kudarat-FS"/>
        <s v="Gov Generoso Davao-FS"/>
        <s v="General Santos City 2-FS"/>
        <s v="General Santos City-FS"/>
        <s v="Glan Sarangani-FS"/>
        <s v="Isulan Sultan Kudarat-FS"/>
        <s v="Kabacan Cotabato-FS"/>
        <s v="Kapalong Davao Del Norte-FS"/>
        <s v="Kiamba Sarangani-FS"/>
        <s v="Koronadal South Cotabato 2-FS"/>
        <s v="Koronadal South Cotabato-FS"/>
        <s v="Libungan Cotabato FS"/>
        <s v="Lagao General Santos-FS"/>
        <s v="Maa Crisron Davao-FS"/>
        <s v="Maitum Sarangani FS"/>
        <s v="Maasim Sarangani-FS"/>
        <s v="Maragusan Davao De Oro-FS"/>
        <s v="Mati Davao Oriental-FS"/>
        <s v="Malita Davao Occidental-FS"/>
        <s v="Monkayo Davao De Oro-FS"/>
        <s v="M'Lang North Cotabato-FS"/>
        <s v="Midsayap North Cotabato-FS"/>
        <s v="Midsayap North Cotabato 2-FS"/>
        <s v="Matalam Cotabato-FS"/>
        <s v="Mintal Davao City-FS"/>
        <s v="Montevista Davao De Oro-FS"/>
        <s v="Nabunturan Davao De Oro-FS"/>
        <s v="Norala South Cotabato-FS"/>
        <s v="Pigcawayan Cotabato-FS"/>
        <s v="Panabo City Davao del Norte-FS"/>
        <s v="Padada Davao Del Sur-FS"/>
        <s v="Parang Maguindanao del Norte-FS"/>
        <s v="Pioneer Avenue Tagum-FS"/>
        <s v="Panabo City Davao del Norte 2 - FS"/>
        <s v="Polomolok South Cotabato-FS"/>
        <s v="Pantukan Davao de Oro-FS"/>
        <s v="Quezon Avenue Cotabato City-FS"/>
        <s v="R. Castillo Davao City-FS"/>
        <s v="Samal Davao Del Norte 2-FS"/>
        <s v="Samal Davao Del Norte-FS"/>
        <s v="San Isidro General Santos City-FS"/>
        <s v="Sto. Nino South Cotabato-FS"/>
        <s v="San Pedro Davao-FS"/>
        <s v="Surallah South Cotabato-FS"/>
        <s v="Sto. Tomas Davao Del Norte-FS"/>
        <s v="Tboli South Cotabo FS"/>
        <s v="Tagum City Davao Del Norte 2-FS"/>
        <s v="Tacurong City Sultan Kudarat-FS"/>
        <s v="Tagum City Davao Del Norte-FS"/>
        <s v="Tupi South Cotabato-FS"/>
        <s v="Upi Maguindanao del Norte-FS"/>
        <s v="Ayala Centrio CDO"/>
        <s v="Budgetwise Sangali"/>
        <s v="Budgetwise Ayala"/>
        <s v="Budgetwise Ipil"/>
        <s v="Budgetwise Talon-Talon"/>
        <s v="C3 Pagadian"/>
        <s v="Citymall Dipolog"/>
        <s v="Citymall Iponan"/>
        <s v="Central Warehouse San Francisco"/>
        <s v="Gaisano Capital Balingasag"/>
        <s v="Gaisano Capital Ozamiz"/>
        <s v="Geege Mall Ozamis"/>
        <s v="Gaisano Uptown Lumbia"/>
        <s v="L' Arcada"/>
        <s v="MPO Bldg. Zamboanga"/>
        <s v="One Cecilia Bldg"/>
        <s v="Pelaez Commercial Arcade 2"/>
        <s v="Puregold CDO"/>
        <s v="Parkway Mall Surigao"/>
        <s v="Robinsons CDO"/>
        <s v="Sophie Red Misamis Jasaan"/>
        <s v="Yubengco Starmall"/>
        <s v="Aglayan Bukidnon-FS"/>
        <s v="Agora CDO - FS"/>
        <s v="Alae Manolo Fortich - FS"/>
        <s v="Ampayon Butuan-FS"/>
        <s v="Araullo Pagadian-FS"/>
        <s v="Aurora Zamboanga Del Sur-FS"/>
        <s v="Barobo Surigao del Sur-FS"/>
        <s v="Batangan Valencia-FS"/>
        <s v="Bislig City Surigao Del Sur-FS"/>
        <s v="Balingasag Misamis Oriental-FS"/>
        <s v="Bayugan City Agusan del Sur 2-FS"/>
        <s v="Bagontaas Valencia-FS"/>
        <s v="Buenavista Agusan Del Norte-FS"/>
        <s v="Bayugan City Agusan del Sur-FS"/>
        <s v="Buug Zamboanga Sibugay-FS"/>
        <s v="Cabadbaran Agusan Del Norte-FS"/>
        <s v="Canitoan Cagayan De Oro-FS"/>
        <s v="Calamba Market Misamis Occidental-FS"/>
        <s v="City Arcade Oroquieta-FS"/>
        <s v="Carmen Cagayan De Oro-FS"/>
        <s v="CDO Cogon"/>
        <s v="Claveria Market Misamis Oriental-FS"/>
        <s v="Casisang Malaybalay FS"/>
        <s v="Claver Surigao Del Norte-FS"/>
        <s v="Canelar Zamboanga City-FS"/>
        <s v="Dangcagan Bukidnon-FS"/>
        <s v="Dologon Maramag-FS"/>
        <s v="Damilag Manolo Fortich-FS"/>
        <s v="Dipolog Highway-FS"/>
        <s v="Dipolog-FS"/>
        <s v="Dapitan Zamboanga del Norte-FS"/>
        <s v="FS Fajares Ave. Pagadian-FS"/>
        <s v="Gingoog Highway Misamis Oriental-FS"/>
        <s v="Gov Lim Zamboanga City-FS"/>
        <s v="Gingoog Market Misamis Oriental-FS"/>
        <s v="Gov Ramos Zamboanga-FS"/>
        <s v="Gen. Vicente Alvarez Zamboanga-FS"/>
        <s v="Guiwan Zamboanga City-FS"/>
        <s v="Hinatuan Surigao del Sur-FS"/>
        <s v="Iligan Aguinaldo-FS"/>
        <s v="Initao Misamis Oriental-FS"/>
        <s v="Ipil Public Market-FS"/>
        <s v="Imelda Zamboanga Sibugay-FS"/>
        <s v="J.C Aquino Ave. Butuan-FS"/>
        <s v="Kibawe Bukidnon-Fs"/>
        <s v="Kapatagan Lanao Del Norte - FS"/>
        <s v="Katipunan Zamboanga del Norte-FS"/>
        <s v="Kauswagan CDO-FS"/>
        <s v="Kabasalan Zamboanga Sibugay-FS"/>
        <s v="Langihan Butuan City-FS"/>
        <s v="Iligan-FS"/>
        <s v="Liloy Zamboanga Del Norte-FS"/>
        <s v="Malaybalay 2 Bukidnon-FS"/>
        <s v="Malaybalay Bukidnon-FS"/>
        <s v="Marawi City Lanao del Sur 2-FS"/>
        <s v="Madrid Surigao del Sur-FS"/>
        <s v="Manolo Fortich-FS"/>
        <s v="Maigo Market - FS"/>
        <s v="Mahayag Zamboanga Del Sur-FS"/>
        <s v="Maranding Lanao Del Norte-FS"/>
        <s v="Don Carlos Bukidnon-FS"/>
        <s v="Molave Zamboanga del Sur-FS"/>
        <s v="Medina Public Market-FS"/>
        <s v="Marawi City Lanao del Sur 3-FS"/>
        <s v="Marawi City Lanao del Sur-FS"/>
        <s v="Nasipit Agusan del Norte-FS"/>
        <s v="Nunez Zamboanga City-FS"/>
        <s v="Ozamiz City Hall-FS"/>
        <s v="Ozamiz-FS"/>
        <s v="Oroquieta Misamis Occidental-FS"/>
        <s v="Ozamiz 2-FS"/>
        <s v="Plaridel Misamis Occidental-FS"/>
        <s v="Pueblo Strip CDO Uptown-FS"/>
        <s v="Puerto Cagayan De Oro-FS"/>
        <s v="Quezon Ave. Dipolog-FS"/>
        <s v="Quezon Bukidnon-FS"/>
        <s v="Rizal Avenue Pagadian-FS"/>
        <s v="RT Lim Zamboanga Sibugay-FS"/>
        <s v="Sindangan Zamboanga del Norte-FS"/>
        <s v="San Francisco Agusan Del Sur-FS"/>
        <s v="San Francisco Villanueva Butuan-FS"/>
        <s v="San Jose Gusu Zamboanga City-FS"/>
        <s v="San Nicolas Surigao del Norte-FS"/>
        <s v="Surigao Highway-FS"/>
        <s v="Tibanga Iligan-FS"/>
        <s v="Tubod Iligan FS"/>
        <s v="Tubod Lanao Del Norte-FS"/>
        <s v="Tandag City Surigao del Sur-FS"/>
        <s v="Tudela Misamis-FS"/>
        <s v="Tangub Misamis Occidental-FS"/>
        <s v="Tangub Misamis Occidental 2-FS"/>
        <s v="Tagoloan Plaza-FS"/>
        <s v="Trendline Cogon CDO-FS"/>
        <s v="Tumaga Rd. Zamboanga City-FS"/>
        <s v="Tagoloan Misamis Oriental-FS"/>
        <s v="TAMS Square Maramag Bukidnon-FS"/>
        <s v="Trento Agusan Del Sur-FS"/>
        <s v="Titay Zamboanga Sibugay-FS"/>
        <s v="Valencia 2 - FS"/>
        <s v="Villanueva Highway Misamis Oriental-FS"/>
        <s v="Valencia-FS"/>
        <s v="Xavier Corrales-FS"/>
      </sharedItems>
    </cacheField>
    <cacheField name="Cluster" numFmtId="0">
      <sharedItems>
        <s v="NCR North &amp; East"/>
        <s v="Mindanao 1"/>
        <s v="Mindanao 2"/>
        <s v="NCR South &amp; CALAPA"/>
        <s v="North &amp; Central Luzon "/>
        <s v="South Luzon"/>
        <s v="Visayas 1"/>
        <s v="Visayas 2"/>
      </sharedItems>
    </cacheField>
    <cacheField name="Contact Person">
      <sharedItems containsBlank="1" containsMixedTypes="1" containsNumber="1" containsInteger="1">
        <m/>
        <s v="Michael Sambuat"/>
        <s v="April Caga-anan"/>
        <s v="Reynand John Cabanalan"/>
        <s v="Richard Gepilga"/>
        <s v="Marlon Peral"/>
        <s v="MARY JANE SOLIS"/>
        <s v="Gregie Benlot"/>
        <s v="Chady Gellido"/>
        <s v="Jordan Falcon"/>
        <s v="Jayson Gamayon"/>
        <s v="Johnny Coronel"/>
        <s v="Ronel Castillon"/>
        <s v="Decy Mae Baguio"/>
        <s v="Albert Ocang"/>
        <s v="Narciso Cordova"/>
        <s v="Benzar Samirun"/>
        <s v="Sherwin Supla-ag"/>
        <s v="Junie Tañajora"/>
        <s v="Usman Hassan"/>
        <s v="Bing Ian Wong"/>
        <s v="Sheryl Omandam"/>
        <s v="Julius Antiporta"/>
        <s v="Jonathan San Pablo"/>
        <s v="Jenny Ronda"/>
        <s v="Aniceto Jayson Catacutan"/>
        <s v="Kimberly Penaranda"/>
        <s v="Sheryl Rumay"/>
        <s v="Ivhan Daryll Esberto"/>
        <s v="Jocejane Gazo"/>
        <s v="Jenil Arendain"/>
        <s v="Ralph Laurenz San Miguel"/>
        <s v="Neil Adtoon"/>
        <s v="Niel Jay Lopez"/>
        <s v="Dioly Anne Balolot"/>
        <s v="Jay Em Castor"/>
        <e v="#N/A"/>
        <s v="Rex Cubero"/>
        <s v="Abobacar Aminola"/>
        <s v="Bengierell Semic"/>
        <s v="Vacant"/>
        <s v="Ana Marie Chanlyn Javellana"/>
        <s v="May Rose Amad"/>
        <n v="0.0"/>
        <s v="Jobeth Bedayo"/>
        <s v="Jumelthon Pausal"/>
        <s v="Aljun Cantonjos"/>
        <s v="Leizel Romero"/>
        <s v="Dave Christian Solatorio"/>
        <s v="Jan Gale Puzon"/>
        <s v="Rona May Avellana"/>
        <s v="Tessie Jean Malveda"/>
        <s v="Marites Evangelio"/>
        <s v="Mark John Ornopia"/>
        <s v="Mayrose Amad"/>
        <s v="Armie Biol"/>
        <s v="Roger Cañete Jr"/>
        <s v="Jessie Reynes"/>
        <s v="Rosendo Aquino V"/>
        <s v="Lover Boy Dag-uman"/>
        <s v="Glenn Pesquera"/>
        <s v="Gerald Gua-an"/>
        <s v="Sandra Lopez"/>
        <s v="Joan France Piedad"/>
        <s v="Jemar Eroy"/>
        <s v="Cyrus Lopez"/>
        <s v="Kim Joseph Cogenera"/>
        <s v="Annalyn Bucoy"/>
        <s v="Artemio Pam-ot Jr"/>
        <s v="Regen Derecho"/>
        <s v="Joie Falcasantos"/>
        <s v="Norhaiza Mendoza"/>
        <s v="Alinor Palawan"/>
        <s v="Argie Capagalan"/>
        <s v="Lindon Arnoza"/>
        <s v="Christine Joy Nier"/>
      </sharedItems>
    </cacheField>
    <cacheField name="Contact Number">
      <sharedItems containsBlank="1" containsMixedTypes="1" containsNumber="1" containsInteger="1">
        <m/>
        <n v="9.658455599E9"/>
        <n v="9.171894643E9"/>
        <n v="9.70251704E9"/>
        <n v="9.088671744E9"/>
        <n v="9.763291296E9"/>
        <n v="9.190065781E9"/>
        <n v="9.209473589E9"/>
        <n v="9.171610089E9"/>
        <n v="6.39176341749E11"/>
        <n v="9.285202534E9"/>
        <n v="9.563287387E9"/>
        <n v="9.480606849E9"/>
        <n v="6.39171364544E11"/>
        <n v="9.265759594E9"/>
        <n v="9.278684106E9"/>
        <n v="6.39199105902E11"/>
        <n v="9.566413863E9"/>
        <n v="9.399113004E9"/>
        <n v="9.399818337E9"/>
        <n v="9.177056216E9"/>
        <n v="9.992237545E9"/>
        <n v="9.209683941E9"/>
        <n v="9.98974877E9"/>
        <n v="9.305225661E9"/>
        <n v="9.989599745E9"/>
        <n v="9.190931486E9"/>
        <n v="9.989602091E9"/>
        <n v="9.285019882E9"/>
        <n v="9.171610118E9"/>
        <n v="9.190015299E9"/>
        <n v="6.39171894684E11"/>
        <n v="9.681814625E9"/>
        <n v="9.171610238E9"/>
        <n v="9.478962158E9"/>
        <n v="9.511449437E9"/>
        <e v="#N/A"/>
        <n v="9.39903822E9"/>
        <n v="9.17114392E9"/>
        <n v="9.065635039E9"/>
        <n v="0.0"/>
        <n v="9.976522053E9"/>
        <n v="6.39059234279E11"/>
        <n v="9.189455877E9"/>
        <n v="9.190996105E9"/>
        <n v="9.985877953E9"/>
        <n v="9.399864552E9"/>
        <n v="9.985723087E9"/>
        <n v="9.688502731E9"/>
        <n v="9.209118742E9"/>
        <n v="9.662966086E9"/>
        <n v="9.98545728E9"/>
        <n v="6.39209700973E11"/>
        <n v="9.199105902E9"/>
        <n v="9.189249217E9"/>
        <n v="9.190025605E9"/>
        <n v="9.171610043E9"/>
        <n v="6.39479957183E11"/>
        <n v="9.190027043E9"/>
        <n v="9.262740327E9"/>
        <n v="9.088681567E9"/>
        <n v="9.157088292E9"/>
        <n v="9.985973138E9"/>
        <n v="9.639238923E9"/>
        <n v="9.756004209E9"/>
        <n v="9.399118125E9"/>
        <n v="9.399118132E9"/>
        <n v="9.399102872E9"/>
        <n v="9.764230416E9"/>
        <n v="9.171390546E9"/>
        <n v="9.171610029E9"/>
        <n v="9.985728455E9"/>
        <n v="9.176214267E9"/>
        <n v="9.535307856E9"/>
        <n v="9.701668053E9"/>
        <n v="9.088681367E9"/>
        <n v="9.171894741E9"/>
      </sharedItems>
    </cacheField>
    <cacheField name="Tag" numFmtId="0">
      <sharedItems>
        <s v="Opened Stores"/>
        <e v="#N/A"/>
      </sharedItems>
    </cacheField>
    <cacheField name="Telco" numFmtId="0">
      <sharedItems>
        <s v="Stage 7 - Installed"/>
        <e v="#N/A"/>
      </sharedItems>
    </cacheField>
    <cacheField name="Biometric Device Brand/Model" numFmtId="0">
      <sharedItems containsBlank="1">
        <s v="ZKTECO"/>
        <s v="FINGERTEC"/>
        <e v="#N/A"/>
        <m/>
      </sharedItems>
    </cacheField>
    <cacheField name="Serial Number">
      <sharedItems containsMixedTypes="1" containsNumber="1" containsInteger="1">
        <s v="AKDG012351682"/>
        <n v="7425858.0"/>
        <n v="7417213.0"/>
        <n v="7417485.0"/>
        <s v="PAS4252900187"/>
        <s v="ZKM6245100263"/>
        <s v="ABN5221960318"/>
        <s v="AEYU082360228"/>
        <n v="7417201.0"/>
        <n v="7423721.0"/>
        <n v="7419182.0"/>
        <n v="7425874.0"/>
        <s v="CQUJ233560579"/>
        <n v="7423456.0"/>
        <n v="7422150.0"/>
        <s v="ZKM6251700239"/>
        <n v="7420087.0"/>
        <s v="CQUJ233560581"/>
        <n v="7417215.0"/>
        <n v="7425868.0"/>
        <s v="AEYU082360248"/>
        <s v="ZKM6245100111"/>
        <n v="7416585.0"/>
        <s v="PAS4253000123"/>
        <s v="AEYU082360286"/>
        <s v="CQUJ233560624"/>
        <n v="7422144.0"/>
        <s v="ABN5221960309"/>
        <s v="PAS4253000048"/>
        <s v="ZKM6251400029"/>
        <s v="AKDG012351697"/>
        <s v="ZKM6245100090"/>
        <s v="AKDG012351702"/>
        <s v="PAS4252900185"/>
        <s v="A8N5221960321"/>
        <s v="CQUJ233561355"/>
        <s v="CQUJ232260071"/>
        <s v="PAS4252900195"/>
        <s v="ZKM6245100264"/>
        <s v="AEYU082360294"/>
        <n v="7425659.0"/>
        <s v="ZKM6245100092"/>
        <s v="AEYU082360250"/>
        <s v="CQUJ233560422"/>
        <s v="CQUJ233561362"/>
        <n v="7425650.0"/>
        <n v="7421811.0"/>
        <n v="7422885.0"/>
        <n v="7420090.0"/>
        <n v="7425687.0"/>
        <s v="CQUJ233560166"/>
        <s v="CQUJ233561348"/>
        <s v="PAS4252500115"/>
        <s v="CQUJ233560679"/>
        <s v="CQUJ232260083"/>
        <s v="AEYU082360234"/>
        <n v="7415090.0"/>
        <n v="7424190.0"/>
        <n v="7425417.0"/>
        <s v="ABN5221960245"/>
        <n v="7421962.0"/>
        <s v="ZKM6251700050"/>
        <s v="ZKM6251700057"/>
        <n v="7421970.0"/>
        <n v="7425648.0"/>
        <n v="7421965.0"/>
        <n v="7421289.0"/>
        <n v="7415911.0"/>
        <s v="ZKM6251700240"/>
        <n v="7424202.0"/>
        <s v="ZKM6245100235"/>
        <s v="PAS4252500022"/>
        <n v="7423469.0"/>
        <n v="7425399.0"/>
        <n v="7425867.0"/>
        <s v="ZKM6245100296"/>
        <s v="CQUJ233560049"/>
        <s v="AEYU082360277"/>
        <n v="7425856.0"/>
        <s v="ZKM6245100128"/>
        <n v="7425642.0"/>
        <s v="ZKM6245100193"/>
        <s v="ZKM6251700044"/>
        <s v="CQUJ233560077"/>
        <n v="7421826.0"/>
        <n v="7423468.0"/>
        <s v="ZKM6245100142"/>
        <s v="ZKM6251400115"/>
        <s v="CQUJ233561153"/>
        <s v="ZKM6251400028"/>
        <s v="CQUJ233560733"/>
        <s v="ZKM6245100125"/>
        <s v="A8N5221960320"/>
        <n v="7425411.0"/>
        <n v="7422149.0"/>
        <s v="ZKM6245100154"/>
        <s v="ZKM6251400076"/>
        <n v="7425678.0"/>
        <s v="COUJ2322603323"/>
        <s v="CQUJ233560029"/>
        <e v="#N/A"/>
        <s v="PAS4252500098"/>
        <s v="A8N5221960158"/>
        <s v="AEYU082360216"/>
        <s v="AKDG012350240"/>
        <n v="7424186.0"/>
        <s v="A8N5221860507"/>
        <n v="7425891.0"/>
        <s v="PAS4252500122"/>
        <s v="AKDG012350234"/>
        <s v="AEYU082360298"/>
        <n v="7424185.0"/>
        <n v="7425663.0"/>
        <n v="7422141.0"/>
        <s v="PAS4252900033"/>
        <s v="PAS4252500182"/>
        <n v="7421296.0"/>
        <n v="7423462.0"/>
        <n v="7422151.0"/>
        <s v="ZKM6245100041"/>
        <s v="ZKM6251700046"/>
        <n v="7417486.0"/>
        <s v="ZKM6251400071"/>
        <s v="A8N5221960161"/>
        <s v="ZKM6251500295"/>
        <s v="PAS4254500181"/>
        <s v="A8N5221960168"/>
        <s v="ZKM6245100295"/>
        <s v="ZKM6251500121"/>
        <s v="ZKM6251700119"/>
        <s v="ZKM62451700070"/>
        <s v="AEYU082360203"/>
        <s v="ZKM6245100285"/>
        <s v="PAS4252500028"/>
        <s v="AKDG012350206"/>
        <s v="A8N5221960253"/>
        <n v="7425685.0"/>
        <s v="ZKM6245100105"/>
        <n v="7417219.0"/>
        <s v="ZKM6245100102"/>
        <s v="ZKM6251700115"/>
        <s v="ZKM6245100122"/>
        <s v="ZKM6245100138"/>
        <s v="ZKM6251700036"/>
        <n v="7421815.0"/>
        <n v="7415890.0"/>
        <n v="7425396.0"/>
        <s v="AEYU082360285"/>
        <s v="A8N5221860515"/>
        <s v="CQUJ233560676"/>
        <s v="CQUJ233561149"/>
        <n v="7423448.0"/>
        <s v="PAS4253000047"/>
        <s v="AKDG012350220"/>
        <n v="7421814.0"/>
        <s v="A8N5221960184"/>
        <s v="ZKM6251500297"/>
        <n v="7425649.0"/>
        <s v="AKDG012351707"/>
        <n v="7425409.0"/>
        <n v="7420089.0"/>
        <s v="A8N5221860486"/>
        <s v="ZKM6245100279"/>
        <s v="ZKM6245100181"/>
        <s v="A8N5221960164"/>
        <n v="7425404.0"/>
        <s v="AEYU082360254"/>
        <s v="CQUJ233560419"/>
        <s v="ZKM6245100406"/>
        <s v="ZKM6245100266"/>
        <n v="7425651.0"/>
        <n v="7425655.0"/>
        <n v="7425658.0"/>
        <s v="AKDG012350239"/>
        <s v="PAS452900100"/>
        <s v="AEYU082360283"/>
        <s v="ZKM6245100118"/>
        <n v="7423455.0"/>
        <n v="7425413.0"/>
        <s v="CQUJ233560567"/>
        <n v="7425664.0"/>
        <s v="CQUJ233560099"/>
        <s v="AEYU082360237"/>
        <n v="7425641.0"/>
        <s v="CQUJ233561177"/>
        <n v="7424203.0"/>
        <s v="PAS4252900194"/>
        <n v="7424197.0"/>
        <s v="ZKM6245100079"/>
        <s v="PAS4252500204"/>
        <n v="7425414.0"/>
        <n v="7425654.0"/>
        <n v="7413141.0"/>
        <n v="7416599.0"/>
        <s v="ZKM6251700039"/>
        <s v="A8N5221960177"/>
        <s v="ZKM6251400062"/>
        <n v="7420084.0"/>
        <s v="ZKM6251500190"/>
        <s v="ZKM6251700082"/>
        <s v="PAS4252900104"/>
        <s v="PAS4253000116"/>
        <n v="7421819.0"/>
        <s v="ZKM6251700314"/>
        <s v="ZKM6245100120"/>
        <s v="ZKM6245100147"/>
        <s v="CQUJ233560466"/>
        <s v="CQUJ233560060"/>
        <s v="AEYU082360245"/>
        <s v="ZKM6245100116"/>
        <s v="PAS4252900275"/>
        <s v="AEYU082360204"/>
        <s v="AEYU082360205"/>
        <s v="CQUJ233561238"/>
        <s v="ZKM 6251500166"/>
        <n v="7415913.0"/>
        <s v="PAS4252900266"/>
        <n v="7420092.0"/>
        <n v="7425679.0"/>
        <n v="7422871.0"/>
        <n v="7417481.0"/>
        <n v="7421809.0"/>
        <s v="A8N5221960303"/>
        <s v="ZKM6251500304"/>
        <n v="7421808.0"/>
        <s v="PAS4252500203"/>
        <s v="CQUJ233561185"/>
        <s v="AEYU082360199"/>
        <s v="ZKM6245100151"/>
        <s v="AEYU082360280"/>
        <s v="CQUJ233560455"/>
        <s v="ZKM6245100136"/>
        <s v="ZKM6251700031"/>
        <s v="ZKM6251400184"/>
        <n v="7422148.0"/>
        <n v="7425392.0"/>
        <n v="7422874.0"/>
        <n v="7425403.0"/>
        <n v="7422139.0"/>
        <n v="7423722.0"/>
        <s v="ZKM6251700138"/>
        <s v="CQUJ233560109"/>
        <s v="ZKM6245100290"/>
        <n v="7425405.0"/>
        <s v="ZKM6251700122"/>
        <s v="ZKM6251500116"/>
        <n v="7417484.0"/>
        <n v="7415889.0"/>
        <s v="ZKM6251500316"/>
        <s v="ZKM6245100110"/>
        <s v="A8N5221960247"/>
        <n v="7421968.0"/>
        <n v="7425419.0"/>
        <n v="7421961.0"/>
        <s v="ZKM6251700347"/>
        <s v="AEYU082360218"/>
        <s v="A8N5221960167"/>
        <n v="7419184.0"/>
        <s v="ZKM6245100223"/>
        <n v="7415092.0"/>
        <n v="7423470.0"/>
        <n v="7415091.0"/>
        <n v="7413159.0"/>
        <s v="ZKM6251400068"/>
        <s v="ZKM6251400026"/>
        <n v="7420085.0"/>
        <n v="7423723.0"/>
        <s v="CQUJ233560973"/>
        <s v="CQUJ233560078"/>
        <s v="ZKM6245100140"/>
        <s v="ZKM6245100225"/>
        <s v="PAS4252500037"/>
        <s v="AKDG012350232"/>
        <s v="CQUJ233560080"/>
        <s v="CQUJ233560144"/>
        <s v="CQUJ233561150"/>
        <s v="AKDG0123560229"/>
        <s v="ZKM6251700150"/>
        <s v="AEYU082360263"/>
        <s v="ZKM6251400050"/>
        <s v="ZKM6251500261"/>
        <s v="CQUJ233560039"/>
        <s v="CQUJ233561288"/>
        <s v="CQUJ233561246"/>
        <s v="A8N5221960170"/>
        <n v="7421813.0"/>
        <s v="ZKM6251500113"/>
        <s v="ZKM6251700015"/>
        <s v="AEYU082360253"/>
        <s v="ZKM6251400074"/>
        <s v="CQUJ233561160"/>
        <s v="ZKM6245100112"/>
        <s v="AEYU082360246"/>
        <s v="CQUJ233560633"/>
        <s v="CQUJ233560071"/>
        <s v="CQUJ233560431"/>
        <n v="7425653.0"/>
        <s v="ZKM6251400001"/>
        <s v="CQUJ233560801"/>
        <s v="A8N5221960155"/>
        <n v="7425677.0"/>
        <s v="CMZG122250769"/>
        <s v="ZKM6245100094"/>
        <s v="AKDG012351687"/>
        <s v="ZKM6251700020"/>
        <s v="AKDG012351694"/>
        <s v="AKDG012350231"/>
        <n v="7421299.0"/>
        <s v="PAS4252900098"/>
        <n v="7425854.0"/>
        <s v="ZKM6251500308"/>
        <s v="CQUJ233560680"/>
        <s v="ZKM6245100189"/>
        <s v="ZKM6245100126"/>
        <s v="CQUJ233560647"/>
        <s v="PAS4252500199"/>
        <s v="CQUJ233560986"/>
        <s v="CQUJ233560678"/>
        <s v="PAS4252500038"/>
        <s v="CQUJ233561104"/>
        <s v="cquj233561353"/>
        <n v="7425888.0"/>
        <s v="CQUJ233560171"/>
        <s v="ZKM6251500313"/>
        <s v="CQUJ233560081"/>
        <s v="AEYU082360222"/>
        <s v="PAS4252900186"/>
        <s v="PAS4252500200"/>
        <s v="AEYU082360213"/>
        <s v="CQUJ232260077"/>
        <n v="7417478.0"/>
        <s v="AEYU082360256"/>
        <n v="7425402.0"/>
        <n v="7423447.0"/>
        <s v="AKDG012350227"/>
        <s v="CQUJ233560261"/>
        <s v="AKDG012350204"/>
        <s v="CQUJ232260326 "/>
        <s v="CQUJ233560542"/>
        <s v="ZKM6245100236"/>
        <s v="ZKM6245100261"/>
        <s v="CQUJ233561167"/>
        <n v="7425416.0"/>
        <n v="7425397.0"/>
        <s v="AEYU082360273"/>
        <n v="7423454.0"/>
        <s v="ZKM6251700032"/>
        <s v="ZKM6245100278"/>
        <s v="CQUJ232260084"/>
        <s v="ZKM6251500309"/>
        <n v="7425395.0"/>
        <s v="ZKM6251700156"/>
        <s v="ZKM6251700245"/>
        <s v="ZKM6251700098"/>
        <n v="7425667.0"/>
        <n v="7424194.0"/>
        <s v="ZKM6251500288"/>
        <s v="ZKM6245100224"/>
        <s v="ZKM6245100050"/>
        <s v="AEYU082360295"/>
        <s v="ZKM6245100251"/>
        <n v="7421298.0"/>
        <s v="ZKM6245100150"/>
        <s v="CQUJ232260325"/>
        <s v="AEYU082360196"/>
        <s v="PAS4252900193"/>
        <n v="7421816.0"/>
        <n v="7425881.0"/>
        <s v="ZKM6251500321"/>
        <n v="7424196.0"/>
        <s v="ZKM6245100272"/>
        <n v="7425661.0"/>
        <s v="ZKM6245100238"/>
        <s v="ZKM6245100104"/>
        <n v="7419194.0"/>
        <s v="ZKM6251700162"/>
        <s v="ZKM6245100082"/>
        <n v="7419188.0"/>
        <s v="ZKM6251700215"/>
        <s v="ZKM6251700130"/>
        <n v="7419183.0"/>
        <n v="7425657.0"/>
        <s v="ZKM6245100234"/>
        <n v="7425646.0"/>
        <n v="7425893.0"/>
        <s v="ZKM6245100227"/>
        <n v="7425680.0"/>
        <s v="PAS4253000052"/>
        <s v="PAS4252900184"/>
        <s v="PAS4252500025"/>
        <s v="AEYU082360244"/>
        <n v="7424189.0"/>
        <s v="ZKM6251500189"/>
        <s v="PAS4253000008"/>
        <n v="7419192.0"/>
        <n v="7422143.0"/>
        <n v="7421294.0"/>
        <s v="AEYU082630227"/>
        <s v="A8N5221960157"/>
        <s v="AKDG012351703"/>
        <n v="7417477.0"/>
        <n v="7415914.0"/>
        <s v="A8N5221960159"/>
        <s v="ZKM6245100259"/>
        <s v="CQUJ233560176"/>
        <s v="AKDG012351683"/>
        <s v="PAS4252900191"/>
        <s v="AEYU082360202"/>
        <s v="ZKM6245100088"/>
        <n v="7425864.0"/>
        <s v="ZKM6251700341"/>
        <s v="ZKM6251700028"/>
        <n v="7425879.0"/>
        <n v="7422140.0"/>
        <s v="CQUJ233561504"/>
        <s v="A8N5221860551"/>
        <n v="7425853.0"/>
        <s v="CQUJ233560096"/>
        <s v="ZKM6251500057"/>
        <s v="A8N5221960186"/>
        <s v="PAS4252900219"/>
        <s v="ZKM6251500286"/>
        <s v="ZKM6245100275"/>
        <s v="PAS4252900105"/>
        <n v="7425656.0"/>
        <s v="ZKM6251400117"/>
        <s v="AEYU082360259"/>
        <n v="7425676.0"/>
        <s v="CMZG122250772"/>
        <s v="A8N5221960173"/>
        <n v="7425410.0"/>
        <s v="A8N5221960323"/>
        <s v="CMZG122250778"/>
        <n v="7424191.0"/>
        <s v="A8N5221960251"/>
        <n v="7424165.0"/>
        <s v="AKDG012351705"/>
        <s v="ZKM6251700102"/>
        <s v="CQUJ233560545"/>
        <s v="ZKM6245100135"/>
        <s v="CQUJ233560082"/>
        <s v="AEYU082360197"/>
        <s v="PAS4252900099"/>
        <s v="CQUJ233561205"/>
        <s v="CQUJ232260124"/>
        <s v="PAS4252900113"/>
        <s v="A8N5221960185"/>
        <s v="A8N5221960165"/>
        <s v="ZKM6251700019"/>
        <s v="AKDG012350219"/>
        <s v="CQUJ232260074"/>
        <s v="AEYU082360230"/>
        <s v="AKDG012350195"/>
        <s v="CQUJ233561291"/>
        <n v="7425412.0"/>
        <n v="7425652.0"/>
        <s v="CMZG122250776"/>
        <n v="7423466.0"/>
        <s v="A8N5221960172"/>
        <n v="7423453.0"/>
        <n v="7425662.0"/>
        <s v="CQUJ233560969"/>
        <s v="ZKM6251700351"/>
        <s v="AEYU082360251"/>
        <s v="ZKM6251700023"/>
        <s v="CQUJ233560115"/>
        <s v="AEYU082360290"/>
        <n v="7423450.0"/>
        <n v="7421812.0"/>
        <s v="ZKM6251500095"/>
        <s v="ZKM6245100276"/>
        <s v="CQUJ233560280"/>
        <s v="A8N5221960254"/>
        <n v="7425645.0"/>
        <s v="AKDG012351689"/>
        <s v="ZKM6251700324"/>
        <s v="PAS4252900180"/>
        <s v="AEYU082360207"/>
        <n v="7420095.0"/>
        <n v="7417212.0"/>
        <n v="7415912.0"/>
        <n v="7421292.0"/>
        <s v="ZKM6245100271"/>
        <n v="7425672.0"/>
        <s v="A8N5221960171"/>
        <s v="CQUJ233560865"/>
        <s v="CQUJ233561358"/>
        <s v="CQUJ233560635"/>
        <s v="CQUJ233560962"/>
        <s v="PAS4252900181"/>
        <s v="CQUJ233561174"/>
        <s v="CQUJ233560058"/>
        <n v="7421810.0"/>
        <n v="7421967.0"/>
        <n v="7419193.0"/>
        <s v="ZKM62517000046"/>
        <n v="7419190.0"/>
        <s v="ZKM6251500174"/>
        <s v="CQUJ233560867"/>
        <s v="PAS4252500082"/>
        <s v="ZKM6251500007"/>
        <s v="ZKM6245100221"/>
        <n v="7415909.0"/>
        <s v="PAS4252900244"/>
        <s v="ZKM6251400073"/>
        <s v="ZKM6245100239"/>
        <n v="7420083.0"/>
        <s v="PAS4252900287"/>
        <n v="7420086.0"/>
        <n v="7423458.0"/>
        <n v="7423449.0"/>
        <s v="CQUJ233560040"/>
        <s v="PAS4252900289"/>
        <n v="7425415.0"/>
        <s v="ZKM6251700025"/>
        <s v="CQUJ233561090"/>
        <s v="CQUJ232260332"/>
        <s v="PAS4252900008"/>
        <s v="AEYU082360198"/>
        <n v="7421972.0"/>
        <s v="ZKM6245100265"/>
        <s v="CQUJ233560674"/>
        <s v="CQUJ233560137"/>
        <s v="ZKM6245100039"/>
        <s v="CQUJ233560862"/>
        <s v="CQUJ233561162"/>
        <s v="CQUJ233560051"/>
        <s v="CQUJ233560105"/>
        <s v="ZKM6251500096"/>
        <s v="AKDG012350202"/>
        <s v="AEYU082360276"/>
        <n v="7421293.0"/>
        <s v="PAS4254500174"/>
        <s v="ZKM6245100267"/>
        <s v="CQUJ233560131"/>
        <s v="CQUJ233561253"/>
        <s v="CQUJ233560076"/>
        <s v="PAS4252500201"/>
        <s v="ZKM6251500285"/>
        <s v="CQUJ233560061"/>
        <s v="CQUJ233560808"/>
        <s v="CQUJ233560409"/>
        <s v="A8N5221960311"/>
        <s v="ZKM6251700181"/>
        <s v="ZKM6251500100"/>
        <n v="7421297.0"/>
        <s v="A8N5221860494"/>
        <s v="ZKM6245100173"/>
        <s v="AEYU082360232"/>
        <s v="AEYU082360212"/>
        <s v="CQUJ233561168"/>
        <s v="ZKM6251700414"/>
        <s v="ZKM6251700109"/>
        <s v="CQUJ233560866"/>
        <s v="CQUJ233560433"/>
        <s v="CQUJ232260140"/>
        <s v="CQUJ233560968"/>
        <n v="7425683.0"/>
        <s v="CQUJ233560267"/>
        <s v="ZKM6251700418"/>
        <s v="PAS4254500176"/>
        <s v="ZKM6245100129"/>
        <s v="CQUJ233560462"/>
        <s v="ZKM6251400031"/>
        <s v="PAS4252900286"/>
        <s v="AEYU082360225"/>
        <s v="ZKM6251700038"/>
        <s v="ZKM6251700141"/>
        <n v="7425686.0"/>
        <n v="7425668.0"/>
        <s v="ZKM6245100032"/>
        <s v="PAS4253000125"/>
        <s v="PAS4252900281"/>
        <s v="AEYU082360223"/>
        <s v="ZKM6251700312"/>
        <s v="ZKM6251400023"/>
        <s v="ZKM6245100124"/>
        <s v="CQUJ233560398"/>
        <s v="CQUJ233561107"/>
        <s v="AEYU082360200"/>
        <s v="ZKM6245100289"/>
        <s v="A8N5221860529"/>
        <s v="ZKM6251500102"/>
        <s v="A8N5221960255"/>
        <s v="ZKM6251700411"/>
        <s v="PAS4252900189"/>
        <s v="CQUJ233560560"/>
        <s v="ZKM6251400024"/>
        <s v="AKDG012351718"/>
        <s v="CQUJ233561287"/>
        <s v="AKDG012350225"/>
        <s v="ZKM6251500135"/>
        <s v="CQUJ233560079"/>
        <s v="ZKM625100288"/>
        <s v="CQUJ233560861"/>
        <s v="ZKM6245100146"/>
        <s v="ZKM6251500087"/>
        <n v="7425660.0"/>
        <s v="ZKM6251400200"/>
        <n v="7425398.0"/>
        <s v="ZKM6245100222"/>
        <s v="PAS4252500079"/>
        <s v="CQUJ233561452"/>
        <s v="AEYU082360221"/>
        <s v="CQUJ233561145"/>
        <s v="PAS4252500058"/>
        <n v="7417479.0"/>
        <s v="CQUJ233560036"/>
        <s v="A8N5221860479"/>
        <s v="AEYU082360260"/>
        <s v="CQUJ233560561"/>
        <s v="CQUJ233560787"/>
        <s v="AEYU082360239"/>
        <s v="AKDG012350212"/>
        <s v="CQUJ233560317"/>
        <s v="AKDG012350201"/>
        <n v="7425643.0"/>
        <n v="7422872.0"/>
        <s v="CQUJ232260091"/>
        <s v="AEYU082360272"/>
        <n v="7419186.0"/>
        <s v="CQUJ233560642"/>
        <s v="CQUJ233560822"/>
        <s v="ZKM6251500180"/>
        <s v="ZKM6251700179"/>
        <s v="CQUJ233561080"/>
        <s v="ZKM6251700309"/>
        <n v="7422147.0"/>
        <s v="CQUJ233561243"/>
        <n v="7425418.0"/>
        <n v="7425675.0"/>
        <s v="ZKM6251500018"/>
        <n v="7421821.0"/>
        <s v="CQUJ233560629"/>
        <n v="7425684.0"/>
        <s v="PAS4252900014"/>
        <s v="PAS4252900272"/>
        <n v="7420088.0"/>
        <s v="CQUJ233561093"/>
        <s v="CQUJ232260319"/>
        <s v="PAS4252900097"/>
        <s v="CQUJ233560477"/>
        <s v="AKDG012350194"/>
        <s v="A8N5221960174"/>
        <s v="ZKM6251700218"/>
        <s v="ZKM6251500303"/>
        <s v="PAS4254500179"/>
        <s v="AKDG012350701"/>
        <n v="7425669.0"/>
        <s v="ZKM6251700294"/>
        <n v="7424184.0"/>
        <s v="AEYU082360279"/>
        <s v="ZKM6251500178"/>
        <s v="AEYU082360274"/>
        <s v="ZKM6251400199"/>
        <n v="7423724.0"/>
        <s v="ZKM6251700116"/>
        <s v="CQUJ233560540"/>
        <s v="AEYU082360201"/>
        <n v="7421291.0"/>
        <s v="PAS42525000"/>
        <s v="AEYU082360297"/>
        <s v="AKDG012350228"/>
        <s v="ZKM6251400187"/>
        <s v="AKDG012350208"/>
        <n v="7421963.0"/>
        <s v="CQUJ233560408"/>
        <s v="A8N5221960180"/>
        <s v="CQUJ233560453"/>
        <s v="PAS4252900106"/>
        <s v="AEYU082360217"/>
        <s v="ZKM6251700180"/>
        <s v="AKDG012351712"/>
        <s v="AKDG012350237"/>
        <s v="CQUJ233561468"/>
        <s v="ZKM6251400027"/>
        <n v="7425859.0"/>
        <s v="CQUJ232260321"/>
        <s v="AEYU082356208"/>
        <s v="AEYU082360271"/>
        <s v="CQUJ233561245"/>
        <s v="CQUJ233560478"/>
        <s v="A8N5221960169"/>
        <s v="CQUJ233560075"/>
        <s v="CQUJ233560672"/>
        <s v="ZKM6245100106"/>
        <s v="A8N5221860513"/>
        <s v="AEYU0823560288"/>
        <s v="ZKM6245100042"/>
        <s v="ZKM6251700051"/>
        <s v="ZKM6251700413"/>
        <s v="CQUJ233560035"/>
        <s v="AEYU082360269"/>
        <s v="CQUJ233560824"/>
        <n v="7421966.0"/>
        <s v="AKDG012351685"/>
        <s v="CQUJ233560439"/>
        <n v="7425890.0"/>
        <s v="CQUJ233560544"/>
        <n v="7424187.0"/>
        <s v="ZKM6251700033"/>
        <n v="7417487.0"/>
        <n v="7417475.0"/>
        <s v="AEYU082360210"/>
        <s v="ZKM6245100215"/>
        <s v="PAS4252900279"/>
        <n v="7425674.0"/>
        <s v="PAS4252500078"/>
        <s v="A8N5221960315"/>
        <s v="ZKM6251100012"/>
        <n v="7421300.0"/>
        <s v="ZKM6251400197"/>
        <s v="CMZG122250777"/>
        <n v="7419189.0"/>
        <s v="CQUJ233561097"/>
        <s v="PAS4252500184"/>
        <s v="ZKM6251700338"/>
        <s v="CQUJ233561207"/>
        <s v="ZKM6245100232"/>
        <s v="CQUJ233561244"/>
        <s v="CQUJ233560810"/>
        <s v="CQUJ233560838"/>
        <s v="ZKM6245100117"/>
        <s v="CQUJ233561136"/>
        <s v="ZKM6245100107"/>
        <s v="CQUJ232260322"/>
        <s v="ZKM6251700092"/>
        <s v="ZKM6251400064"/>
        <s v="CQUJ233560971"/>
        <s v="AKDG012350196"/>
        <s v="CQUJ233560454"/>
        <s v="AEYU082360292"/>
        <s v="ZKM6251400198"/>
        <s v="AEYU082360278"/>
        <s v="AKDG012351720"/>
        <s v="ZKM6251500187"/>
        <s v="CQUJ233560830"/>
        <s v="ZKM6245100139"/>
        <s v="CQUJ233560811"/>
        <s v="CQUJ233560681"/>
        <s v="CQUJ233561108"/>
        <s v="CQUJ233560965"/>
        <s v="ZKM6245100152"/>
        <s v="CQUJ233561154"/>
        <s v="CQUJ232260318"/>
        <s v="CQUJ233560844"/>
        <s v="AKDG012351686"/>
        <s v="AEYU082360231"/>
        <s v="AKDG012350199"/>
        <s v="A8N5221960301"/>
        <s v="A8N5221960256"/>
        <s v="ZKM6245100089"/>
        <s v="ZKM6251500177"/>
        <s v="ZKM6245100176"/>
        <s v="AKDG012350192"/>
        <s v="AKDG012351691"/>
        <s v="ZKM6245100229"/>
        <s v="A8N5221960296"/>
        <s v="AEYU082360247"/>
        <s v="CQUJ233560143"/>
        <s v="ZKM6251700166"/>
        <s v="ZKM6245100269"/>
        <s v="AKDG012350215"/>
        <s v="ZKM6251400181"/>
        <s v="PAS4253000024"/>
        <s v="A8N5221960160"/>
        <s v="CQUJ233561101"/>
        <s v="AKDG012350207"/>
        <s v="ZKM6251500287"/>
        <s v="AEYU082360261"/>
        <s v="ZKM6245100114"/>
        <s v="CMZG122250771"/>
        <s v="CMZG122250770"/>
        <s v="CQUJ233561141"/>
        <s v="PAS4252500026"/>
        <s v="AKDG012350209"/>
        <s v="AEYU082360240"/>
        <s v="ZKM6245100178"/>
        <s v="PAS4252900101"/>
        <s v="A8N5221960249"/>
        <s v="CQUJ233561236"/>
        <s v="ZKM6251400030"/>
        <s v="CQUJ233560970"/>
        <s v="ZKM6245100155"/>
        <n v="7421820.0"/>
        <n v="7423464.0"/>
        <s v="ZKM6251700391"/>
        <s v="ZKM6251700140"/>
        <n v="7425665.0"/>
        <n v="7425666.0"/>
        <s v="AEYU082360270"/>
        <s v="PAS4252900285"/>
        <n v="7425407.0"/>
        <s v="ZKM6251700113"/>
        <n v="7425671.0"/>
        <n v="7425673.0"/>
        <s v="ZKM6251700002"/>
        <s v="AEYU082360291"/>
        <s v="CQUJ233560418"/>
        <s v="CQUJ233560073"/>
        <s v="ZKM6251500052"/>
        <s v="AKDG012350205"/>
        <s v="CQUJ232260324"/>
        <s v="ZKM6245100156"/>
        <s v="AEYU082360296"/>
        <s v="CQUJ233560436"/>
        <s v="CQUJ233561151"/>
        <s v="AKDG012350238"/>
        <s v="ZKM6251500172"/>
        <s v="AEYU082360257"/>
        <s v="A8N5221960319"/>
        <s v="ZKM6251500151"/>
        <s v="CQUJ233560111"/>
        <s v="AKDG012351719"/>
        <s v="AKDG012350214"/>
        <s v="AKDG012351684"/>
        <n v="7425670.0"/>
        <s v="PAS4252900064"/>
        <s v="A8N5221960324"/>
        <s v="CQUJ233560034"/>
        <n v="7417218.0"/>
        <s v="AEYU082360282"/>
        <s v="ZKM6245100165"/>
        <s v="AEYU082360233"/>
        <s v="ZKM6245100241"/>
        <s v="ZKM6251500191"/>
        <s v="ZKM6251700362"/>
        <s v="CQUJ233560237"/>
        <s v="AEYU082360193"/>
        <n v="7420091.0"/>
        <s v="AKDG012350210"/>
        <s v="ZKM6251400056"/>
        <s v="AKDG012350193"/>
        <s v="A8N5221960163"/>
        <s v="AEYU082360195"/>
        <s v="CQUJ233560922"/>
        <s v="ZKM6245100033"/>
        <s v="CQUJ233560121"/>
        <s v="ZKM6251700353"/>
        <s v="AKDG012351713"/>
        <s v="ZKM6245100093"/>
        <s v="A8N5221960179"/>
        <s v="AKDG012351717"/>
        <s v="CQUJ233560291"/>
        <s v="CQUJ233560289"/>
        <s v="ZKM6245100172"/>
        <s v="ZKM6251700035"/>
        <s v="CQUJ233561292"/>
        <s v="AKDG012350222"/>
        <s v="ZKM6251500306"/>
        <n v="7418804.0"/>
        <s v="CQUJ233561106"/>
        <s v="AEYU082360265"/>
        <s v="AKDG012351715"/>
        <s v="ZKM6251700054"/>
        <s v="ZKM6245100123"/>
        <s v="PAS4252500149"/>
        <s v="CQUJ233560868"/>
        <s v="CQUJ232260316"/>
        <s v="CMZG122250780"/>
        <s v="AEYU082360226"/>
        <n v="7425688.0"/>
        <s v="CQUJ233560094"/>
        <s v="PAS4252900277"/>
        <s v="ZKM6245100037"/>
        <s v="ZKM6251700085"/>
        <s v="ZKM6245100293"/>
        <s v="CQUJ233560577"/>
        <n v="7421817.0"/>
        <n v="7425682.0"/>
        <s v="CQUJ233561459"/>
        <s v="PAS4252900197"/>
        <s v="AEYU082360275"/>
        <s v="AEYU82360217"/>
        <s v="CQUJ233560863"/>
        <s v="AEYU082360252"/>
        <s v="CQUJ233561089"/>
        <s v="ZKM6251400034"/>
        <n v="7417482.0"/>
        <s v="AKDG012350233"/>
        <s v="CMZG122250775"/>
        <s v="PAS4254500180"/>
        <s v="CQUJ233560320"/>
        <s v="CQUJ233560443"/>
        <s v="CQUJ233561148"/>
        <s v="CQUJ233561166"/>
        <s v="AKDG012350217"/>
        <s v="CQUJ233560053"/>
        <n v="7425689.0"/>
        <s v="CQUJ233561439"/>
        <s v="CQUJ233560821"/>
        <n v="7425894.0"/>
        <s v="PAS4252900284"/>
        <s v="AKDG012351710"/>
        <s v="A8N5221960252"/>
        <s v="A8N5221960166"/>
        <s v="CQUJ233561218"/>
        <s v="CQUJ233560604"/>
        <s v="CQUJ233560413"/>
        <n v="7421971.0"/>
        <s v="CQUJ233561242"/>
      </sharedItems>
    </cacheField>
    <cacheField name="IP Address" numFmtId="0">
      <sharedItems>
        <s v="192.168.1.201"/>
        <s v="192.168.201"/>
        <s v="192.168.3.44"/>
        <s v="192.168.1.205"/>
        <s v="192.168.1.206"/>
        <s v="192.168.1.202"/>
        <s v="192.168.1.50"/>
        <s v=" 192.168.1.201"/>
        <e v="#N/A"/>
        <s v="192.168.1.198"/>
        <s v="192.168.3.31"/>
        <s v="192.168.1.16"/>
        <s v="192.168.1.234"/>
        <s v="192.168.3.48"/>
        <s v="192.168.1.220"/>
        <s v="192.168.1.200"/>
        <s v="192.168.3.49"/>
        <s v="192.168.1.230"/>
        <s v="192.168.1.232"/>
        <s v="192.168.1.237"/>
        <s v="192.168.3.47"/>
        <s v="192.168.1.43"/>
        <s v="192.168.1.9"/>
        <s v="192.168.3.33"/>
      </sharedItems>
    </cacheField>
    <cacheField name="Rollout Phase" numFmtId="0">
      <sharedItems>
        <s v="Phase 1"/>
        <s v="Phase 10"/>
        <s v="Phase 2"/>
        <s v="Phase 3"/>
        <s v="Phase 4"/>
        <s v="Phase 5"/>
        <s v="Phase 6"/>
        <s v="Phase 7"/>
        <s v="Phase 8"/>
        <s v="Phase 9"/>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ummary of Roll Out Phase" cacheId="0" dataCaption="" compact="0" compactData="0">
  <location ref="A1:C36" firstHeaderRow="0" firstDataRow="2" firstDataCol="0"/>
  <pivotFields>
    <pivotField name="Division" compact="0" outline="0" multipleItemSelectionAllowed="1" showAll="0">
      <items>
        <item x="0"/>
        <item t="default"/>
      </items>
    </pivotField>
    <pivotField name="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t="default"/>
      </items>
    </pivotField>
    <pivotField name="Cluster" axis="axisRow" compact="0" outline="0" multipleItemSelectionAllowed="1" showAll="0" sortType="ascending">
      <items>
        <item x="1"/>
        <item x="2"/>
        <item x="0"/>
        <item x="3"/>
        <item x="4"/>
        <item x="5"/>
        <item x="6"/>
        <item x="7"/>
        <item t="default"/>
      </items>
    </pivotField>
    <pivotField name="Contact Per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Contact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Tag" compact="0" outline="0" multipleItemSelectionAllowed="1" showAll="0">
      <items>
        <item x="0"/>
        <item x="1"/>
        <item t="default"/>
      </items>
    </pivotField>
    <pivotField name="Telco" compact="0" outline="0" multipleItemSelectionAllowed="1" showAll="0">
      <items>
        <item x="0"/>
        <item x="1"/>
        <item t="default"/>
      </items>
    </pivotField>
    <pivotField name="Biometric Device Brand/Model" compact="0" outline="0" multipleItemSelectionAllowed="1" showAll="0">
      <items>
        <item x="0"/>
        <item x="1"/>
        <item x="2"/>
        <item x="3"/>
        <item t="default"/>
      </items>
    </pivotField>
    <pivotField name="Serial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t="default"/>
      </items>
    </pivotField>
    <pivotField name="IP 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Rollout Phase" axis="axisRow" dataField="1" compact="0" outline="0" multipleItemSelectionAllowed="1" showAll="0" sortType="ascending">
      <items>
        <item x="0"/>
        <item x="1"/>
        <item x="2"/>
        <item x="3"/>
        <item x="4"/>
        <item x="5"/>
        <item x="6"/>
        <item x="7"/>
        <item x="8"/>
        <item x="9"/>
        <item t="default"/>
      </items>
    </pivotField>
  </pivotFields>
  <rowFields>
    <field x="12"/>
    <field x="4"/>
  </rowFields>
  <dataFields>
    <dataField name="COUNTA of Rollout Phase" fld="12"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29.88"/>
    <col customWidth="1" min="2" max="2" width="8.63"/>
    <col customWidth="1" min="3" max="3" width="16.5"/>
    <col customWidth="1" min="4" max="4" width="13.88"/>
    <col customWidth="1" min="5" max="26" width="8.63"/>
  </cols>
  <sheetData>
    <row r="1" ht="14.25" customHeight="1">
      <c r="C1" s="1"/>
    </row>
    <row r="2" ht="14.25" customHeight="1">
      <c r="C2" s="1"/>
      <c r="D2" s="1"/>
      <c r="E2" s="1"/>
    </row>
    <row r="3" ht="14.25" customHeight="1"/>
    <row r="4" ht="14.25" customHeight="1"/>
    <row r="5" ht="14.25" customHeight="1"/>
    <row r="6" ht="14.25" customHeight="1">
      <c r="C6" s="2"/>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8.25"/>
    <col customWidth="1" min="2" max="2" width="17.88"/>
    <col customWidth="1" min="3" max="3" width="52.63"/>
    <col customWidth="1" min="4" max="4" width="54.75"/>
    <col customWidth="1" min="5" max="26" width="8.63"/>
  </cols>
  <sheetData>
    <row r="1" ht="14.25" customHeight="1">
      <c r="A1" s="3" t="s">
        <v>0</v>
      </c>
      <c r="B1" s="4"/>
      <c r="C1" s="4"/>
      <c r="D1" s="5"/>
    </row>
    <row r="2" ht="14.25" customHeight="1">
      <c r="A2" s="6" t="s">
        <v>1</v>
      </c>
      <c r="B2" s="6" t="s">
        <v>2</v>
      </c>
      <c r="C2" s="6" t="s">
        <v>3</v>
      </c>
      <c r="D2" s="6" t="s">
        <v>4</v>
      </c>
    </row>
    <row r="3" ht="14.25" customHeight="1">
      <c r="A3" s="7" t="s">
        <v>5</v>
      </c>
      <c r="B3" s="7" t="s">
        <v>6</v>
      </c>
      <c r="C3" s="8" t="s">
        <v>7</v>
      </c>
      <c r="D3" s="8" t="s">
        <v>8</v>
      </c>
    </row>
    <row r="4" ht="14.25" customHeight="1">
      <c r="A4" s="7" t="s">
        <v>9</v>
      </c>
      <c r="B4" s="7" t="s">
        <v>10</v>
      </c>
      <c r="C4" s="8" t="s">
        <v>11</v>
      </c>
      <c r="D4" s="8" t="s">
        <v>12</v>
      </c>
    </row>
    <row r="5" ht="14.25" customHeight="1">
      <c r="A5" s="9" t="s">
        <v>13</v>
      </c>
      <c r="B5" s="7" t="s">
        <v>14</v>
      </c>
      <c r="C5" s="8" t="s">
        <v>15</v>
      </c>
      <c r="D5" s="8" t="s">
        <v>16</v>
      </c>
    </row>
    <row r="6" ht="14.25" customHeight="1">
      <c r="A6" s="7" t="s">
        <v>17</v>
      </c>
      <c r="B6" s="7" t="s">
        <v>18</v>
      </c>
      <c r="C6" s="8" t="s">
        <v>19</v>
      </c>
      <c r="D6" s="8" t="s">
        <v>20</v>
      </c>
    </row>
    <row r="7" ht="14.25" customHeight="1"/>
    <row r="8" ht="14.25" customHeight="1">
      <c r="A8" s="1" t="s">
        <v>21</v>
      </c>
    </row>
    <row r="9" ht="14.25" customHeight="1">
      <c r="A9" s="10" t="s">
        <v>22</v>
      </c>
    </row>
    <row r="10" ht="33.0" customHeight="1">
      <c r="A10" s="10" t="s">
        <v>23</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C$14"/>
  <mergeCells count="3">
    <mergeCell ref="A1:D1"/>
    <mergeCell ref="A9:D9"/>
    <mergeCell ref="A10:D10"/>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5"/>
    <col customWidth="1" min="2" max="2" width="34.88"/>
    <col customWidth="1" min="3" max="3" width="13.38"/>
    <col customWidth="1" min="4" max="4" width="15.75"/>
    <col customWidth="1" min="5" max="5" width="30.0"/>
    <col customWidth="1" min="6" max="6" width="16.13"/>
    <col customWidth="1" min="7" max="7" width="13.25"/>
    <col customWidth="1" min="8" max="8" width="15.75"/>
  </cols>
  <sheetData>
    <row r="1">
      <c r="A1" s="11" t="s">
        <v>24</v>
      </c>
      <c r="B1" s="11" t="s">
        <v>25</v>
      </c>
      <c r="C1" s="11" t="s">
        <v>26</v>
      </c>
      <c r="D1" s="12" t="s">
        <v>27</v>
      </c>
      <c r="E1" s="13" t="s">
        <v>28</v>
      </c>
      <c r="F1" s="13" t="s">
        <v>29</v>
      </c>
      <c r="G1" s="13" t="s">
        <v>30</v>
      </c>
      <c r="H1" s="14" t="s">
        <v>31</v>
      </c>
    </row>
    <row r="2">
      <c r="A2" s="15" t="s">
        <v>32</v>
      </c>
      <c r="B2" s="15" t="s">
        <v>33</v>
      </c>
      <c r="C2" s="15" t="s">
        <v>34</v>
      </c>
      <c r="D2" s="15" t="s">
        <v>35</v>
      </c>
      <c r="E2" s="16"/>
      <c r="F2" s="16"/>
      <c r="G2" s="16"/>
      <c r="H2" s="17"/>
    </row>
    <row r="3">
      <c r="A3" s="15" t="s">
        <v>36</v>
      </c>
      <c r="B3" s="15" t="s">
        <v>37</v>
      </c>
      <c r="C3" s="15" t="s">
        <v>34</v>
      </c>
      <c r="D3" s="15" t="s">
        <v>35</v>
      </c>
      <c r="E3" s="16"/>
      <c r="F3" s="16"/>
      <c r="G3" s="16"/>
      <c r="H3" s="17"/>
    </row>
    <row r="4">
      <c r="A4" s="15" t="s">
        <v>38</v>
      </c>
      <c r="B4" s="15" t="s">
        <v>39</v>
      </c>
      <c r="C4" s="15" t="s">
        <v>34</v>
      </c>
      <c r="D4" s="15" t="s">
        <v>35</v>
      </c>
      <c r="E4" s="16"/>
      <c r="F4" s="16"/>
      <c r="G4" s="16"/>
      <c r="H4" s="17"/>
    </row>
    <row r="5">
      <c r="A5" s="15" t="s">
        <v>40</v>
      </c>
      <c r="B5" s="15" t="s">
        <v>41</v>
      </c>
      <c r="C5" s="15" t="s">
        <v>34</v>
      </c>
      <c r="D5" s="15" t="s">
        <v>35</v>
      </c>
      <c r="E5" s="16"/>
      <c r="F5" s="16"/>
      <c r="G5" s="16"/>
      <c r="H5" s="17"/>
    </row>
    <row r="6">
      <c r="A6" s="15" t="s">
        <v>42</v>
      </c>
      <c r="B6" s="15" t="s">
        <v>43</v>
      </c>
      <c r="C6" s="15" t="s">
        <v>34</v>
      </c>
      <c r="D6" s="15" t="s">
        <v>35</v>
      </c>
      <c r="E6" s="16"/>
      <c r="F6" s="16"/>
      <c r="G6" s="16"/>
      <c r="H6" s="17"/>
    </row>
    <row r="7">
      <c r="A7" s="15" t="s">
        <v>44</v>
      </c>
      <c r="B7" s="15" t="s">
        <v>45</v>
      </c>
      <c r="C7" s="15" t="s">
        <v>34</v>
      </c>
      <c r="D7" s="15" t="s">
        <v>35</v>
      </c>
      <c r="E7" s="16"/>
      <c r="F7" s="16"/>
      <c r="G7" s="16"/>
      <c r="H7" s="17"/>
    </row>
    <row r="8">
      <c r="A8" s="15" t="s">
        <v>46</v>
      </c>
      <c r="B8" s="15" t="s">
        <v>47</v>
      </c>
      <c r="C8" s="15" t="s">
        <v>34</v>
      </c>
      <c r="D8" s="15" t="s">
        <v>35</v>
      </c>
      <c r="E8" s="16"/>
      <c r="F8" s="16"/>
      <c r="G8" s="16"/>
      <c r="H8" s="17"/>
    </row>
    <row r="9">
      <c r="A9" s="15" t="s">
        <v>48</v>
      </c>
      <c r="B9" s="15" t="s">
        <v>49</v>
      </c>
      <c r="C9" s="15" t="s">
        <v>34</v>
      </c>
      <c r="D9" s="15" t="s">
        <v>35</v>
      </c>
      <c r="E9" s="16"/>
      <c r="F9" s="16"/>
      <c r="G9" s="16"/>
      <c r="H9" s="17"/>
    </row>
    <row r="10">
      <c r="A10" s="15" t="s">
        <v>50</v>
      </c>
      <c r="B10" s="15" t="s">
        <v>51</v>
      </c>
      <c r="C10" s="15" t="s">
        <v>34</v>
      </c>
      <c r="D10" s="15" t="s">
        <v>35</v>
      </c>
      <c r="E10" s="16"/>
      <c r="F10" s="16"/>
      <c r="G10" s="16"/>
      <c r="H10" s="17"/>
    </row>
    <row r="11">
      <c r="A11" s="15" t="s">
        <v>52</v>
      </c>
      <c r="B11" s="15" t="s">
        <v>53</v>
      </c>
      <c r="C11" s="15" t="s">
        <v>34</v>
      </c>
      <c r="D11" s="15" t="s">
        <v>35</v>
      </c>
      <c r="E11" s="16"/>
      <c r="F11" s="16"/>
      <c r="G11" s="16"/>
      <c r="H11" s="17"/>
    </row>
    <row r="12">
      <c r="A12" s="15" t="s">
        <v>54</v>
      </c>
      <c r="B12" s="15" t="s">
        <v>55</v>
      </c>
      <c r="C12" s="15" t="s">
        <v>34</v>
      </c>
      <c r="D12" s="15" t="s">
        <v>35</v>
      </c>
      <c r="E12" s="16"/>
      <c r="F12" s="16"/>
      <c r="G12" s="16"/>
      <c r="H12" s="17"/>
    </row>
    <row r="13">
      <c r="A13" s="15" t="s">
        <v>56</v>
      </c>
      <c r="B13" s="15" t="s">
        <v>57</v>
      </c>
      <c r="C13" s="15" t="s">
        <v>34</v>
      </c>
      <c r="D13" s="15" t="s">
        <v>35</v>
      </c>
      <c r="E13" s="16"/>
      <c r="F13" s="16"/>
      <c r="G13" s="16"/>
      <c r="H13" s="17"/>
    </row>
    <row r="14">
      <c r="A14" s="15" t="s">
        <v>58</v>
      </c>
      <c r="B14" s="15" t="s">
        <v>59</v>
      </c>
      <c r="C14" s="15" t="s">
        <v>34</v>
      </c>
      <c r="D14" s="15" t="s">
        <v>35</v>
      </c>
      <c r="E14" s="16"/>
      <c r="F14" s="16"/>
      <c r="G14" s="16"/>
      <c r="H14" s="17"/>
    </row>
    <row r="15">
      <c r="A15" s="15" t="s">
        <v>60</v>
      </c>
      <c r="B15" s="15" t="s">
        <v>61</v>
      </c>
      <c r="C15" s="15" t="s">
        <v>34</v>
      </c>
      <c r="D15" s="15" t="s">
        <v>35</v>
      </c>
      <c r="E15" s="16"/>
      <c r="F15" s="16"/>
      <c r="G15" s="16"/>
      <c r="H15" s="17"/>
    </row>
    <row r="16">
      <c r="A16" s="15" t="s">
        <v>62</v>
      </c>
      <c r="B16" s="15" t="s">
        <v>63</v>
      </c>
      <c r="C16" s="15" t="s">
        <v>34</v>
      </c>
      <c r="D16" s="15" t="s">
        <v>35</v>
      </c>
      <c r="E16" s="16"/>
      <c r="F16" s="16"/>
      <c r="G16" s="16"/>
      <c r="H16" s="17"/>
    </row>
    <row r="17">
      <c r="A17" s="15" t="s">
        <v>64</v>
      </c>
      <c r="B17" s="15" t="s">
        <v>65</v>
      </c>
      <c r="C17" s="15" t="s">
        <v>34</v>
      </c>
      <c r="D17" s="15" t="s">
        <v>35</v>
      </c>
      <c r="E17" s="16"/>
      <c r="F17" s="16"/>
      <c r="G17" s="16"/>
      <c r="H17" s="17"/>
    </row>
    <row r="18">
      <c r="A18" s="15" t="s">
        <v>66</v>
      </c>
      <c r="B18" s="15" t="s">
        <v>67</v>
      </c>
      <c r="C18" s="15" t="s">
        <v>34</v>
      </c>
      <c r="D18" s="15" t="s">
        <v>35</v>
      </c>
      <c r="E18" s="16"/>
      <c r="F18" s="16"/>
      <c r="G18" s="16"/>
      <c r="H18" s="17"/>
    </row>
    <row r="19">
      <c r="A19" s="15" t="s">
        <v>68</v>
      </c>
      <c r="B19" s="15" t="s">
        <v>69</v>
      </c>
      <c r="C19" s="15" t="s">
        <v>34</v>
      </c>
      <c r="D19" s="15" t="s">
        <v>35</v>
      </c>
      <c r="E19" s="16"/>
      <c r="F19" s="16"/>
      <c r="G19" s="16"/>
      <c r="H19" s="17"/>
    </row>
    <row r="20">
      <c r="A20" s="15" t="s">
        <v>70</v>
      </c>
      <c r="B20" s="15" t="s">
        <v>71</v>
      </c>
      <c r="C20" s="15" t="s">
        <v>34</v>
      </c>
      <c r="D20" s="15" t="s">
        <v>35</v>
      </c>
      <c r="E20" s="16" t="s">
        <v>72</v>
      </c>
      <c r="F20" s="16" t="s">
        <v>73</v>
      </c>
      <c r="G20" s="16" t="s">
        <v>74</v>
      </c>
      <c r="H20" s="17"/>
    </row>
    <row r="21">
      <c r="A21" s="15" t="s">
        <v>75</v>
      </c>
      <c r="B21" s="15" t="s">
        <v>76</v>
      </c>
      <c r="C21" s="15" t="s">
        <v>34</v>
      </c>
      <c r="D21" s="15" t="s">
        <v>35</v>
      </c>
      <c r="E21" s="16"/>
      <c r="F21" s="16"/>
      <c r="G21" s="16"/>
      <c r="H21" s="17"/>
    </row>
    <row r="22">
      <c r="A22" s="15" t="s">
        <v>77</v>
      </c>
      <c r="B22" s="15" t="s">
        <v>78</v>
      </c>
      <c r="C22" s="15" t="s">
        <v>34</v>
      </c>
      <c r="D22" s="15" t="s">
        <v>35</v>
      </c>
      <c r="E22" s="16"/>
      <c r="F22" s="16"/>
      <c r="G22" s="16"/>
      <c r="H22" s="17"/>
    </row>
    <row r="23">
      <c r="A23" s="15" t="s">
        <v>79</v>
      </c>
      <c r="B23" s="15" t="s">
        <v>80</v>
      </c>
      <c r="C23" s="15" t="s">
        <v>34</v>
      </c>
      <c r="D23" s="15" t="s">
        <v>35</v>
      </c>
      <c r="E23" s="16"/>
      <c r="F23" s="16"/>
      <c r="G23" s="16"/>
      <c r="H23" s="17"/>
    </row>
    <row r="24">
      <c r="A24" s="15" t="s">
        <v>81</v>
      </c>
      <c r="B24" s="15" t="s">
        <v>82</v>
      </c>
      <c r="C24" s="15" t="s">
        <v>34</v>
      </c>
      <c r="D24" s="15" t="s">
        <v>35</v>
      </c>
      <c r="E24" s="16"/>
      <c r="F24" s="16"/>
      <c r="G24" s="16"/>
      <c r="H24" s="17"/>
    </row>
    <row r="25">
      <c r="A25" s="15" t="s">
        <v>83</v>
      </c>
      <c r="B25" s="15" t="s">
        <v>84</v>
      </c>
      <c r="C25" s="15" t="s">
        <v>34</v>
      </c>
      <c r="D25" s="15" t="s">
        <v>35</v>
      </c>
      <c r="E25" s="16"/>
      <c r="F25" s="16"/>
      <c r="G25" s="16"/>
      <c r="H25" s="17"/>
    </row>
    <row r="26">
      <c r="A26" s="15" t="s">
        <v>85</v>
      </c>
      <c r="B26" s="15" t="s">
        <v>86</v>
      </c>
      <c r="C26" s="15" t="s">
        <v>34</v>
      </c>
      <c r="D26" s="15" t="s">
        <v>35</v>
      </c>
      <c r="E26" s="16"/>
      <c r="F26" s="16"/>
      <c r="G26" s="16"/>
      <c r="H26" s="17"/>
    </row>
    <row r="27">
      <c r="A27" s="15" t="s">
        <v>87</v>
      </c>
      <c r="B27" s="15" t="s">
        <v>88</v>
      </c>
      <c r="C27" s="15" t="s">
        <v>34</v>
      </c>
      <c r="D27" s="15" t="s">
        <v>35</v>
      </c>
      <c r="E27" s="16"/>
      <c r="F27" s="16"/>
      <c r="G27" s="16"/>
      <c r="H27" s="17"/>
    </row>
    <row r="28">
      <c r="A28" s="15" t="s">
        <v>89</v>
      </c>
      <c r="B28" s="15" t="s">
        <v>90</v>
      </c>
      <c r="C28" s="15" t="s">
        <v>34</v>
      </c>
      <c r="D28" s="15" t="s">
        <v>35</v>
      </c>
      <c r="E28" s="16"/>
      <c r="F28" s="16"/>
      <c r="G28" s="16"/>
      <c r="H28" s="17"/>
    </row>
    <row r="29">
      <c r="A29" s="15" t="s">
        <v>91</v>
      </c>
      <c r="B29" s="15" t="s">
        <v>92</v>
      </c>
      <c r="C29" s="15" t="s">
        <v>34</v>
      </c>
      <c r="D29" s="15" t="s">
        <v>35</v>
      </c>
      <c r="E29" s="16" t="s">
        <v>72</v>
      </c>
      <c r="F29" s="16" t="s">
        <v>93</v>
      </c>
      <c r="G29" s="16" t="s">
        <v>74</v>
      </c>
      <c r="H29" s="17"/>
    </row>
    <row r="30">
      <c r="A30" s="15" t="s">
        <v>94</v>
      </c>
      <c r="B30" s="15" t="s">
        <v>95</v>
      </c>
      <c r="C30" s="15" t="s">
        <v>34</v>
      </c>
      <c r="D30" s="15" t="s">
        <v>35</v>
      </c>
      <c r="E30" s="16"/>
      <c r="F30" s="16"/>
      <c r="G30" s="16"/>
      <c r="H30" s="17"/>
    </row>
    <row r="31">
      <c r="A31" s="15" t="s">
        <v>96</v>
      </c>
      <c r="B31" s="15" t="s">
        <v>97</v>
      </c>
      <c r="C31" s="15" t="s">
        <v>34</v>
      </c>
      <c r="D31" s="15" t="s">
        <v>35</v>
      </c>
      <c r="E31" s="16"/>
      <c r="F31" s="16"/>
      <c r="G31" s="16"/>
      <c r="H31" s="17"/>
    </row>
    <row r="32">
      <c r="A32" s="15" t="s">
        <v>98</v>
      </c>
      <c r="B32" s="15" t="s">
        <v>99</v>
      </c>
      <c r="C32" s="15" t="s">
        <v>35</v>
      </c>
      <c r="D32" s="15" t="s">
        <v>35</v>
      </c>
      <c r="E32" s="16"/>
      <c r="F32" s="16"/>
      <c r="G32" s="16"/>
      <c r="H32" s="17"/>
    </row>
    <row r="33">
      <c r="A33" s="18"/>
      <c r="B33" s="15" t="s">
        <v>100</v>
      </c>
      <c r="C33" s="15" t="s">
        <v>35</v>
      </c>
      <c r="D33" s="15" t="s">
        <v>35</v>
      </c>
      <c r="E33" s="16"/>
      <c r="F33" s="16"/>
      <c r="G33" s="16"/>
      <c r="H33" s="17"/>
    </row>
    <row r="34">
      <c r="A34" s="15" t="s">
        <v>101</v>
      </c>
      <c r="B34" s="15" t="s">
        <v>102</v>
      </c>
      <c r="C34" s="15" t="s">
        <v>35</v>
      </c>
      <c r="D34" s="15" t="s">
        <v>35</v>
      </c>
      <c r="E34" s="16"/>
      <c r="F34" s="16"/>
      <c r="G34" s="16"/>
      <c r="H34" s="17"/>
    </row>
    <row r="35">
      <c r="A35" s="18"/>
      <c r="B35" s="15" t="s">
        <v>103</v>
      </c>
      <c r="C35" s="15" t="s">
        <v>35</v>
      </c>
      <c r="D35" s="15" t="s">
        <v>35</v>
      </c>
      <c r="E35" s="16"/>
      <c r="F35" s="16"/>
      <c r="G35" s="16"/>
      <c r="H35" s="17"/>
    </row>
    <row r="36">
      <c r="A36" s="18"/>
      <c r="B36" s="15" t="s">
        <v>104</v>
      </c>
      <c r="C36" s="15" t="s">
        <v>35</v>
      </c>
      <c r="D36" s="15" t="s">
        <v>35</v>
      </c>
      <c r="E36" s="16"/>
      <c r="F36" s="16"/>
      <c r="G36" s="16"/>
      <c r="H36" s="17"/>
    </row>
    <row r="37">
      <c r="A37" s="15" t="s">
        <v>105</v>
      </c>
      <c r="B37" s="15" t="s">
        <v>106</v>
      </c>
      <c r="C37" s="15" t="s">
        <v>34</v>
      </c>
      <c r="D37" s="15" t="s">
        <v>35</v>
      </c>
      <c r="E37" s="16"/>
      <c r="F37" s="16"/>
      <c r="G37" s="16"/>
      <c r="H37" s="17"/>
    </row>
    <row r="38">
      <c r="A38" s="15" t="s">
        <v>107</v>
      </c>
      <c r="B38" s="15" t="s">
        <v>108</v>
      </c>
      <c r="C38" s="15" t="s">
        <v>34</v>
      </c>
      <c r="D38" s="15" t="s">
        <v>35</v>
      </c>
      <c r="E38" s="16"/>
      <c r="F38" s="16"/>
      <c r="G38" s="16"/>
      <c r="H38" s="17"/>
    </row>
    <row r="39">
      <c r="A39" s="15" t="s">
        <v>109</v>
      </c>
      <c r="B39" s="15" t="s">
        <v>110</v>
      </c>
      <c r="C39" s="15" t="s">
        <v>34</v>
      </c>
      <c r="D39" s="15" t="s">
        <v>35</v>
      </c>
      <c r="E39" s="16" t="s">
        <v>72</v>
      </c>
      <c r="F39" s="16" t="s">
        <v>111</v>
      </c>
      <c r="G39" s="16" t="s">
        <v>74</v>
      </c>
      <c r="H39" s="17"/>
    </row>
    <row r="40">
      <c r="A40" s="15" t="s">
        <v>112</v>
      </c>
      <c r="B40" s="15" t="s">
        <v>113</v>
      </c>
      <c r="C40" s="15" t="s">
        <v>34</v>
      </c>
      <c r="D40" s="15" t="s">
        <v>35</v>
      </c>
      <c r="E40" s="16"/>
      <c r="F40" s="16"/>
      <c r="G40" s="16"/>
      <c r="H40" s="17"/>
    </row>
    <row r="41">
      <c r="A41" s="15" t="s">
        <v>114</v>
      </c>
      <c r="B41" s="15" t="s">
        <v>115</v>
      </c>
      <c r="C41" s="15" t="s">
        <v>34</v>
      </c>
      <c r="D41" s="15" t="s">
        <v>35</v>
      </c>
      <c r="E41" s="16"/>
      <c r="F41" s="16"/>
      <c r="G41" s="16"/>
      <c r="H41" s="17"/>
    </row>
    <row r="42">
      <c r="A42" s="15" t="s">
        <v>116</v>
      </c>
      <c r="B42" s="15" t="s">
        <v>117</v>
      </c>
      <c r="C42" s="15" t="s">
        <v>34</v>
      </c>
      <c r="D42" s="15" t="s">
        <v>35</v>
      </c>
      <c r="E42" s="16"/>
      <c r="F42" s="16"/>
      <c r="G42" s="16"/>
      <c r="H42" s="17"/>
    </row>
    <row r="43">
      <c r="A43" s="15" t="s">
        <v>118</v>
      </c>
      <c r="B43" s="15" t="s">
        <v>119</v>
      </c>
      <c r="C43" s="15" t="s">
        <v>34</v>
      </c>
      <c r="D43" s="15" t="s">
        <v>35</v>
      </c>
      <c r="E43" s="16"/>
      <c r="F43" s="16"/>
      <c r="G43" s="16"/>
      <c r="H43" s="17"/>
    </row>
    <row r="44">
      <c r="A44" s="15" t="s">
        <v>120</v>
      </c>
      <c r="B44" s="15" t="s">
        <v>121</v>
      </c>
      <c r="C44" s="15" t="s">
        <v>122</v>
      </c>
      <c r="D44" s="15" t="s">
        <v>35</v>
      </c>
      <c r="E44" s="16"/>
      <c r="F44" s="16"/>
      <c r="G44" s="16"/>
      <c r="H44" s="17"/>
    </row>
    <row r="45">
      <c r="A45" s="15" t="s">
        <v>123</v>
      </c>
      <c r="B45" s="15" t="s">
        <v>124</v>
      </c>
      <c r="C45" s="15" t="s">
        <v>122</v>
      </c>
      <c r="D45" s="15" t="s">
        <v>35</v>
      </c>
      <c r="E45" s="16"/>
      <c r="F45" s="16"/>
      <c r="G45" s="16"/>
      <c r="H45" s="17"/>
    </row>
    <row r="46">
      <c r="A46" s="15" t="s">
        <v>125</v>
      </c>
      <c r="B46" s="15" t="s">
        <v>126</v>
      </c>
      <c r="C46" s="15" t="s">
        <v>122</v>
      </c>
      <c r="D46" s="15" t="s">
        <v>35</v>
      </c>
      <c r="E46" s="16"/>
      <c r="F46" s="16"/>
      <c r="G46" s="16"/>
      <c r="H46" s="17"/>
    </row>
    <row r="47">
      <c r="A47" s="15" t="s">
        <v>127</v>
      </c>
      <c r="B47" s="15" t="s">
        <v>128</v>
      </c>
      <c r="C47" s="15" t="s">
        <v>34</v>
      </c>
      <c r="D47" s="15" t="s">
        <v>35</v>
      </c>
      <c r="E47" s="16"/>
      <c r="F47" s="16"/>
      <c r="G47" s="16"/>
      <c r="H47" s="17"/>
    </row>
    <row r="48">
      <c r="A48" s="15" t="s">
        <v>129</v>
      </c>
      <c r="B48" s="15" t="s">
        <v>130</v>
      </c>
      <c r="C48" s="15" t="s">
        <v>122</v>
      </c>
      <c r="D48" s="15" t="s">
        <v>35</v>
      </c>
      <c r="E48" s="16"/>
      <c r="F48" s="16"/>
      <c r="G48" s="16"/>
      <c r="H48" s="17"/>
    </row>
    <row r="49">
      <c r="A49" s="15" t="s">
        <v>131</v>
      </c>
      <c r="B49" s="15" t="s">
        <v>132</v>
      </c>
      <c r="C49" s="15" t="s">
        <v>34</v>
      </c>
      <c r="D49" s="15" t="s">
        <v>35</v>
      </c>
      <c r="E49" s="16"/>
      <c r="F49" s="16"/>
      <c r="G49" s="16"/>
      <c r="H49" s="17"/>
    </row>
    <row r="50">
      <c r="A50" s="15" t="s">
        <v>133</v>
      </c>
      <c r="B50" s="15" t="s">
        <v>134</v>
      </c>
      <c r="C50" s="15" t="s">
        <v>34</v>
      </c>
      <c r="D50" s="15" t="s">
        <v>35</v>
      </c>
      <c r="E50" s="16"/>
      <c r="F50" s="16"/>
      <c r="G50" s="16"/>
      <c r="H50" s="17"/>
    </row>
    <row r="51">
      <c r="A51" s="15" t="s">
        <v>135</v>
      </c>
      <c r="B51" s="15" t="s">
        <v>136</v>
      </c>
      <c r="C51" s="15" t="s">
        <v>34</v>
      </c>
      <c r="D51" s="15" t="s">
        <v>35</v>
      </c>
      <c r="E51" s="16"/>
      <c r="F51" s="16"/>
      <c r="G51" s="16"/>
      <c r="H51" s="17"/>
    </row>
    <row r="52">
      <c r="A52" s="15" t="s">
        <v>137</v>
      </c>
      <c r="B52" s="15" t="s">
        <v>138</v>
      </c>
      <c r="C52" s="15" t="s">
        <v>122</v>
      </c>
      <c r="D52" s="15" t="s">
        <v>35</v>
      </c>
      <c r="E52" s="16"/>
      <c r="F52" s="16"/>
      <c r="G52" s="16"/>
      <c r="H52" s="17"/>
    </row>
    <row r="53">
      <c r="A53" s="15" t="s">
        <v>139</v>
      </c>
      <c r="B53" s="15" t="s">
        <v>140</v>
      </c>
      <c r="C53" s="15" t="s">
        <v>122</v>
      </c>
      <c r="D53" s="15" t="s">
        <v>35</v>
      </c>
      <c r="E53" s="16"/>
      <c r="F53" s="16"/>
      <c r="G53" s="16"/>
      <c r="H53" s="17"/>
    </row>
    <row r="54">
      <c r="A54" s="15" t="s">
        <v>141</v>
      </c>
      <c r="B54" s="15" t="s">
        <v>142</v>
      </c>
      <c r="C54" s="15" t="s">
        <v>122</v>
      </c>
      <c r="D54" s="15" t="s">
        <v>35</v>
      </c>
      <c r="E54" s="16"/>
      <c r="F54" s="16"/>
      <c r="G54" s="16"/>
      <c r="H54" s="17"/>
    </row>
    <row r="55">
      <c r="A55" s="15" t="s">
        <v>143</v>
      </c>
      <c r="B55" s="15" t="s">
        <v>144</v>
      </c>
      <c r="C55" s="15" t="s">
        <v>122</v>
      </c>
      <c r="D55" s="15" t="s">
        <v>35</v>
      </c>
      <c r="E55" s="16"/>
      <c r="F55" s="16"/>
      <c r="G55" s="16"/>
      <c r="H55" s="17"/>
    </row>
    <row r="56">
      <c r="A56" s="15" t="s">
        <v>145</v>
      </c>
      <c r="B56" s="15" t="s">
        <v>146</v>
      </c>
      <c r="C56" s="15" t="s">
        <v>122</v>
      </c>
      <c r="D56" s="15" t="s">
        <v>35</v>
      </c>
      <c r="E56" s="16"/>
      <c r="F56" s="16"/>
      <c r="G56" s="16"/>
      <c r="H56" s="17"/>
    </row>
    <row r="57">
      <c r="A57" s="15" t="s">
        <v>147</v>
      </c>
      <c r="B57" s="15" t="s">
        <v>148</v>
      </c>
      <c r="C57" s="15" t="s">
        <v>122</v>
      </c>
      <c r="D57" s="15" t="s">
        <v>35</v>
      </c>
      <c r="E57" s="16"/>
      <c r="F57" s="16"/>
      <c r="G57" s="16"/>
      <c r="H57" s="17"/>
    </row>
    <row r="58">
      <c r="A58" s="15" t="s">
        <v>149</v>
      </c>
      <c r="B58" s="15" t="s">
        <v>150</v>
      </c>
      <c r="C58" s="15" t="s">
        <v>122</v>
      </c>
      <c r="D58" s="15" t="s">
        <v>35</v>
      </c>
      <c r="E58" s="16"/>
      <c r="F58" s="16"/>
      <c r="G58" s="16"/>
      <c r="H58" s="17"/>
    </row>
    <row r="59">
      <c r="A59" s="15" t="s">
        <v>151</v>
      </c>
      <c r="B59" s="15" t="s">
        <v>152</v>
      </c>
      <c r="C59" s="15" t="s">
        <v>122</v>
      </c>
      <c r="D59" s="15" t="s">
        <v>35</v>
      </c>
      <c r="E59" s="16"/>
      <c r="F59" s="16"/>
      <c r="G59" s="16"/>
      <c r="H59" s="17"/>
    </row>
    <row r="60">
      <c r="A60" s="15" t="s">
        <v>153</v>
      </c>
      <c r="B60" s="15" t="s">
        <v>154</v>
      </c>
      <c r="C60" s="15" t="s">
        <v>34</v>
      </c>
      <c r="D60" s="15" t="s">
        <v>35</v>
      </c>
      <c r="E60" s="16"/>
      <c r="F60" s="16"/>
      <c r="G60" s="16"/>
      <c r="H60" s="17"/>
    </row>
    <row r="61">
      <c r="A61" s="15" t="s">
        <v>155</v>
      </c>
      <c r="B61" s="15" t="s">
        <v>156</v>
      </c>
      <c r="C61" s="15" t="s">
        <v>34</v>
      </c>
      <c r="D61" s="15" t="s">
        <v>35</v>
      </c>
      <c r="E61" s="16"/>
      <c r="F61" s="16"/>
      <c r="G61" s="16"/>
      <c r="H61" s="17"/>
    </row>
    <row r="62">
      <c r="A62" s="15" t="s">
        <v>157</v>
      </c>
      <c r="B62" s="15" t="s">
        <v>158</v>
      </c>
      <c r="C62" s="15" t="s">
        <v>122</v>
      </c>
      <c r="D62" s="15" t="s">
        <v>35</v>
      </c>
      <c r="E62" s="16"/>
      <c r="F62" s="16"/>
      <c r="G62" s="16"/>
      <c r="H62" s="17"/>
    </row>
    <row r="63">
      <c r="A63" s="15" t="s">
        <v>159</v>
      </c>
      <c r="B63" s="15" t="s">
        <v>160</v>
      </c>
      <c r="C63" s="15" t="s">
        <v>122</v>
      </c>
      <c r="D63" s="15" t="s">
        <v>35</v>
      </c>
      <c r="E63" s="16"/>
      <c r="F63" s="16"/>
      <c r="G63" s="16"/>
      <c r="H63" s="17"/>
    </row>
    <row r="64">
      <c r="A64" s="15" t="s">
        <v>161</v>
      </c>
      <c r="B64" s="15" t="s">
        <v>162</v>
      </c>
      <c r="C64" s="15" t="s">
        <v>122</v>
      </c>
      <c r="D64" s="15" t="s">
        <v>35</v>
      </c>
      <c r="E64" s="16"/>
      <c r="F64" s="16"/>
      <c r="G64" s="16"/>
      <c r="H64" s="17"/>
    </row>
    <row r="65">
      <c r="A65" s="15" t="s">
        <v>163</v>
      </c>
      <c r="B65" s="15" t="s">
        <v>164</v>
      </c>
      <c r="C65" s="15" t="s">
        <v>122</v>
      </c>
      <c r="D65" s="15" t="s">
        <v>35</v>
      </c>
      <c r="E65" s="16"/>
      <c r="F65" s="16"/>
      <c r="G65" s="16"/>
      <c r="H65" s="17"/>
    </row>
    <row r="66">
      <c r="A66" s="15" t="s">
        <v>165</v>
      </c>
      <c r="B66" s="15" t="s">
        <v>166</v>
      </c>
      <c r="C66" s="15" t="s">
        <v>122</v>
      </c>
      <c r="D66" s="15" t="s">
        <v>35</v>
      </c>
      <c r="E66" s="16"/>
      <c r="F66" s="16"/>
      <c r="G66" s="16"/>
      <c r="H66" s="17"/>
    </row>
    <row r="67">
      <c r="A67" s="15" t="s">
        <v>167</v>
      </c>
      <c r="B67" s="15" t="s">
        <v>168</v>
      </c>
      <c r="C67" s="15" t="s">
        <v>122</v>
      </c>
      <c r="D67" s="15" t="s">
        <v>35</v>
      </c>
      <c r="E67" s="16"/>
      <c r="F67" s="16"/>
      <c r="G67" s="16"/>
      <c r="H67" s="17"/>
    </row>
    <row r="68">
      <c r="A68" s="15" t="s">
        <v>169</v>
      </c>
      <c r="B68" s="15" t="s">
        <v>170</v>
      </c>
      <c r="C68" s="15" t="s">
        <v>122</v>
      </c>
      <c r="D68" s="15" t="s">
        <v>35</v>
      </c>
      <c r="E68" s="16"/>
      <c r="F68" s="16"/>
      <c r="G68" s="16"/>
      <c r="H68" s="17"/>
    </row>
    <row r="69">
      <c r="A69" s="15" t="s">
        <v>171</v>
      </c>
      <c r="B69" s="15" t="s">
        <v>172</v>
      </c>
      <c r="C69" s="15" t="s">
        <v>122</v>
      </c>
      <c r="D69" s="15" t="s">
        <v>35</v>
      </c>
      <c r="E69" s="16"/>
      <c r="F69" s="16"/>
      <c r="G69" s="16"/>
      <c r="H69" s="17"/>
    </row>
    <row r="70">
      <c r="A70" s="15" t="s">
        <v>173</v>
      </c>
      <c r="B70" s="15" t="s">
        <v>174</v>
      </c>
      <c r="C70" s="15" t="s">
        <v>122</v>
      </c>
      <c r="D70" s="15" t="s">
        <v>35</v>
      </c>
      <c r="E70" s="16"/>
      <c r="F70" s="16"/>
      <c r="G70" s="16"/>
      <c r="H70" s="17"/>
    </row>
    <row r="71">
      <c r="A71" s="15" t="s">
        <v>175</v>
      </c>
      <c r="B71" s="15" t="s">
        <v>176</v>
      </c>
      <c r="C71" s="15" t="s">
        <v>122</v>
      </c>
      <c r="D71" s="15" t="s">
        <v>35</v>
      </c>
      <c r="E71" s="16"/>
      <c r="F71" s="16"/>
      <c r="G71" s="16"/>
      <c r="H71" s="17"/>
    </row>
    <row r="72">
      <c r="A72" s="15" t="s">
        <v>177</v>
      </c>
      <c r="B72" s="15" t="s">
        <v>178</v>
      </c>
      <c r="C72" s="15" t="s">
        <v>122</v>
      </c>
      <c r="D72" s="15" t="s">
        <v>35</v>
      </c>
      <c r="E72" s="16"/>
      <c r="F72" s="16"/>
      <c r="G72" s="16"/>
      <c r="H72" s="17"/>
    </row>
    <row r="73">
      <c r="A73" s="15" t="s">
        <v>179</v>
      </c>
      <c r="B73" s="15" t="s">
        <v>180</v>
      </c>
      <c r="C73" s="15" t="s">
        <v>122</v>
      </c>
      <c r="D73" s="15" t="s">
        <v>35</v>
      </c>
      <c r="E73" s="16"/>
      <c r="F73" s="16"/>
      <c r="G73" s="16"/>
      <c r="H73" s="17"/>
    </row>
    <row r="74">
      <c r="A74" s="15" t="s">
        <v>181</v>
      </c>
      <c r="B74" s="15" t="s">
        <v>182</v>
      </c>
      <c r="C74" s="15" t="s">
        <v>122</v>
      </c>
      <c r="D74" s="15" t="s">
        <v>35</v>
      </c>
      <c r="E74" s="16"/>
      <c r="F74" s="16"/>
      <c r="G74" s="16"/>
      <c r="H74" s="17"/>
    </row>
    <row r="75">
      <c r="A75" s="15" t="s">
        <v>183</v>
      </c>
      <c r="B75" s="15" t="s">
        <v>184</v>
      </c>
      <c r="C75" s="15" t="s">
        <v>122</v>
      </c>
      <c r="D75" s="15" t="s">
        <v>35</v>
      </c>
      <c r="E75" s="16"/>
      <c r="F75" s="16"/>
      <c r="G75" s="16"/>
      <c r="H75" s="17"/>
    </row>
    <row r="76">
      <c r="A76" s="15" t="s">
        <v>185</v>
      </c>
      <c r="B76" s="15" t="s">
        <v>186</v>
      </c>
      <c r="C76" s="15" t="s">
        <v>122</v>
      </c>
      <c r="D76" s="15" t="s">
        <v>35</v>
      </c>
      <c r="E76" s="16"/>
      <c r="F76" s="16"/>
      <c r="G76" s="16"/>
      <c r="H76" s="17"/>
    </row>
    <row r="77">
      <c r="A77" s="15" t="s">
        <v>187</v>
      </c>
      <c r="B77" s="15" t="s">
        <v>188</v>
      </c>
      <c r="C77" s="15" t="s">
        <v>122</v>
      </c>
      <c r="D77" s="15" t="s">
        <v>35</v>
      </c>
      <c r="E77" s="16"/>
      <c r="F77" s="16"/>
      <c r="G77" s="16"/>
      <c r="H77" s="17"/>
    </row>
    <row r="78">
      <c r="A78" s="15" t="s">
        <v>189</v>
      </c>
      <c r="B78" s="15" t="s">
        <v>190</v>
      </c>
      <c r="C78" s="15" t="s">
        <v>122</v>
      </c>
      <c r="D78" s="15" t="s">
        <v>35</v>
      </c>
      <c r="E78" s="16"/>
      <c r="F78" s="16"/>
      <c r="G78" s="16"/>
      <c r="H78" s="17"/>
    </row>
    <row r="79">
      <c r="A79" s="15" t="s">
        <v>191</v>
      </c>
      <c r="B79" s="15" t="s">
        <v>192</v>
      </c>
      <c r="C79" s="15" t="s">
        <v>122</v>
      </c>
      <c r="D79" s="15" t="s">
        <v>35</v>
      </c>
      <c r="E79" s="16"/>
      <c r="F79" s="16"/>
      <c r="G79" s="16"/>
      <c r="H79" s="17"/>
    </row>
    <row r="80">
      <c r="A80" s="15" t="s">
        <v>193</v>
      </c>
      <c r="B80" s="15" t="s">
        <v>194</v>
      </c>
      <c r="C80" s="15" t="s">
        <v>34</v>
      </c>
      <c r="D80" s="15" t="s">
        <v>35</v>
      </c>
      <c r="E80" s="16" t="s">
        <v>195</v>
      </c>
      <c r="F80" s="16"/>
      <c r="G80" s="16"/>
      <c r="H80" s="17"/>
    </row>
    <row r="81">
      <c r="A81" s="15" t="s">
        <v>196</v>
      </c>
      <c r="B81" s="15" t="s">
        <v>197</v>
      </c>
      <c r="C81" s="15" t="s">
        <v>34</v>
      </c>
      <c r="D81" s="15" t="s">
        <v>35</v>
      </c>
      <c r="E81" s="16"/>
      <c r="F81" s="16"/>
      <c r="G81" s="16"/>
      <c r="H81" s="17"/>
    </row>
    <row r="82">
      <c r="A82" s="15" t="s">
        <v>198</v>
      </c>
      <c r="B82" s="15" t="s">
        <v>199</v>
      </c>
      <c r="C82" s="15" t="s">
        <v>34</v>
      </c>
      <c r="D82" s="15" t="s">
        <v>35</v>
      </c>
      <c r="E82" s="16" t="s">
        <v>72</v>
      </c>
      <c r="F82" s="16" t="s">
        <v>200</v>
      </c>
      <c r="G82" s="16" t="s">
        <v>74</v>
      </c>
      <c r="H82" s="17"/>
    </row>
    <row r="83">
      <c r="A83" s="15" t="s">
        <v>201</v>
      </c>
      <c r="B83" s="15" t="s">
        <v>202</v>
      </c>
      <c r="C83" s="15" t="s">
        <v>34</v>
      </c>
      <c r="D83" s="15" t="s">
        <v>35</v>
      </c>
      <c r="E83" s="16" t="s">
        <v>72</v>
      </c>
      <c r="F83" s="16" t="s">
        <v>203</v>
      </c>
      <c r="G83" s="16" t="s">
        <v>74</v>
      </c>
      <c r="H83" s="17"/>
    </row>
    <row r="84">
      <c r="A84" s="15" t="s">
        <v>204</v>
      </c>
      <c r="B84" s="15" t="s">
        <v>205</v>
      </c>
      <c r="C84" s="15" t="s">
        <v>34</v>
      </c>
      <c r="D84" s="15" t="s">
        <v>35</v>
      </c>
      <c r="E84" s="16"/>
      <c r="F84" s="16"/>
      <c r="G84" s="16"/>
      <c r="H84" s="17"/>
    </row>
    <row r="85">
      <c r="A85" s="15" t="s">
        <v>206</v>
      </c>
      <c r="B85" s="15" t="s">
        <v>207</v>
      </c>
      <c r="C85" s="15" t="s">
        <v>34</v>
      </c>
      <c r="D85" s="15" t="s">
        <v>35</v>
      </c>
      <c r="E85" s="16"/>
      <c r="F85" s="16"/>
      <c r="G85" s="16"/>
      <c r="H85" s="17"/>
    </row>
    <row r="86">
      <c r="A86" s="15" t="s">
        <v>208</v>
      </c>
      <c r="B86" s="15" t="s">
        <v>209</v>
      </c>
      <c r="C86" s="15" t="s">
        <v>34</v>
      </c>
      <c r="D86" s="15" t="s">
        <v>35</v>
      </c>
      <c r="E86" s="16" t="s">
        <v>72</v>
      </c>
      <c r="F86" s="16" t="s">
        <v>210</v>
      </c>
      <c r="G86" s="16" t="s">
        <v>211</v>
      </c>
      <c r="H86" s="17"/>
    </row>
    <row r="87">
      <c r="A87" s="15" t="s">
        <v>212</v>
      </c>
      <c r="B87" s="15" t="s">
        <v>213</v>
      </c>
      <c r="C87" s="15" t="s">
        <v>34</v>
      </c>
      <c r="D87" s="15" t="s">
        <v>35</v>
      </c>
      <c r="E87" s="16"/>
      <c r="F87" s="16"/>
      <c r="G87" s="16"/>
      <c r="H87" s="17"/>
    </row>
    <row r="88">
      <c r="A88" s="15" t="s">
        <v>214</v>
      </c>
      <c r="B88" s="15" t="s">
        <v>215</v>
      </c>
      <c r="C88" s="15" t="s">
        <v>34</v>
      </c>
      <c r="D88" s="15" t="s">
        <v>35</v>
      </c>
      <c r="E88" s="16"/>
      <c r="F88" s="16"/>
      <c r="G88" s="16"/>
      <c r="H88" s="17"/>
    </row>
    <row r="89">
      <c r="A89" s="15" t="s">
        <v>216</v>
      </c>
      <c r="B89" s="15" t="s">
        <v>217</v>
      </c>
      <c r="C89" s="15" t="s">
        <v>34</v>
      </c>
      <c r="D89" s="15" t="s">
        <v>35</v>
      </c>
      <c r="E89" s="16"/>
      <c r="F89" s="16"/>
      <c r="G89" s="16"/>
      <c r="H89" s="17"/>
    </row>
    <row r="90">
      <c r="A90" s="15" t="s">
        <v>218</v>
      </c>
      <c r="B90" s="15" t="s">
        <v>219</v>
      </c>
      <c r="C90" s="15" t="s">
        <v>34</v>
      </c>
      <c r="D90" s="15" t="s">
        <v>35</v>
      </c>
      <c r="E90" s="16"/>
      <c r="F90" s="16"/>
      <c r="G90" s="16"/>
      <c r="H90" s="17"/>
    </row>
    <row r="91">
      <c r="A91" s="15" t="s">
        <v>220</v>
      </c>
      <c r="B91" s="15" t="s">
        <v>221</v>
      </c>
      <c r="C91" s="15" t="s">
        <v>34</v>
      </c>
      <c r="D91" s="15" t="s">
        <v>35</v>
      </c>
      <c r="E91" s="16"/>
      <c r="F91" s="16"/>
      <c r="G91" s="16"/>
      <c r="H91" s="17"/>
    </row>
    <row r="92">
      <c r="A92" s="15" t="s">
        <v>222</v>
      </c>
      <c r="B92" s="15" t="s">
        <v>223</v>
      </c>
      <c r="C92" s="15" t="s">
        <v>34</v>
      </c>
      <c r="D92" s="15" t="s">
        <v>35</v>
      </c>
      <c r="E92" s="16"/>
      <c r="F92" s="16"/>
      <c r="G92" s="16"/>
      <c r="H92" s="17"/>
    </row>
    <row r="93">
      <c r="A93" s="15" t="s">
        <v>224</v>
      </c>
      <c r="B93" s="15" t="s">
        <v>225</v>
      </c>
      <c r="C93" s="15" t="s">
        <v>34</v>
      </c>
      <c r="D93" s="15" t="s">
        <v>35</v>
      </c>
      <c r="E93" s="16"/>
      <c r="F93" s="16"/>
      <c r="G93" s="16"/>
      <c r="H93" s="17"/>
    </row>
    <row r="94">
      <c r="A94" s="15" t="s">
        <v>226</v>
      </c>
      <c r="B94" s="15" t="s">
        <v>227</v>
      </c>
      <c r="C94" s="15" t="s">
        <v>34</v>
      </c>
      <c r="D94" s="15" t="s">
        <v>35</v>
      </c>
      <c r="E94" s="16"/>
      <c r="F94" s="16"/>
      <c r="G94" s="16"/>
      <c r="H94" s="17"/>
    </row>
    <row r="95">
      <c r="A95" s="15" t="s">
        <v>228</v>
      </c>
      <c r="B95" s="15" t="s">
        <v>229</v>
      </c>
      <c r="C95" s="15" t="s">
        <v>34</v>
      </c>
      <c r="D95" s="15" t="s">
        <v>35</v>
      </c>
      <c r="E95" s="16"/>
      <c r="F95" s="16"/>
      <c r="G95" s="16"/>
      <c r="H95" s="17"/>
    </row>
    <row r="96">
      <c r="A96" s="15" t="s">
        <v>230</v>
      </c>
      <c r="B96" s="15" t="s">
        <v>231</v>
      </c>
      <c r="C96" s="15" t="s">
        <v>34</v>
      </c>
      <c r="D96" s="15" t="s">
        <v>35</v>
      </c>
      <c r="E96" s="16"/>
      <c r="F96" s="16"/>
      <c r="G96" s="16"/>
      <c r="H96" s="17"/>
    </row>
    <row r="97">
      <c r="A97" s="15" t="s">
        <v>232</v>
      </c>
      <c r="B97" s="15" t="s">
        <v>233</v>
      </c>
      <c r="C97" s="15" t="s">
        <v>34</v>
      </c>
      <c r="D97" s="15" t="s">
        <v>35</v>
      </c>
      <c r="E97" s="16"/>
      <c r="F97" s="16"/>
      <c r="G97" s="16"/>
      <c r="H97" s="17"/>
    </row>
    <row r="98">
      <c r="A98" s="15" t="s">
        <v>234</v>
      </c>
      <c r="B98" s="15" t="s">
        <v>235</v>
      </c>
      <c r="C98" s="15" t="s">
        <v>34</v>
      </c>
      <c r="D98" s="15" t="s">
        <v>35</v>
      </c>
      <c r="E98" s="16"/>
      <c r="F98" s="16"/>
      <c r="G98" s="16"/>
      <c r="H98" s="17"/>
    </row>
    <row r="99">
      <c r="A99" s="15" t="s">
        <v>236</v>
      </c>
      <c r="B99" s="15" t="s">
        <v>237</v>
      </c>
      <c r="C99" s="15" t="s">
        <v>34</v>
      </c>
      <c r="D99" s="15" t="s">
        <v>35</v>
      </c>
      <c r="E99" s="16"/>
      <c r="F99" s="16"/>
      <c r="G99" s="16"/>
      <c r="H99" s="17"/>
    </row>
    <row r="100">
      <c r="A100" s="15" t="s">
        <v>238</v>
      </c>
      <c r="B100" s="15" t="s">
        <v>239</v>
      </c>
      <c r="C100" s="15" t="s">
        <v>122</v>
      </c>
      <c r="D100" s="15" t="s">
        <v>35</v>
      </c>
      <c r="E100" s="16"/>
      <c r="F100" s="16"/>
      <c r="G100" s="16"/>
      <c r="H100" s="17"/>
    </row>
    <row r="101">
      <c r="A101" s="15" t="s">
        <v>240</v>
      </c>
      <c r="B101" s="15" t="s">
        <v>241</v>
      </c>
      <c r="C101" s="15" t="s">
        <v>34</v>
      </c>
      <c r="D101" s="15" t="s">
        <v>35</v>
      </c>
      <c r="E101" s="16"/>
      <c r="F101" s="16"/>
      <c r="G101" s="16"/>
      <c r="H101" s="17"/>
    </row>
    <row r="102">
      <c r="A102" s="15" t="s">
        <v>242</v>
      </c>
      <c r="B102" s="15" t="s">
        <v>243</v>
      </c>
      <c r="C102" s="15" t="s">
        <v>34</v>
      </c>
      <c r="D102" s="15" t="s">
        <v>35</v>
      </c>
      <c r="E102" s="16"/>
      <c r="F102" s="16"/>
      <c r="G102" s="16"/>
      <c r="H102" s="17"/>
    </row>
    <row r="103">
      <c r="A103" s="15" t="s">
        <v>244</v>
      </c>
      <c r="B103" s="15" t="s">
        <v>245</v>
      </c>
      <c r="C103" s="15" t="s">
        <v>122</v>
      </c>
      <c r="D103" s="15" t="s">
        <v>35</v>
      </c>
      <c r="E103" s="16"/>
      <c r="F103" s="16"/>
      <c r="G103" s="16"/>
      <c r="H103" s="17"/>
    </row>
    <row r="104">
      <c r="A104" s="15" t="s">
        <v>246</v>
      </c>
      <c r="B104" s="15" t="s">
        <v>247</v>
      </c>
      <c r="C104" s="15" t="s">
        <v>122</v>
      </c>
      <c r="D104" s="15" t="s">
        <v>35</v>
      </c>
      <c r="E104" s="16"/>
      <c r="F104" s="16"/>
      <c r="G104" s="16"/>
      <c r="H104" s="17"/>
    </row>
    <row r="105">
      <c r="A105" s="15" t="s">
        <v>248</v>
      </c>
      <c r="B105" s="15" t="s">
        <v>249</v>
      </c>
      <c r="C105" s="15" t="s">
        <v>34</v>
      </c>
      <c r="D105" s="15" t="s">
        <v>35</v>
      </c>
      <c r="E105" s="16"/>
      <c r="F105" s="16"/>
      <c r="G105" s="16"/>
      <c r="H105" s="17"/>
    </row>
    <row r="106">
      <c r="A106" s="15" t="s">
        <v>250</v>
      </c>
      <c r="B106" s="15" t="s">
        <v>251</v>
      </c>
      <c r="C106" s="15" t="s">
        <v>122</v>
      </c>
      <c r="D106" s="15" t="s">
        <v>35</v>
      </c>
      <c r="E106" s="16"/>
      <c r="F106" s="16"/>
      <c r="G106" s="16"/>
      <c r="H106" s="17"/>
    </row>
    <row r="107">
      <c r="A107" s="15" t="s">
        <v>252</v>
      </c>
      <c r="B107" s="15" t="s">
        <v>253</v>
      </c>
      <c r="C107" s="15" t="s">
        <v>122</v>
      </c>
      <c r="D107" s="15" t="s">
        <v>35</v>
      </c>
      <c r="E107" s="16"/>
      <c r="F107" s="16"/>
      <c r="G107" s="16"/>
      <c r="H107" s="17"/>
    </row>
    <row r="108">
      <c r="A108" s="15" t="s">
        <v>254</v>
      </c>
      <c r="B108" s="15" t="s">
        <v>255</v>
      </c>
      <c r="C108" s="15" t="s">
        <v>122</v>
      </c>
      <c r="D108" s="15" t="s">
        <v>35</v>
      </c>
      <c r="E108" s="16"/>
      <c r="F108" s="16"/>
      <c r="G108" s="16"/>
      <c r="H108" s="17"/>
    </row>
    <row r="109">
      <c r="A109" s="15" t="s">
        <v>256</v>
      </c>
      <c r="B109" s="15" t="s">
        <v>257</v>
      </c>
      <c r="C109" s="15" t="s">
        <v>34</v>
      </c>
      <c r="D109" s="15" t="s">
        <v>35</v>
      </c>
      <c r="E109" s="16"/>
      <c r="F109" s="16"/>
      <c r="G109" s="16"/>
      <c r="H109" s="17"/>
    </row>
    <row r="110">
      <c r="A110" s="15" t="s">
        <v>258</v>
      </c>
      <c r="B110" s="15" t="s">
        <v>259</v>
      </c>
      <c r="C110" s="15" t="s">
        <v>34</v>
      </c>
      <c r="D110" s="15" t="s">
        <v>35</v>
      </c>
      <c r="E110" s="16"/>
      <c r="F110" s="16"/>
      <c r="G110" s="16"/>
      <c r="H110" s="17"/>
    </row>
    <row r="111">
      <c r="A111" s="15" t="s">
        <v>260</v>
      </c>
      <c r="B111" s="15" t="s">
        <v>261</v>
      </c>
      <c r="C111" s="15" t="s">
        <v>34</v>
      </c>
      <c r="D111" s="15" t="s">
        <v>35</v>
      </c>
      <c r="E111" s="16"/>
      <c r="F111" s="16"/>
      <c r="G111" s="16"/>
      <c r="H111" s="17"/>
    </row>
    <row r="112">
      <c r="A112" s="15" t="s">
        <v>262</v>
      </c>
      <c r="B112" s="15" t="s">
        <v>263</v>
      </c>
      <c r="C112" s="15" t="s">
        <v>122</v>
      </c>
      <c r="D112" s="15" t="s">
        <v>35</v>
      </c>
      <c r="E112" s="16"/>
      <c r="F112" s="16"/>
      <c r="G112" s="16"/>
      <c r="H112" s="17"/>
    </row>
    <row r="113">
      <c r="A113" s="15" t="s">
        <v>264</v>
      </c>
      <c r="B113" s="15" t="s">
        <v>265</v>
      </c>
      <c r="C113" s="15" t="s">
        <v>122</v>
      </c>
      <c r="D113" s="15" t="s">
        <v>35</v>
      </c>
      <c r="E113" s="16"/>
      <c r="F113" s="16"/>
      <c r="G113" s="16"/>
      <c r="H113" s="17"/>
    </row>
    <row r="114">
      <c r="A114" s="15" t="s">
        <v>266</v>
      </c>
      <c r="B114" s="15" t="s">
        <v>267</v>
      </c>
      <c r="C114" s="15" t="s">
        <v>34</v>
      </c>
      <c r="D114" s="15" t="s">
        <v>35</v>
      </c>
      <c r="E114" s="16"/>
      <c r="F114" s="16"/>
      <c r="G114" s="16"/>
      <c r="H114" s="17"/>
    </row>
    <row r="115">
      <c r="A115" s="15" t="s">
        <v>268</v>
      </c>
      <c r="B115" s="15" t="s">
        <v>269</v>
      </c>
      <c r="C115" s="15" t="s">
        <v>122</v>
      </c>
      <c r="D115" s="15" t="s">
        <v>35</v>
      </c>
      <c r="E115" s="16"/>
      <c r="F115" s="16"/>
      <c r="G115" s="16"/>
      <c r="H115" s="17"/>
    </row>
    <row r="116">
      <c r="A116" s="15" t="s">
        <v>270</v>
      </c>
      <c r="B116" s="15" t="s">
        <v>271</v>
      </c>
      <c r="C116" s="15" t="s">
        <v>34</v>
      </c>
      <c r="D116" s="15" t="s">
        <v>35</v>
      </c>
      <c r="E116" s="16"/>
      <c r="F116" s="16"/>
      <c r="G116" s="16"/>
      <c r="H116" s="17"/>
    </row>
    <row r="117">
      <c r="A117" s="15" t="s">
        <v>272</v>
      </c>
      <c r="B117" s="15" t="s">
        <v>273</v>
      </c>
      <c r="C117" s="15" t="s">
        <v>34</v>
      </c>
      <c r="D117" s="15" t="s">
        <v>35</v>
      </c>
      <c r="E117" s="16"/>
      <c r="F117" s="16"/>
      <c r="G117" s="16"/>
      <c r="H117" s="17"/>
    </row>
    <row r="118">
      <c r="A118" s="15" t="s">
        <v>274</v>
      </c>
      <c r="B118" s="15" t="s">
        <v>275</v>
      </c>
      <c r="C118" s="15" t="s">
        <v>34</v>
      </c>
      <c r="D118" s="15" t="s">
        <v>35</v>
      </c>
      <c r="E118" s="16"/>
      <c r="F118" s="16"/>
      <c r="G118" s="16"/>
      <c r="H118" s="17"/>
    </row>
    <row r="119">
      <c r="A119" s="15" t="s">
        <v>276</v>
      </c>
      <c r="B119" s="15" t="s">
        <v>277</v>
      </c>
      <c r="C119" s="15" t="s">
        <v>122</v>
      </c>
      <c r="D119" s="15" t="s">
        <v>35</v>
      </c>
      <c r="E119" s="16"/>
      <c r="F119" s="16"/>
      <c r="G119" s="16"/>
      <c r="H119" s="17"/>
    </row>
    <row r="120">
      <c r="A120" s="15" t="s">
        <v>278</v>
      </c>
      <c r="B120" s="15" t="s">
        <v>279</v>
      </c>
      <c r="C120" s="15" t="s">
        <v>122</v>
      </c>
      <c r="D120" s="15" t="s">
        <v>35</v>
      </c>
      <c r="E120" s="16"/>
      <c r="F120" s="16"/>
      <c r="G120" s="16"/>
      <c r="H120" s="17"/>
    </row>
    <row r="121">
      <c r="A121" s="15" t="s">
        <v>280</v>
      </c>
      <c r="B121" s="15" t="s">
        <v>281</v>
      </c>
      <c r="C121" s="15" t="s">
        <v>34</v>
      </c>
      <c r="D121" s="15" t="s">
        <v>35</v>
      </c>
      <c r="E121" s="16"/>
      <c r="F121" s="16"/>
      <c r="G121" s="16"/>
      <c r="H121" s="17"/>
    </row>
    <row r="122">
      <c r="A122" s="15" t="s">
        <v>282</v>
      </c>
      <c r="B122" s="15" t="s">
        <v>283</v>
      </c>
      <c r="C122" s="15" t="s">
        <v>122</v>
      </c>
      <c r="D122" s="15" t="s">
        <v>35</v>
      </c>
      <c r="E122" s="16"/>
      <c r="F122" s="16"/>
      <c r="G122" s="16"/>
      <c r="H122" s="17"/>
    </row>
    <row r="123">
      <c r="A123" s="15" t="s">
        <v>284</v>
      </c>
      <c r="B123" s="15" t="s">
        <v>285</v>
      </c>
      <c r="C123" s="15" t="s">
        <v>34</v>
      </c>
      <c r="D123" s="15" t="s">
        <v>35</v>
      </c>
      <c r="E123" s="16"/>
      <c r="F123" s="16"/>
      <c r="G123" s="16"/>
      <c r="H123" s="17"/>
    </row>
    <row r="124">
      <c r="A124" s="15" t="s">
        <v>286</v>
      </c>
      <c r="B124" s="15" t="s">
        <v>287</v>
      </c>
      <c r="C124" s="15" t="s">
        <v>34</v>
      </c>
      <c r="D124" s="15" t="s">
        <v>35</v>
      </c>
      <c r="E124" s="16"/>
      <c r="F124" s="16"/>
      <c r="G124" s="16"/>
      <c r="H124" s="17"/>
    </row>
    <row r="125">
      <c r="A125" s="15" t="s">
        <v>288</v>
      </c>
      <c r="B125" s="15" t="s">
        <v>289</v>
      </c>
      <c r="C125" s="15" t="s">
        <v>34</v>
      </c>
      <c r="D125" s="15" t="s">
        <v>35</v>
      </c>
      <c r="E125" s="16"/>
      <c r="F125" s="16"/>
      <c r="G125" s="16"/>
      <c r="H125" s="17"/>
    </row>
    <row r="126">
      <c r="A126" s="15" t="s">
        <v>290</v>
      </c>
      <c r="B126" s="15" t="s">
        <v>291</v>
      </c>
      <c r="C126" s="15" t="s">
        <v>34</v>
      </c>
      <c r="D126" s="15" t="s">
        <v>35</v>
      </c>
      <c r="E126" s="16" t="s">
        <v>72</v>
      </c>
      <c r="F126" s="16" t="s">
        <v>292</v>
      </c>
      <c r="G126" s="16" t="s">
        <v>211</v>
      </c>
      <c r="H126" s="17"/>
    </row>
    <row r="127">
      <c r="A127" s="15" t="s">
        <v>293</v>
      </c>
      <c r="B127" s="15" t="s">
        <v>294</v>
      </c>
      <c r="C127" s="15" t="s">
        <v>122</v>
      </c>
      <c r="D127" s="15" t="s">
        <v>35</v>
      </c>
      <c r="E127" s="16"/>
      <c r="F127" s="16"/>
      <c r="G127" s="16"/>
      <c r="H127" s="17"/>
    </row>
    <row r="128">
      <c r="A128" s="15" t="s">
        <v>295</v>
      </c>
      <c r="B128" s="15" t="s">
        <v>296</v>
      </c>
      <c r="C128" s="15" t="s">
        <v>122</v>
      </c>
      <c r="D128" s="15" t="s">
        <v>35</v>
      </c>
      <c r="E128" s="16"/>
      <c r="F128" s="16"/>
      <c r="G128" s="16"/>
      <c r="H128" s="17"/>
    </row>
    <row r="129">
      <c r="A129" s="15" t="s">
        <v>297</v>
      </c>
      <c r="B129" s="15" t="s">
        <v>298</v>
      </c>
      <c r="C129" s="15" t="s">
        <v>122</v>
      </c>
      <c r="D129" s="15" t="s">
        <v>35</v>
      </c>
      <c r="E129" s="16"/>
      <c r="F129" s="16"/>
      <c r="G129" s="16"/>
      <c r="H129" s="17"/>
    </row>
    <row r="130">
      <c r="A130" s="15" t="s">
        <v>299</v>
      </c>
      <c r="B130" s="15" t="s">
        <v>300</v>
      </c>
      <c r="C130" s="15" t="s">
        <v>122</v>
      </c>
      <c r="D130" s="15" t="s">
        <v>35</v>
      </c>
      <c r="E130" s="16"/>
      <c r="F130" s="16"/>
      <c r="G130" s="16"/>
      <c r="H130" s="17"/>
    </row>
    <row r="131">
      <c r="A131" s="15" t="s">
        <v>301</v>
      </c>
      <c r="B131" s="15" t="s">
        <v>302</v>
      </c>
      <c r="C131" s="15" t="s">
        <v>122</v>
      </c>
      <c r="D131" s="15" t="s">
        <v>35</v>
      </c>
      <c r="E131" s="16"/>
      <c r="F131" s="16"/>
      <c r="G131" s="16"/>
      <c r="H131" s="17"/>
    </row>
    <row r="132">
      <c r="A132" s="15" t="s">
        <v>303</v>
      </c>
      <c r="B132" s="15" t="s">
        <v>304</v>
      </c>
      <c r="C132" s="15" t="s">
        <v>122</v>
      </c>
      <c r="D132" s="15" t="s">
        <v>35</v>
      </c>
      <c r="E132" s="16"/>
      <c r="F132" s="16"/>
      <c r="G132" s="16"/>
      <c r="H132" s="17"/>
    </row>
    <row r="133">
      <c r="A133" s="15" t="s">
        <v>305</v>
      </c>
      <c r="B133" s="15" t="s">
        <v>306</v>
      </c>
      <c r="C133" s="15" t="s">
        <v>122</v>
      </c>
      <c r="D133" s="15" t="s">
        <v>35</v>
      </c>
      <c r="E133" s="16"/>
      <c r="F133" s="16"/>
      <c r="G133" s="16"/>
      <c r="H133" s="17"/>
    </row>
    <row r="134">
      <c r="A134" s="15" t="s">
        <v>307</v>
      </c>
      <c r="B134" s="15" t="s">
        <v>308</v>
      </c>
      <c r="C134" s="15" t="s">
        <v>122</v>
      </c>
      <c r="D134" s="15" t="s">
        <v>35</v>
      </c>
      <c r="E134" s="16"/>
      <c r="F134" s="16"/>
      <c r="G134" s="16"/>
      <c r="H134" s="17"/>
    </row>
    <row r="135">
      <c r="A135" s="15" t="s">
        <v>309</v>
      </c>
      <c r="B135" s="15" t="s">
        <v>310</v>
      </c>
      <c r="C135" s="15" t="s">
        <v>122</v>
      </c>
      <c r="D135" s="15" t="s">
        <v>35</v>
      </c>
      <c r="E135" s="16"/>
      <c r="F135" s="16"/>
      <c r="G135" s="16"/>
      <c r="H135" s="17"/>
    </row>
    <row r="136">
      <c r="A136" s="18"/>
      <c r="B136" s="15" t="s">
        <v>311</v>
      </c>
      <c r="C136" s="15" t="s">
        <v>122</v>
      </c>
      <c r="D136" s="15" t="s">
        <v>35</v>
      </c>
      <c r="E136" s="16"/>
      <c r="F136" s="16"/>
      <c r="G136" s="16"/>
      <c r="H136" s="17"/>
    </row>
    <row r="137">
      <c r="A137" s="18"/>
      <c r="B137" s="15" t="s">
        <v>312</v>
      </c>
      <c r="C137" s="15" t="s">
        <v>122</v>
      </c>
      <c r="D137" s="15" t="s">
        <v>35</v>
      </c>
      <c r="E137" s="16"/>
      <c r="F137" s="16"/>
      <c r="G137" s="16"/>
      <c r="H137" s="17"/>
    </row>
    <row r="138">
      <c r="A138" s="15" t="s">
        <v>313</v>
      </c>
      <c r="B138" s="15" t="s">
        <v>314</v>
      </c>
      <c r="C138" s="15" t="s">
        <v>122</v>
      </c>
      <c r="D138" s="15" t="s">
        <v>35</v>
      </c>
      <c r="E138" s="16"/>
      <c r="F138" s="16"/>
      <c r="G138" s="16"/>
      <c r="H138" s="17"/>
    </row>
    <row r="139">
      <c r="A139" s="18"/>
      <c r="B139" s="15" t="s">
        <v>315</v>
      </c>
      <c r="C139" s="15" t="s">
        <v>122</v>
      </c>
      <c r="D139" s="15" t="s">
        <v>35</v>
      </c>
      <c r="E139" s="16"/>
      <c r="F139" s="16"/>
      <c r="G139" s="16"/>
      <c r="H139" s="17"/>
    </row>
    <row r="140">
      <c r="A140" s="15" t="s">
        <v>316</v>
      </c>
      <c r="B140" s="15" t="s">
        <v>317</v>
      </c>
      <c r="C140" s="15" t="s">
        <v>122</v>
      </c>
      <c r="D140" s="15" t="s">
        <v>35</v>
      </c>
      <c r="E140" s="16"/>
      <c r="F140" s="16"/>
      <c r="G140" s="16"/>
      <c r="H140" s="17"/>
    </row>
    <row r="141">
      <c r="A141" s="18"/>
      <c r="B141" s="15" t="s">
        <v>318</v>
      </c>
      <c r="C141" s="15" t="s">
        <v>122</v>
      </c>
      <c r="D141" s="15" t="s">
        <v>35</v>
      </c>
      <c r="E141" s="16"/>
      <c r="F141" s="16"/>
      <c r="G141" s="16"/>
      <c r="H141" s="17"/>
    </row>
    <row r="142">
      <c r="A142" s="15" t="s">
        <v>319</v>
      </c>
      <c r="B142" s="15" t="s">
        <v>320</v>
      </c>
      <c r="C142" s="15" t="s">
        <v>122</v>
      </c>
      <c r="D142" s="15" t="s">
        <v>35</v>
      </c>
      <c r="E142" s="16"/>
      <c r="F142" s="16"/>
      <c r="G142" s="16"/>
      <c r="H142" s="17"/>
    </row>
    <row r="143">
      <c r="A143" s="15" t="s">
        <v>321</v>
      </c>
      <c r="B143" s="15" t="s">
        <v>322</v>
      </c>
      <c r="C143" s="15" t="s">
        <v>122</v>
      </c>
      <c r="D143" s="15" t="s">
        <v>35</v>
      </c>
      <c r="E143" s="16"/>
      <c r="F143" s="16"/>
      <c r="G143" s="16"/>
      <c r="H143" s="17"/>
    </row>
    <row r="144">
      <c r="A144" s="15" t="s">
        <v>323</v>
      </c>
      <c r="B144" s="15" t="s">
        <v>324</v>
      </c>
      <c r="C144" s="15" t="s">
        <v>122</v>
      </c>
      <c r="D144" s="15" t="s">
        <v>35</v>
      </c>
      <c r="E144" s="16"/>
      <c r="F144" s="16"/>
      <c r="G144" s="16"/>
      <c r="H144" s="17"/>
    </row>
    <row r="145">
      <c r="A145" s="15" t="s">
        <v>325</v>
      </c>
      <c r="B145" s="15" t="s">
        <v>326</v>
      </c>
      <c r="C145" s="15" t="s">
        <v>122</v>
      </c>
      <c r="D145" s="15" t="s">
        <v>35</v>
      </c>
      <c r="E145" s="16"/>
      <c r="F145" s="16"/>
      <c r="G145" s="16"/>
      <c r="H145" s="17"/>
    </row>
    <row r="146">
      <c r="A146" s="15" t="s">
        <v>327</v>
      </c>
      <c r="B146" s="15" t="s">
        <v>328</v>
      </c>
      <c r="C146" s="15" t="s">
        <v>122</v>
      </c>
      <c r="D146" s="15" t="s">
        <v>35</v>
      </c>
      <c r="E146" s="16"/>
      <c r="F146" s="16"/>
      <c r="G146" s="16"/>
      <c r="H146" s="17"/>
    </row>
    <row r="147">
      <c r="A147" s="15" t="s">
        <v>329</v>
      </c>
      <c r="B147" s="15" t="s">
        <v>330</v>
      </c>
      <c r="C147" s="15" t="s">
        <v>122</v>
      </c>
      <c r="D147" s="15" t="s">
        <v>35</v>
      </c>
      <c r="E147" s="16"/>
      <c r="F147" s="16"/>
      <c r="G147" s="16"/>
      <c r="H147" s="17"/>
    </row>
    <row r="148">
      <c r="A148" s="18"/>
      <c r="B148" s="15" t="s">
        <v>331</v>
      </c>
      <c r="C148" s="15" t="s">
        <v>122</v>
      </c>
      <c r="D148" s="15" t="s">
        <v>35</v>
      </c>
      <c r="E148" s="16"/>
      <c r="F148" s="16"/>
      <c r="G148" s="16"/>
      <c r="H148" s="17"/>
    </row>
    <row r="149">
      <c r="A149" s="18"/>
      <c r="B149" s="15" t="s">
        <v>332</v>
      </c>
      <c r="C149" s="15" t="s">
        <v>122</v>
      </c>
      <c r="D149" s="15" t="s">
        <v>35</v>
      </c>
      <c r="E149" s="16"/>
      <c r="F149" s="16"/>
      <c r="G149" s="16"/>
      <c r="H149" s="17"/>
    </row>
    <row r="150">
      <c r="A150" s="18"/>
      <c r="B150" s="15" t="s">
        <v>333</v>
      </c>
      <c r="C150" s="15" t="s">
        <v>122</v>
      </c>
      <c r="D150" s="15" t="s">
        <v>35</v>
      </c>
      <c r="E150" s="16"/>
      <c r="F150" s="16"/>
      <c r="G150" s="16"/>
      <c r="H150" s="17"/>
    </row>
    <row r="151">
      <c r="A151" s="18"/>
      <c r="B151" s="15" t="s">
        <v>334</v>
      </c>
      <c r="C151" s="15" t="s">
        <v>122</v>
      </c>
      <c r="D151" s="15" t="s">
        <v>35</v>
      </c>
      <c r="E151" s="16"/>
      <c r="F151" s="16"/>
      <c r="G151" s="16"/>
      <c r="H151" s="17"/>
    </row>
    <row r="152">
      <c r="A152" s="18"/>
      <c r="B152" s="15" t="s">
        <v>335</v>
      </c>
      <c r="C152" s="15" t="s">
        <v>122</v>
      </c>
      <c r="D152" s="15" t="s">
        <v>35</v>
      </c>
      <c r="E152" s="16"/>
      <c r="F152" s="16"/>
      <c r="G152" s="16"/>
      <c r="H152" s="17"/>
    </row>
    <row r="153">
      <c r="A153" s="15" t="s">
        <v>336</v>
      </c>
      <c r="B153" s="15" t="s">
        <v>337</v>
      </c>
      <c r="C153" s="15" t="s">
        <v>122</v>
      </c>
      <c r="D153" s="15" t="s">
        <v>35</v>
      </c>
      <c r="E153" s="16"/>
      <c r="F153" s="16"/>
      <c r="G153" s="16"/>
      <c r="H153" s="17"/>
    </row>
    <row r="154">
      <c r="A154" s="15" t="s">
        <v>338</v>
      </c>
      <c r="B154" s="15" t="s">
        <v>339</v>
      </c>
      <c r="C154" s="15" t="s">
        <v>122</v>
      </c>
      <c r="D154" s="15" t="s">
        <v>35</v>
      </c>
      <c r="E154" s="16"/>
      <c r="F154" s="16"/>
      <c r="G154" s="16"/>
      <c r="H154" s="17"/>
    </row>
    <row r="155">
      <c r="A155" s="18"/>
      <c r="B155" s="15" t="s">
        <v>340</v>
      </c>
      <c r="C155" s="15" t="s">
        <v>122</v>
      </c>
      <c r="D155" s="15" t="s">
        <v>35</v>
      </c>
      <c r="E155" s="16"/>
      <c r="F155" s="16"/>
      <c r="G155" s="16"/>
      <c r="H155" s="17"/>
    </row>
    <row r="156">
      <c r="A156" s="15" t="s">
        <v>341</v>
      </c>
      <c r="B156" s="15" t="s">
        <v>342</v>
      </c>
      <c r="C156" s="15" t="s">
        <v>122</v>
      </c>
      <c r="D156" s="15" t="s">
        <v>35</v>
      </c>
      <c r="E156" s="16"/>
      <c r="F156" s="16"/>
      <c r="G156" s="16"/>
      <c r="H156" s="17"/>
    </row>
    <row r="157">
      <c r="A157" s="18"/>
      <c r="B157" s="15" t="s">
        <v>343</v>
      </c>
      <c r="C157" s="15" t="s">
        <v>122</v>
      </c>
      <c r="D157" s="15" t="s">
        <v>35</v>
      </c>
      <c r="E157" s="16"/>
      <c r="F157" s="16"/>
      <c r="G157" s="16"/>
      <c r="H157" s="17"/>
    </row>
    <row r="158">
      <c r="A158" s="18"/>
      <c r="B158" s="15" t="s">
        <v>302</v>
      </c>
      <c r="C158" s="15" t="s">
        <v>122</v>
      </c>
      <c r="D158" s="15" t="s">
        <v>35</v>
      </c>
      <c r="E158" s="16"/>
      <c r="F158" s="16"/>
      <c r="G158" s="16"/>
      <c r="H158" s="17"/>
    </row>
    <row r="159">
      <c r="A159" s="18"/>
      <c r="B159" s="15" t="s">
        <v>344</v>
      </c>
      <c r="C159" s="15" t="s">
        <v>122</v>
      </c>
      <c r="D159" s="15" t="s">
        <v>35</v>
      </c>
      <c r="E159" s="16"/>
      <c r="F159" s="16"/>
      <c r="G159" s="16"/>
      <c r="H159" s="17"/>
    </row>
    <row r="160">
      <c r="A160" s="18"/>
      <c r="B160" s="15" t="s">
        <v>345</v>
      </c>
      <c r="C160" s="15" t="s">
        <v>122</v>
      </c>
      <c r="D160" s="15" t="s">
        <v>35</v>
      </c>
      <c r="E160" s="16"/>
      <c r="F160" s="16"/>
      <c r="G160" s="16"/>
      <c r="H160" s="17"/>
    </row>
    <row r="161">
      <c r="A161" s="18"/>
      <c r="B161" s="15" t="s">
        <v>346</v>
      </c>
      <c r="C161" s="15" t="s">
        <v>122</v>
      </c>
      <c r="D161" s="15" t="s">
        <v>35</v>
      </c>
      <c r="E161" s="16"/>
      <c r="F161" s="16"/>
      <c r="G161" s="16"/>
      <c r="H161" s="17"/>
    </row>
    <row r="162">
      <c r="A162" s="18"/>
      <c r="B162" s="15" t="s">
        <v>347</v>
      </c>
      <c r="C162" s="15" t="s">
        <v>122</v>
      </c>
      <c r="D162" s="15" t="s">
        <v>35</v>
      </c>
      <c r="E162" s="16"/>
      <c r="F162" s="16"/>
      <c r="G162" s="16"/>
      <c r="H162" s="17"/>
    </row>
    <row r="163">
      <c r="A163" s="18"/>
      <c r="B163" s="15" t="s">
        <v>348</v>
      </c>
      <c r="C163" s="15" t="s">
        <v>122</v>
      </c>
      <c r="D163" s="15" t="s">
        <v>35</v>
      </c>
      <c r="E163" s="16"/>
      <c r="F163" s="16"/>
      <c r="G163" s="16"/>
      <c r="H163" s="17"/>
    </row>
    <row r="164">
      <c r="A164" s="15" t="s">
        <v>349</v>
      </c>
      <c r="B164" s="15" t="s">
        <v>350</v>
      </c>
      <c r="C164" s="15" t="s">
        <v>122</v>
      </c>
      <c r="D164" s="15" t="s">
        <v>35</v>
      </c>
      <c r="E164" s="16"/>
      <c r="F164" s="16"/>
      <c r="G164" s="16"/>
      <c r="H164" s="17"/>
    </row>
    <row r="165">
      <c r="A165" s="18"/>
      <c r="B165" s="15" t="s">
        <v>351</v>
      </c>
      <c r="C165" s="15" t="s">
        <v>122</v>
      </c>
      <c r="D165" s="15" t="s">
        <v>35</v>
      </c>
      <c r="E165" s="16"/>
      <c r="F165" s="16"/>
      <c r="G165" s="16"/>
      <c r="H165" s="17"/>
    </row>
    <row r="166">
      <c r="A166" s="18"/>
      <c r="B166" s="15" t="s">
        <v>352</v>
      </c>
      <c r="C166" s="15" t="s">
        <v>122</v>
      </c>
      <c r="D166" s="15" t="s">
        <v>35</v>
      </c>
      <c r="E166" s="16"/>
      <c r="F166" s="16"/>
      <c r="G166" s="16"/>
      <c r="H166" s="17"/>
    </row>
    <row r="167">
      <c r="A167" s="18"/>
      <c r="B167" s="15" t="s">
        <v>353</v>
      </c>
      <c r="C167" s="15" t="s">
        <v>122</v>
      </c>
      <c r="D167" s="15" t="s">
        <v>35</v>
      </c>
      <c r="E167" s="16"/>
      <c r="F167" s="16"/>
      <c r="G167" s="16"/>
      <c r="H167" s="17"/>
    </row>
    <row r="168">
      <c r="A168" s="18"/>
      <c r="B168" s="15" t="s">
        <v>354</v>
      </c>
      <c r="C168" s="15" t="s">
        <v>122</v>
      </c>
      <c r="D168" s="15" t="s">
        <v>35</v>
      </c>
      <c r="E168" s="16"/>
      <c r="F168" s="16"/>
      <c r="G168" s="16"/>
      <c r="H168" s="17"/>
    </row>
    <row r="169">
      <c r="A169" s="18"/>
      <c r="B169" s="15" t="s">
        <v>355</v>
      </c>
      <c r="C169" s="15" t="s">
        <v>122</v>
      </c>
      <c r="D169" s="15" t="s">
        <v>35</v>
      </c>
      <c r="E169" s="16"/>
      <c r="F169" s="16"/>
      <c r="G169" s="16"/>
      <c r="H169" s="17"/>
    </row>
    <row r="170">
      <c r="A170" s="18"/>
      <c r="B170" s="15" t="s">
        <v>356</v>
      </c>
      <c r="C170" s="15" t="s">
        <v>122</v>
      </c>
      <c r="D170" s="15" t="s">
        <v>35</v>
      </c>
      <c r="E170" s="16"/>
      <c r="F170" s="16"/>
      <c r="G170" s="16"/>
      <c r="H170" s="17"/>
    </row>
    <row r="171">
      <c r="A171" s="15" t="s">
        <v>357</v>
      </c>
      <c r="B171" s="15" t="s">
        <v>358</v>
      </c>
      <c r="C171" s="15" t="s">
        <v>122</v>
      </c>
      <c r="D171" s="15" t="s">
        <v>35</v>
      </c>
      <c r="E171" s="16"/>
      <c r="F171" s="16"/>
      <c r="G171" s="16"/>
      <c r="H171" s="17"/>
    </row>
    <row r="172">
      <c r="A172" s="18"/>
      <c r="B172" s="15" t="s">
        <v>359</v>
      </c>
      <c r="C172" s="15" t="s">
        <v>122</v>
      </c>
      <c r="D172" s="15" t="s">
        <v>35</v>
      </c>
      <c r="E172" s="16"/>
      <c r="F172" s="16"/>
      <c r="G172" s="16"/>
      <c r="H172" s="17"/>
    </row>
    <row r="173">
      <c r="A173" s="18"/>
      <c r="B173" s="15" t="s">
        <v>360</v>
      </c>
      <c r="C173" s="15" t="s">
        <v>122</v>
      </c>
      <c r="D173" s="15" t="s">
        <v>35</v>
      </c>
      <c r="E173" s="16"/>
      <c r="F173" s="16"/>
      <c r="G173" s="16"/>
      <c r="H173" s="17"/>
    </row>
    <row r="174">
      <c r="A174" s="15" t="s">
        <v>361</v>
      </c>
      <c r="B174" s="15" t="s">
        <v>362</v>
      </c>
      <c r="C174" s="15" t="s">
        <v>122</v>
      </c>
      <c r="D174" s="15" t="s">
        <v>35</v>
      </c>
      <c r="E174" s="16"/>
      <c r="F174" s="16"/>
      <c r="G174" s="16"/>
      <c r="H174" s="17"/>
    </row>
    <row r="175">
      <c r="A175" s="15" t="s">
        <v>363</v>
      </c>
      <c r="B175" s="15" t="s">
        <v>364</v>
      </c>
      <c r="C175" s="15" t="s">
        <v>122</v>
      </c>
      <c r="D175" s="15" t="s">
        <v>35</v>
      </c>
      <c r="E175" s="16"/>
      <c r="F175" s="16"/>
      <c r="G175" s="16"/>
      <c r="H175" s="17"/>
    </row>
    <row r="176">
      <c r="A176" s="15" t="s">
        <v>365</v>
      </c>
      <c r="B176" s="15" t="s">
        <v>366</v>
      </c>
      <c r="C176" s="15" t="s">
        <v>122</v>
      </c>
      <c r="D176" s="15" t="s">
        <v>35</v>
      </c>
      <c r="E176" s="16"/>
      <c r="F176" s="16"/>
      <c r="G176" s="16"/>
      <c r="H176" s="17"/>
    </row>
    <row r="177">
      <c r="A177" s="15" t="s">
        <v>367</v>
      </c>
      <c r="B177" s="15" t="s">
        <v>368</v>
      </c>
      <c r="C177" s="15" t="s">
        <v>122</v>
      </c>
      <c r="D177" s="15" t="s">
        <v>35</v>
      </c>
      <c r="E177" s="16"/>
      <c r="F177" s="16"/>
      <c r="G177" s="16"/>
      <c r="H177" s="17"/>
    </row>
    <row r="178">
      <c r="A178" s="15" t="s">
        <v>369</v>
      </c>
      <c r="B178" s="15" t="s">
        <v>370</v>
      </c>
      <c r="C178" s="15" t="s">
        <v>122</v>
      </c>
      <c r="D178" s="15" t="s">
        <v>35</v>
      </c>
      <c r="E178" s="16"/>
      <c r="F178" s="16"/>
      <c r="G178" s="16"/>
      <c r="H178" s="17"/>
    </row>
    <row r="179">
      <c r="A179" s="15" t="s">
        <v>371</v>
      </c>
      <c r="B179" s="15" t="s">
        <v>372</v>
      </c>
      <c r="C179" s="15" t="s">
        <v>122</v>
      </c>
      <c r="D179" s="15" t="s">
        <v>35</v>
      </c>
      <c r="E179" s="16"/>
      <c r="F179" s="16"/>
      <c r="G179" s="16"/>
      <c r="H179" s="17"/>
    </row>
    <row r="180">
      <c r="A180" s="15" t="s">
        <v>373</v>
      </c>
      <c r="B180" s="15" t="s">
        <v>374</v>
      </c>
      <c r="C180" s="15" t="s">
        <v>122</v>
      </c>
      <c r="D180" s="15" t="s">
        <v>35</v>
      </c>
      <c r="E180" s="16"/>
      <c r="F180" s="16"/>
      <c r="G180" s="16"/>
      <c r="H180" s="17"/>
    </row>
    <row r="181">
      <c r="A181" s="15" t="s">
        <v>375</v>
      </c>
      <c r="B181" s="15" t="s">
        <v>376</v>
      </c>
      <c r="C181" s="15" t="s">
        <v>122</v>
      </c>
      <c r="D181" s="15" t="s">
        <v>35</v>
      </c>
      <c r="E181" s="16"/>
      <c r="F181" s="16"/>
      <c r="G181" s="16"/>
      <c r="H181" s="17"/>
    </row>
    <row r="182">
      <c r="A182" s="15" t="s">
        <v>377</v>
      </c>
      <c r="B182" s="15" t="s">
        <v>378</v>
      </c>
      <c r="C182" s="15" t="s">
        <v>122</v>
      </c>
      <c r="D182" s="15" t="s">
        <v>35</v>
      </c>
      <c r="E182" s="16"/>
      <c r="F182" s="16"/>
      <c r="G182" s="16"/>
      <c r="H182" s="17"/>
    </row>
    <row r="183">
      <c r="A183" s="15" t="s">
        <v>379</v>
      </c>
      <c r="B183" s="15" t="s">
        <v>380</v>
      </c>
      <c r="C183" s="15" t="s">
        <v>122</v>
      </c>
      <c r="D183" s="15" t="s">
        <v>35</v>
      </c>
      <c r="E183" s="16"/>
      <c r="F183" s="16"/>
      <c r="G183" s="16"/>
      <c r="H183" s="17"/>
    </row>
    <row r="184">
      <c r="A184" s="15" t="s">
        <v>381</v>
      </c>
      <c r="B184" s="15" t="s">
        <v>382</v>
      </c>
      <c r="C184" s="15" t="s">
        <v>122</v>
      </c>
      <c r="D184" s="15" t="s">
        <v>35</v>
      </c>
      <c r="E184" s="16"/>
      <c r="F184" s="16"/>
      <c r="G184" s="16"/>
      <c r="H184" s="17"/>
    </row>
    <row r="185">
      <c r="A185" s="15" t="s">
        <v>383</v>
      </c>
      <c r="B185" s="15" t="s">
        <v>384</v>
      </c>
      <c r="C185" s="15" t="s">
        <v>122</v>
      </c>
      <c r="D185" s="15" t="s">
        <v>35</v>
      </c>
      <c r="E185" s="16"/>
      <c r="F185" s="16"/>
      <c r="G185" s="16"/>
      <c r="H185" s="17"/>
    </row>
    <row r="186">
      <c r="A186" s="15" t="s">
        <v>385</v>
      </c>
      <c r="B186" s="15" t="s">
        <v>386</v>
      </c>
      <c r="C186" s="15" t="s">
        <v>122</v>
      </c>
      <c r="D186" s="15" t="s">
        <v>35</v>
      </c>
      <c r="E186" s="16"/>
      <c r="F186" s="16"/>
      <c r="G186" s="16"/>
      <c r="H186" s="17"/>
    </row>
    <row r="187">
      <c r="A187" s="15" t="s">
        <v>387</v>
      </c>
      <c r="B187" s="15" t="s">
        <v>388</v>
      </c>
      <c r="C187" s="15" t="s">
        <v>122</v>
      </c>
      <c r="D187" s="15" t="s">
        <v>35</v>
      </c>
      <c r="E187" s="16"/>
      <c r="F187" s="16"/>
      <c r="G187" s="16"/>
      <c r="H187" s="17"/>
    </row>
    <row r="188">
      <c r="A188" s="15" t="s">
        <v>389</v>
      </c>
      <c r="B188" s="15" t="s">
        <v>390</v>
      </c>
      <c r="C188" s="15" t="s">
        <v>122</v>
      </c>
      <c r="D188" s="15" t="s">
        <v>35</v>
      </c>
      <c r="E188" s="16"/>
      <c r="F188" s="16"/>
      <c r="G188" s="16"/>
      <c r="H188" s="17"/>
    </row>
    <row r="189">
      <c r="A189" s="18"/>
      <c r="B189" s="15" t="s">
        <v>391</v>
      </c>
      <c r="C189" s="15" t="s">
        <v>122</v>
      </c>
      <c r="D189" s="15" t="s">
        <v>35</v>
      </c>
      <c r="E189" s="16"/>
      <c r="F189" s="16"/>
      <c r="G189" s="16"/>
      <c r="H189" s="17"/>
    </row>
    <row r="190">
      <c r="A190" s="15" t="s">
        <v>392</v>
      </c>
      <c r="B190" s="15" t="s">
        <v>393</v>
      </c>
      <c r="C190" s="15" t="s">
        <v>122</v>
      </c>
      <c r="D190" s="15" t="s">
        <v>35</v>
      </c>
      <c r="E190" s="16"/>
      <c r="F190" s="16"/>
      <c r="G190" s="16"/>
      <c r="H190" s="17"/>
    </row>
    <row r="191">
      <c r="A191" s="15" t="s">
        <v>394</v>
      </c>
      <c r="B191" s="15" t="s">
        <v>395</v>
      </c>
      <c r="C191" s="15" t="s">
        <v>122</v>
      </c>
      <c r="D191" s="15" t="s">
        <v>35</v>
      </c>
      <c r="E191" s="16"/>
      <c r="F191" s="16"/>
      <c r="G191" s="16"/>
      <c r="H191" s="17"/>
    </row>
    <row r="192">
      <c r="A192" s="15" t="s">
        <v>396</v>
      </c>
      <c r="B192" s="15" t="s">
        <v>397</v>
      </c>
      <c r="C192" s="15" t="s">
        <v>122</v>
      </c>
      <c r="D192" s="15" t="s">
        <v>35</v>
      </c>
      <c r="E192" s="16"/>
      <c r="F192" s="16"/>
      <c r="G192" s="16"/>
      <c r="H192" s="17"/>
    </row>
    <row r="193">
      <c r="A193" s="15" t="s">
        <v>398</v>
      </c>
      <c r="B193" s="15" t="s">
        <v>399</v>
      </c>
      <c r="C193" s="15" t="s">
        <v>122</v>
      </c>
      <c r="D193" s="15" t="s">
        <v>35</v>
      </c>
      <c r="E193" s="16"/>
      <c r="F193" s="16"/>
      <c r="G193" s="16"/>
      <c r="H193" s="17"/>
    </row>
    <row r="194">
      <c r="A194" s="18"/>
      <c r="B194" s="15" t="s">
        <v>400</v>
      </c>
      <c r="C194" s="15" t="s">
        <v>122</v>
      </c>
      <c r="D194" s="15" t="s">
        <v>35</v>
      </c>
      <c r="E194" s="16"/>
      <c r="F194" s="16"/>
      <c r="G194" s="16"/>
      <c r="H194" s="17"/>
    </row>
    <row r="195">
      <c r="A195" s="15" t="s">
        <v>401</v>
      </c>
      <c r="B195" s="15" t="s">
        <v>402</v>
      </c>
      <c r="C195" s="15" t="s">
        <v>122</v>
      </c>
      <c r="D195" s="15" t="s">
        <v>35</v>
      </c>
      <c r="E195" s="16"/>
      <c r="F195" s="16"/>
      <c r="G195" s="16"/>
      <c r="H195" s="17"/>
    </row>
    <row r="196">
      <c r="A196" s="15" t="s">
        <v>403</v>
      </c>
      <c r="B196" s="15" t="s">
        <v>404</v>
      </c>
      <c r="C196" s="15" t="s">
        <v>122</v>
      </c>
      <c r="D196" s="15" t="s">
        <v>35</v>
      </c>
      <c r="E196" s="16"/>
      <c r="F196" s="16"/>
      <c r="G196" s="16"/>
      <c r="H196" s="17"/>
    </row>
    <row r="197">
      <c r="A197" s="15" t="s">
        <v>405</v>
      </c>
      <c r="B197" s="15" t="s">
        <v>406</v>
      </c>
      <c r="C197" s="15" t="s">
        <v>122</v>
      </c>
      <c r="D197" s="15" t="s">
        <v>35</v>
      </c>
      <c r="E197" s="16"/>
      <c r="F197" s="16"/>
      <c r="G197" s="16"/>
      <c r="H197" s="17"/>
    </row>
    <row r="198">
      <c r="A198" s="15" t="s">
        <v>407</v>
      </c>
      <c r="B198" s="15" t="s">
        <v>408</v>
      </c>
      <c r="C198" s="15" t="s">
        <v>122</v>
      </c>
      <c r="D198" s="15" t="s">
        <v>35</v>
      </c>
      <c r="E198" s="16"/>
      <c r="F198" s="16"/>
      <c r="G198" s="16"/>
      <c r="H198" s="17"/>
    </row>
    <row r="199">
      <c r="A199" s="15" t="s">
        <v>327</v>
      </c>
      <c r="B199" s="15" t="s">
        <v>328</v>
      </c>
      <c r="C199" s="15" t="s">
        <v>35</v>
      </c>
      <c r="D199" s="15" t="s">
        <v>35</v>
      </c>
      <c r="E199" s="16"/>
      <c r="F199" s="16"/>
      <c r="G199" s="16"/>
      <c r="H199" s="17"/>
    </row>
    <row r="200">
      <c r="A200" s="15" t="s">
        <v>409</v>
      </c>
      <c r="B200" s="15" t="s">
        <v>410</v>
      </c>
      <c r="C200" s="15" t="s">
        <v>34</v>
      </c>
      <c r="D200" s="15" t="s">
        <v>411</v>
      </c>
      <c r="E200" s="19" t="s">
        <v>72</v>
      </c>
      <c r="F200" s="19" t="s">
        <v>412</v>
      </c>
      <c r="G200" s="20" t="s">
        <v>74</v>
      </c>
      <c r="H200" s="17"/>
    </row>
    <row r="201">
      <c r="A201" s="15" t="s">
        <v>413</v>
      </c>
      <c r="B201" s="15" t="s">
        <v>414</v>
      </c>
      <c r="C201" s="15" t="s">
        <v>34</v>
      </c>
      <c r="D201" s="15" t="s">
        <v>411</v>
      </c>
      <c r="E201" s="19" t="s">
        <v>72</v>
      </c>
      <c r="F201" s="19" t="s">
        <v>415</v>
      </c>
      <c r="G201" s="19" t="s">
        <v>74</v>
      </c>
      <c r="H201" s="17"/>
    </row>
    <row r="202">
      <c r="A202" s="15" t="s">
        <v>416</v>
      </c>
      <c r="B202" s="15" t="s">
        <v>417</v>
      </c>
      <c r="C202" s="15" t="s">
        <v>34</v>
      </c>
      <c r="D202" s="15" t="s">
        <v>411</v>
      </c>
      <c r="E202" s="21" t="s">
        <v>195</v>
      </c>
      <c r="F202" s="19">
        <v>7415092.0</v>
      </c>
      <c r="G202" s="20" t="s">
        <v>74</v>
      </c>
      <c r="H202" s="17"/>
    </row>
    <row r="203">
      <c r="A203" s="15" t="s">
        <v>418</v>
      </c>
      <c r="B203" s="15" t="s">
        <v>419</v>
      </c>
      <c r="C203" s="15" t="s">
        <v>34</v>
      </c>
      <c r="D203" s="15" t="s">
        <v>411</v>
      </c>
      <c r="E203" s="21" t="s">
        <v>195</v>
      </c>
      <c r="F203" s="19">
        <v>7415090.0</v>
      </c>
      <c r="G203" s="20" t="s">
        <v>74</v>
      </c>
      <c r="H203" s="17"/>
    </row>
    <row r="204">
      <c r="A204" s="15" t="s">
        <v>420</v>
      </c>
      <c r="B204" s="15" t="s">
        <v>421</v>
      </c>
      <c r="C204" s="15" t="s">
        <v>34</v>
      </c>
      <c r="D204" s="15" t="s">
        <v>411</v>
      </c>
      <c r="E204" s="21" t="s">
        <v>195</v>
      </c>
      <c r="F204" s="19">
        <v>7415091.0</v>
      </c>
      <c r="G204" s="20" t="s">
        <v>74</v>
      </c>
      <c r="H204" s="17"/>
    </row>
    <row r="205">
      <c r="A205" s="15" t="s">
        <v>422</v>
      </c>
      <c r="B205" s="15" t="s">
        <v>423</v>
      </c>
      <c r="C205" s="15" t="s">
        <v>34</v>
      </c>
      <c r="D205" s="15" t="s">
        <v>411</v>
      </c>
      <c r="E205" s="21" t="s">
        <v>195</v>
      </c>
      <c r="F205" s="19">
        <v>7415911.0</v>
      </c>
      <c r="G205" s="19" t="s">
        <v>74</v>
      </c>
      <c r="H205" s="17"/>
    </row>
    <row r="206">
      <c r="A206" s="15" t="s">
        <v>424</v>
      </c>
      <c r="B206" s="15" t="s">
        <v>425</v>
      </c>
      <c r="C206" s="15" t="s">
        <v>34</v>
      </c>
      <c r="D206" s="15" t="s">
        <v>411</v>
      </c>
      <c r="E206" s="21" t="s">
        <v>195</v>
      </c>
      <c r="F206" s="21">
        <v>7415914.0</v>
      </c>
      <c r="G206" s="21" t="s">
        <v>74</v>
      </c>
      <c r="H206" s="17"/>
    </row>
    <row r="207">
      <c r="A207" s="15" t="s">
        <v>426</v>
      </c>
      <c r="B207" s="15" t="s">
        <v>427</v>
      </c>
      <c r="C207" s="15" t="s">
        <v>34</v>
      </c>
      <c r="D207" s="15" t="s">
        <v>411</v>
      </c>
      <c r="E207" s="21" t="s">
        <v>195</v>
      </c>
      <c r="F207" s="19">
        <v>7415909.0</v>
      </c>
      <c r="G207" s="20" t="s">
        <v>74</v>
      </c>
      <c r="H207" s="17"/>
    </row>
    <row r="208">
      <c r="A208" s="15" t="s">
        <v>428</v>
      </c>
      <c r="B208" s="15" t="s">
        <v>429</v>
      </c>
      <c r="C208" s="15" t="s">
        <v>34</v>
      </c>
      <c r="D208" s="15" t="s">
        <v>411</v>
      </c>
      <c r="E208" s="21" t="s">
        <v>195</v>
      </c>
      <c r="F208" s="21">
        <v>7422872.0</v>
      </c>
      <c r="G208" s="22" t="s">
        <v>74</v>
      </c>
      <c r="H208" s="17"/>
    </row>
    <row r="209">
      <c r="A209" s="15" t="s">
        <v>430</v>
      </c>
      <c r="B209" s="15" t="s">
        <v>431</v>
      </c>
      <c r="C209" s="15" t="s">
        <v>34</v>
      </c>
      <c r="D209" s="15" t="s">
        <v>411</v>
      </c>
      <c r="E209" s="19" t="s">
        <v>72</v>
      </c>
      <c r="F209" s="20" t="s">
        <v>432</v>
      </c>
      <c r="G209" s="20" t="s">
        <v>74</v>
      </c>
      <c r="H209" s="17"/>
    </row>
    <row r="210">
      <c r="A210" s="15" t="s">
        <v>433</v>
      </c>
      <c r="B210" s="15" t="s">
        <v>434</v>
      </c>
      <c r="C210" s="15" t="s">
        <v>34</v>
      </c>
      <c r="D210" s="15" t="s">
        <v>411</v>
      </c>
      <c r="E210" s="21" t="s">
        <v>195</v>
      </c>
      <c r="F210" s="21">
        <v>7415912.0</v>
      </c>
      <c r="G210" s="22" t="s">
        <v>74</v>
      </c>
      <c r="H210" s="17"/>
    </row>
    <row r="211">
      <c r="A211" s="15" t="s">
        <v>435</v>
      </c>
      <c r="B211" s="15" t="s">
        <v>436</v>
      </c>
      <c r="C211" s="15" t="s">
        <v>34</v>
      </c>
      <c r="D211" s="15" t="s">
        <v>411</v>
      </c>
      <c r="E211" s="21" t="s">
        <v>195</v>
      </c>
      <c r="F211" s="19">
        <v>7415890.0</v>
      </c>
      <c r="G211" s="20" t="s">
        <v>74</v>
      </c>
      <c r="H211" s="17"/>
    </row>
    <row r="212">
      <c r="A212" s="15" t="s">
        <v>437</v>
      </c>
      <c r="B212" s="15" t="s">
        <v>438</v>
      </c>
      <c r="C212" s="15" t="s">
        <v>34</v>
      </c>
      <c r="D212" s="15" t="s">
        <v>411</v>
      </c>
      <c r="E212" s="21" t="s">
        <v>195</v>
      </c>
      <c r="F212" s="19">
        <v>7416599.0</v>
      </c>
      <c r="G212" s="20" t="s">
        <v>74</v>
      </c>
      <c r="H212" s="17"/>
    </row>
    <row r="213">
      <c r="A213" s="15" t="s">
        <v>439</v>
      </c>
      <c r="B213" s="15" t="s">
        <v>440</v>
      </c>
      <c r="C213" s="15" t="s">
        <v>34</v>
      </c>
      <c r="D213" s="15" t="s">
        <v>411</v>
      </c>
      <c r="E213" s="19" t="s">
        <v>72</v>
      </c>
      <c r="F213" s="21" t="s">
        <v>441</v>
      </c>
      <c r="G213" s="22" t="s">
        <v>74</v>
      </c>
      <c r="H213" s="17"/>
    </row>
    <row r="214">
      <c r="A214" s="15" t="s">
        <v>442</v>
      </c>
      <c r="B214" s="15" t="s">
        <v>443</v>
      </c>
      <c r="C214" s="15" t="s">
        <v>34</v>
      </c>
      <c r="D214" s="15" t="s">
        <v>411</v>
      </c>
      <c r="E214" s="21" t="s">
        <v>195</v>
      </c>
      <c r="F214" s="19">
        <v>7415913.0</v>
      </c>
      <c r="G214" s="20" t="s">
        <v>74</v>
      </c>
      <c r="H214" s="17"/>
    </row>
    <row r="215">
      <c r="A215" s="15" t="s">
        <v>444</v>
      </c>
      <c r="B215" s="15" t="s">
        <v>445</v>
      </c>
      <c r="C215" s="15" t="s">
        <v>34</v>
      </c>
      <c r="D215" s="15" t="s">
        <v>411</v>
      </c>
      <c r="E215" s="23" t="s">
        <v>72</v>
      </c>
      <c r="F215" s="23" t="s">
        <v>446</v>
      </c>
      <c r="G215" s="24" t="s">
        <v>74</v>
      </c>
      <c r="H215" s="17"/>
    </row>
    <row r="216">
      <c r="A216" s="15" t="s">
        <v>447</v>
      </c>
      <c r="B216" s="15" t="s">
        <v>448</v>
      </c>
      <c r="C216" s="15" t="s">
        <v>34</v>
      </c>
      <c r="D216" s="15" t="s">
        <v>411</v>
      </c>
      <c r="E216" s="21" t="s">
        <v>195</v>
      </c>
      <c r="F216" s="19">
        <v>7415889.0</v>
      </c>
      <c r="G216" s="20" t="s">
        <v>74</v>
      </c>
      <c r="H216" s="17"/>
    </row>
    <row r="217">
      <c r="A217" s="15" t="s">
        <v>449</v>
      </c>
      <c r="B217" s="15" t="s">
        <v>450</v>
      </c>
      <c r="C217" s="15" t="s">
        <v>34</v>
      </c>
      <c r="D217" s="15" t="s">
        <v>411</v>
      </c>
      <c r="E217" s="19" t="s">
        <v>72</v>
      </c>
      <c r="F217" s="19" t="s">
        <v>451</v>
      </c>
      <c r="G217" s="20" t="s">
        <v>74</v>
      </c>
      <c r="H217" s="17"/>
    </row>
    <row r="218">
      <c r="A218" s="15" t="s">
        <v>452</v>
      </c>
      <c r="B218" s="15" t="s">
        <v>453</v>
      </c>
      <c r="C218" s="15" t="s">
        <v>34</v>
      </c>
      <c r="D218" s="15" t="s">
        <v>411</v>
      </c>
      <c r="E218" s="21" t="s">
        <v>195</v>
      </c>
      <c r="F218" s="19">
        <v>7417215.0</v>
      </c>
      <c r="G218" s="19" t="s">
        <v>454</v>
      </c>
      <c r="H218" s="17"/>
    </row>
    <row r="219">
      <c r="A219" s="15" t="s">
        <v>455</v>
      </c>
      <c r="B219" s="15" t="s">
        <v>456</v>
      </c>
      <c r="C219" s="15" t="s">
        <v>34</v>
      </c>
      <c r="D219" s="15" t="s">
        <v>411</v>
      </c>
      <c r="E219" s="19" t="s">
        <v>72</v>
      </c>
      <c r="F219" s="19" t="s">
        <v>457</v>
      </c>
      <c r="G219" s="20" t="s">
        <v>74</v>
      </c>
      <c r="H219" s="17"/>
    </row>
    <row r="220">
      <c r="A220" s="15" t="s">
        <v>458</v>
      </c>
      <c r="B220" s="15" t="s">
        <v>459</v>
      </c>
      <c r="C220" s="15" t="s">
        <v>34</v>
      </c>
      <c r="D220" s="15" t="s">
        <v>411</v>
      </c>
      <c r="E220" s="21" t="s">
        <v>195</v>
      </c>
      <c r="F220" s="19">
        <v>7417212.0</v>
      </c>
      <c r="G220" s="19" t="s">
        <v>74</v>
      </c>
      <c r="H220" s="17"/>
    </row>
    <row r="221">
      <c r="A221" s="15" t="s">
        <v>460</v>
      </c>
      <c r="B221" s="15" t="s">
        <v>461</v>
      </c>
      <c r="C221" s="15" t="s">
        <v>34</v>
      </c>
      <c r="D221" s="15" t="s">
        <v>411</v>
      </c>
      <c r="E221" s="21" t="s">
        <v>195</v>
      </c>
      <c r="F221" s="19">
        <v>7417219.0</v>
      </c>
      <c r="G221" s="19" t="s">
        <v>74</v>
      </c>
      <c r="H221" s="17"/>
    </row>
    <row r="222">
      <c r="A222" s="15" t="s">
        <v>462</v>
      </c>
      <c r="B222" s="15" t="s">
        <v>463</v>
      </c>
      <c r="C222" s="15" t="s">
        <v>34</v>
      </c>
      <c r="D222" s="15" t="s">
        <v>411</v>
      </c>
      <c r="E222" s="21" t="s">
        <v>195</v>
      </c>
      <c r="F222" s="19">
        <v>7417218.0</v>
      </c>
      <c r="G222" s="19" t="s">
        <v>74</v>
      </c>
      <c r="H222" s="17"/>
    </row>
    <row r="223">
      <c r="A223" s="15" t="s">
        <v>464</v>
      </c>
      <c r="B223" s="15" t="s">
        <v>465</v>
      </c>
      <c r="C223" s="15" t="s">
        <v>34</v>
      </c>
      <c r="D223" s="15" t="s">
        <v>411</v>
      </c>
      <c r="E223" s="21" t="s">
        <v>195</v>
      </c>
      <c r="F223" s="24">
        <v>7417213.0</v>
      </c>
      <c r="G223" s="19" t="s">
        <v>74</v>
      </c>
      <c r="H223" s="17"/>
    </row>
    <row r="224">
      <c r="A224" s="15" t="s">
        <v>466</v>
      </c>
      <c r="B224" s="15" t="s">
        <v>467</v>
      </c>
      <c r="C224" s="15" t="s">
        <v>34</v>
      </c>
      <c r="D224" s="15" t="s">
        <v>411</v>
      </c>
      <c r="E224" s="19" t="s">
        <v>72</v>
      </c>
      <c r="F224" s="19" t="s">
        <v>468</v>
      </c>
      <c r="G224" s="19" t="s">
        <v>469</v>
      </c>
      <c r="H224" s="17"/>
    </row>
    <row r="225">
      <c r="A225" s="15" t="s">
        <v>470</v>
      </c>
      <c r="B225" s="15" t="s">
        <v>471</v>
      </c>
      <c r="C225" s="15" t="s">
        <v>34</v>
      </c>
      <c r="D225" s="15" t="s">
        <v>411</v>
      </c>
      <c r="E225" s="21" t="s">
        <v>195</v>
      </c>
      <c r="F225" s="19">
        <v>7417201.0</v>
      </c>
      <c r="G225" s="19" t="s">
        <v>74</v>
      </c>
      <c r="H225" s="17"/>
    </row>
    <row r="226">
      <c r="A226" s="15" t="s">
        <v>472</v>
      </c>
      <c r="B226" s="15" t="s">
        <v>473</v>
      </c>
      <c r="C226" s="15" t="s">
        <v>34</v>
      </c>
      <c r="D226" s="15" t="s">
        <v>411</v>
      </c>
      <c r="E226" s="21" t="s">
        <v>195</v>
      </c>
      <c r="F226" s="19">
        <v>7416585.0</v>
      </c>
      <c r="G226" s="19" t="s">
        <v>74</v>
      </c>
      <c r="H226" s="17"/>
    </row>
    <row r="227">
      <c r="A227" s="15" t="s">
        <v>474</v>
      </c>
      <c r="B227" s="15" t="s">
        <v>475</v>
      </c>
      <c r="C227" s="15" t="s">
        <v>34</v>
      </c>
      <c r="D227" s="15" t="s">
        <v>411</v>
      </c>
      <c r="E227" s="21" t="s">
        <v>195</v>
      </c>
      <c r="F227" s="19">
        <v>7413141.0</v>
      </c>
      <c r="G227" s="19" t="s">
        <v>74</v>
      </c>
      <c r="H227" s="17"/>
    </row>
    <row r="228">
      <c r="A228" s="15" t="s">
        <v>476</v>
      </c>
      <c r="B228" s="15" t="s">
        <v>477</v>
      </c>
      <c r="C228" s="15" t="s">
        <v>34</v>
      </c>
      <c r="D228" s="15" t="s">
        <v>411</v>
      </c>
      <c r="E228" s="19" t="s">
        <v>72</v>
      </c>
      <c r="F228" s="19" t="s">
        <v>478</v>
      </c>
      <c r="G228" s="19" t="s">
        <v>74</v>
      </c>
      <c r="H228" s="17"/>
    </row>
    <row r="229">
      <c r="A229" s="15" t="s">
        <v>479</v>
      </c>
      <c r="B229" s="15" t="s">
        <v>480</v>
      </c>
      <c r="C229" s="15" t="s">
        <v>34</v>
      </c>
      <c r="D229" s="15" t="s">
        <v>411</v>
      </c>
      <c r="E229" s="21" t="s">
        <v>195</v>
      </c>
      <c r="F229" s="19">
        <v>7417477.0</v>
      </c>
      <c r="G229" s="19" t="s">
        <v>74</v>
      </c>
      <c r="H229" s="17"/>
    </row>
    <row r="230">
      <c r="A230" s="15" t="s">
        <v>481</v>
      </c>
      <c r="B230" s="15" t="s">
        <v>482</v>
      </c>
      <c r="C230" s="15" t="s">
        <v>34</v>
      </c>
      <c r="D230" s="15" t="s">
        <v>411</v>
      </c>
      <c r="E230" s="21" t="s">
        <v>195</v>
      </c>
      <c r="F230" s="19">
        <v>7417478.0</v>
      </c>
      <c r="G230" s="19" t="s">
        <v>74</v>
      </c>
      <c r="H230" s="17"/>
    </row>
    <row r="231">
      <c r="A231" s="15" t="s">
        <v>483</v>
      </c>
      <c r="B231" s="15" t="s">
        <v>484</v>
      </c>
      <c r="C231" s="15" t="s">
        <v>34</v>
      </c>
      <c r="D231" s="15" t="s">
        <v>411</v>
      </c>
      <c r="E231" s="21" t="s">
        <v>195</v>
      </c>
      <c r="F231" s="19">
        <v>7417479.0</v>
      </c>
      <c r="G231" s="19" t="s">
        <v>74</v>
      </c>
      <c r="H231" s="17"/>
    </row>
    <row r="232">
      <c r="A232" s="15" t="s">
        <v>485</v>
      </c>
      <c r="B232" s="15" t="s">
        <v>486</v>
      </c>
      <c r="C232" s="15" t="s">
        <v>34</v>
      </c>
      <c r="D232" s="15" t="s">
        <v>411</v>
      </c>
      <c r="E232" s="21" t="s">
        <v>195</v>
      </c>
      <c r="F232" s="19">
        <v>7417481.0</v>
      </c>
      <c r="G232" s="19" t="s">
        <v>74</v>
      </c>
      <c r="H232" s="17"/>
    </row>
    <row r="233">
      <c r="A233" s="15" t="s">
        <v>487</v>
      </c>
      <c r="B233" s="15" t="s">
        <v>488</v>
      </c>
      <c r="C233" s="15" t="s">
        <v>34</v>
      </c>
      <c r="D233" s="15" t="s">
        <v>411</v>
      </c>
      <c r="E233" s="21" t="s">
        <v>195</v>
      </c>
      <c r="F233" s="19">
        <v>7417475.0</v>
      </c>
      <c r="G233" s="19" t="s">
        <v>74</v>
      </c>
      <c r="H233" s="17"/>
    </row>
    <row r="234">
      <c r="A234" s="15" t="s">
        <v>489</v>
      </c>
      <c r="B234" s="15" t="s">
        <v>490</v>
      </c>
      <c r="C234" s="15" t="s">
        <v>34</v>
      </c>
      <c r="D234" s="15" t="s">
        <v>411</v>
      </c>
      <c r="E234" s="19" t="s">
        <v>72</v>
      </c>
      <c r="F234" s="21" t="s">
        <v>491</v>
      </c>
      <c r="G234" s="21" t="s">
        <v>74</v>
      </c>
      <c r="H234" s="17"/>
    </row>
    <row r="235">
      <c r="A235" s="15" t="s">
        <v>492</v>
      </c>
      <c r="B235" s="15" t="s">
        <v>493</v>
      </c>
      <c r="C235" s="15" t="s">
        <v>34</v>
      </c>
      <c r="D235" s="15" t="s">
        <v>411</v>
      </c>
      <c r="E235" s="19" t="s">
        <v>72</v>
      </c>
      <c r="F235" s="21" t="s">
        <v>494</v>
      </c>
      <c r="G235" s="21" t="s">
        <v>74</v>
      </c>
      <c r="H235" s="17"/>
    </row>
    <row r="236">
      <c r="A236" s="15" t="s">
        <v>495</v>
      </c>
      <c r="B236" s="15" t="s">
        <v>496</v>
      </c>
      <c r="C236" s="15" t="s">
        <v>34</v>
      </c>
      <c r="D236" s="15" t="s">
        <v>411</v>
      </c>
      <c r="E236" s="21" t="s">
        <v>195</v>
      </c>
      <c r="F236" s="21">
        <v>7417486.0</v>
      </c>
      <c r="G236" s="21" t="s">
        <v>74</v>
      </c>
      <c r="H236" s="17"/>
    </row>
    <row r="237">
      <c r="A237" s="15" t="s">
        <v>497</v>
      </c>
      <c r="B237" s="15" t="s">
        <v>498</v>
      </c>
      <c r="C237" s="15" t="s">
        <v>34</v>
      </c>
      <c r="D237" s="15" t="s">
        <v>411</v>
      </c>
      <c r="E237" s="19" t="s">
        <v>72</v>
      </c>
      <c r="F237" s="19" t="s">
        <v>499</v>
      </c>
      <c r="G237" s="19" t="s">
        <v>74</v>
      </c>
      <c r="H237" s="17"/>
    </row>
    <row r="238">
      <c r="A238" s="15" t="s">
        <v>500</v>
      </c>
      <c r="B238" s="15" t="s">
        <v>501</v>
      </c>
      <c r="C238" s="15" t="s">
        <v>34</v>
      </c>
      <c r="D238" s="15" t="s">
        <v>411</v>
      </c>
      <c r="E238" s="21" t="s">
        <v>195</v>
      </c>
      <c r="F238" s="19">
        <v>7417484.0</v>
      </c>
      <c r="G238" s="19" t="s">
        <v>74</v>
      </c>
      <c r="H238" s="17"/>
    </row>
    <row r="239">
      <c r="A239" s="15" t="s">
        <v>502</v>
      </c>
      <c r="B239" s="15" t="s">
        <v>503</v>
      </c>
      <c r="C239" s="15" t="s">
        <v>34</v>
      </c>
      <c r="D239" s="15" t="s">
        <v>411</v>
      </c>
      <c r="E239" s="21" t="s">
        <v>195</v>
      </c>
      <c r="F239" s="19">
        <v>7417485.0</v>
      </c>
      <c r="G239" s="19" t="s">
        <v>74</v>
      </c>
      <c r="H239" s="17"/>
    </row>
    <row r="240">
      <c r="A240" s="15" t="s">
        <v>504</v>
      </c>
      <c r="B240" s="15" t="s">
        <v>505</v>
      </c>
      <c r="C240" s="15" t="s">
        <v>34</v>
      </c>
      <c r="D240" s="15" t="s">
        <v>411</v>
      </c>
      <c r="E240" s="19" t="s">
        <v>72</v>
      </c>
      <c r="F240" s="21" t="s">
        <v>506</v>
      </c>
      <c r="G240" s="21" t="s">
        <v>74</v>
      </c>
      <c r="H240" s="17"/>
    </row>
    <row r="241">
      <c r="A241" s="15" t="s">
        <v>507</v>
      </c>
      <c r="B241" s="15" t="s">
        <v>508</v>
      </c>
      <c r="C241" s="15" t="s">
        <v>34</v>
      </c>
      <c r="D241" s="15" t="s">
        <v>411</v>
      </c>
      <c r="E241" s="19" t="s">
        <v>72</v>
      </c>
      <c r="F241" s="21" t="s">
        <v>509</v>
      </c>
      <c r="G241" s="21" t="s">
        <v>74</v>
      </c>
      <c r="H241" s="17"/>
    </row>
    <row r="242">
      <c r="A242" s="15" t="s">
        <v>510</v>
      </c>
      <c r="B242" s="15" t="s">
        <v>511</v>
      </c>
      <c r="C242" s="15" t="s">
        <v>34</v>
      </c>
      <c r="D242" s="15" t="s">
        <v>411</v>
      </c>
      <c r="E242" s="21" t="s">
        <v>195</v>
      </c>
      <c r="F242" s="21">
        <v>7417487.0</v>
      </c>
      <c r="G242" s="21" t="s">
        <v>74</v>
      </c>
      <c r="H242" s="17"/>
    </row>
    <row r="243">
      <c r="A243" s="15" t="s">
        <v>512</v>
      </c>
      <c r="B243" s="15" t="s">
        <v>513</v>
      </c>
      <c r="C243" s="15" t="s">
        <v>34</v>
      </c>
      <c r="D243" s="15" t="s">
        <v>411</v>
      </c>
      <c r="E243" s="21" t="s">
        <v>195</v>
      </c>
      <c r="F243" s="19">
        <v>7419184.0</v>
      </c>
      <c r="G243" s="19" t="s">
        <v>514</v>
      </c>
      <c r="H243" s="17"/>
    </row>
    <row r="244">
      <c r="A244" s="15" t="s">
        <v>515</v>
      </c>
      <c r="B244" s="15" t="s">
        <v>516</v>
      </c>
      <c r="C244" s="15" t="s">
        <v>34</v>
      </c>
      <c r="D244" s="15" t="s">
        <v>411</v>
      </c>
      <c r="E244" s="21" t="s">
        <v>195</v>
      </c>
      <c r="F244" s="19">
        <v>7419183.0</v>
      </c>
      <c r="G244" s="19" t="s">
        <v>74</v>
      </c>
      <c r="H244" s="17"/>
    </row>
    <row r="245">
      <c r="A245" s="15" t="s">
        <v>517</v>
      </c>
      <c r="B245" s="15" t="s">
        <v>518</v>
      </c>
      <c r="C245" s="15" t="s">
        <v>34</v>
      </c>
      <c r="D245" s="15" t="s">
        <v>411</v>
      </c>
      <c r="E245" s="21" t="s">
        <v>195</v>
      </c>
      <c r="F245" s="19">
        <v>7419182.0</v>
      </c>
      <c r="G245" s="19" t="s">
        <v>74</v>
      </c>
      <c r="H245" s="17"/>
    </row>
    <row r="246">
      <c r="A246" s="15" t="s">
        <v>519</v>
      </c>
      <c r="B246" s="15" t="s">
        <v>520</v>
      </c>
      <c r="C246" s="15" t="s">
        <v>34</v>
      </c>
      <c r="D246" s="15" t="s">
        <v>411</v>
      </c>
      <c r="E246" s="19" t="s">
        <v>72</v>
      </c>
      <c r="F246" s="19" t="s">
        <v>521</v>
      </c>
      <c r="G246" s="19" t="s">
        <v>74</v>
      </c>
      <c r="H246" s="17"/>
    </row>
    <row r="247">
      <c r="A247" s="15" t="s">
        <v>522</v>
      </c>
      <c r="B247" s="15" t="s">
        <v>523</v>
      </c>
      <c r="C247" s="15" t="s">
        <v>34</v>
      </c>
      <c r="D247" s="15" t="s">
        <v>411</v>
      </c>
      <c r="E247" s="21" t="s">
        <v>195</v>
      </c>
      <c r="F247" s="21">
        <v>7413159.0</v>
      </c>
      <c r="G247" s="19" t="s">
        <v>74</v>
      </c>
      <c r="H247" s="17"/>
    </row>
    <row r="248">
      <c r="A248" s="15" t="s">
        <v>524</v>
      </c>
      <c r="B248" s="15" t="s">
        <v>525</v>
      </c>
      <c r="C248" s="15" t="s">
        <v>34</v>
      </c>
      <c r="D248" s="15" t="s">
        <v>411</v>
      </c>
      <c r="E248" s="21" t="s">
        <v>195</v>
      </c>
      <c r="F248" s="19">
        <v>7419186.0</v>
      </c>
      <c r="G248" s="19" t="s">
        <v>74</v>
      </c>
      <c r="H248" s="17"/>
    </row>
    <row r="249">
      <c r="A249" s="15" t="s">
        <v>526</v>
      </c>
      <c r="B249" s="15" t="s">
        <v>527</v>
      </c>
      <c r="C249" s="15" t="s">
        <v>34</v>
      </c>
      <c r="D249" s="15" t="s">
        <v>411</v>
      </c>
      <c r="E249" s="19" t="s">
        <v>72</v>
      </c>
      <c r="F249" s="19" t="s">
        <v>528</v>
      </c>
      <c r="G249" s="19" t="s">
        <v>74</v>
      </c>
      <c r="H249" s="17"/>
    </row>
    <row r="250">
      <c r="A250" s="15" t="s">
        <v>529</v>
      </c>
      <c r="B250" s="15" t="s">
        <v>530</v>
      </c>
      <c r="C250" s="15" t="s">
        <v>34</v>
      </c>
      <c r="D250" s="15" t="s">
        <v>411</v>
      </c>
      <c r="E250" s="21" t="s">
        <v>195</v>
      </c>
      <c r="F250" s="19">
        <v>7419192.0</v>
      </c>
      <c r="G250" s="19" t="s">
        <v>74</v>
      </c>
      <c r="H250" s="17"/>
    </row>
    <row r="251">
      <c r="A251" s="15" t="s">
        <v>531</v>
      </c>
      <c r="B251" s="15" t="s">
        <v>532</v>
      </c>
      <c r="C251" s="15" t="s">
        <v>34</v>
      </c>
      <c r="D251" s="15" t="s">
        <v>411</v>
      </c>
      <c r="E251" s="21" t="s">
        <v>195</v>
      </c>
      <c r="F251" s="19">
        <v>7419190.0</v>
      </c>
      <c r="G251" s="19" t="s">
        <v>74</v>
      </c>
      <c r="H251" s="17"/>
    </row>
    <row r="252">
      <c r="A252" s="15" t="s">
        <v>533</v>
      </c>
      <c r="B252" s="15" t="s">
        <v>534</v>
      </c>
      <c r="C252" s="15" t="s">
        <v>34</v>
      </c>
      <c r="D252" s="15" t="s">
        <v>411</v>
      </c>
      <c r="E252" s="23" t="s">
        <v>195</v>
      </c>
      <c r="F252" s="24">
        <v>7419188.0</v>
      </c>
      <c r="G252" s="24" t="s">
        <v>74</v>
      </c>
      <c r="H252" s="17"/>
    </row>
    <row r="253">
      <c r="A253" s="15" t="s">
        <v>535</v>
      </c>
      <c r="B253" s="15" t="s">
        <v>536</v>
      </c>
      <c r="C253" s="15" t="s">
        <v>34</v>
      </c>
      <c r="D253" s="15" t="s">
        <v>411</v>
      </c>
      <c r="E253" s="21" t="s">
        <v>195</v>
      </c>
      <c r="F253" s="19">
        <v>7419193.0</v>
      </c>
      <c r="G253" s="19" t="s">
        <v>74</v>
      </c>
      <c r="H253" s="17"/>
    </row>
    <row r="254">
      <c r="A254" s="15" t="s">
        <v>537</v>
      </c>
      <c r="B254" s="15" t="s">
        <v>538</v>
      </c>
      <c r="C254" s="15" t="s">
        <v>34</v>
      </c>
      <c r="D254" s="15" t="s">
        <v>411</v>
      </c>
      <c r="E254" s="21" t="s">
        <v>195</v>
      </c>
      <c r="F254" s="19">
        <v>7419194.0</v>
      </c>
      <c r="G254" s="19" t="s">
        <v>74</v>
      </c>
      <c r="H254" s="17"/>
    </row>
    <row r="255">
      <c r="A255" s="15" t="s">
        <v>539</v>
      </c>
      <c r="B255" s="15" t="s">
        <v>540</v>
      </c>
      <c r="C255" s="15" t="s">
        <v>34</v>
      </c>
      <c r="D255" s="15" t="s">
        <v>411</v>
      </c>
      <c r="E255" s="21" t="s">
        <v>195</v>
      </c>
      <c r="F255" s="19">
        <v>7420083.0</v>
      </c>
      <c r="G255" s="19" t="s">
        <v>74</v>
      </c>
      <c r="H255" s="17"/>
    </row>
    <row r="256">
      <c r="A256" s="15" t="s">
        <v>541</v>
      </c>
      <c r="B256" s="15" t="s">
        <v>542</v>
      </c>
      <c r="C256" s="15" t="s">
        <v>34</v>
      </c>
      <c r="D256" s="15" t="s">
        <v>411</v>
      </c>
      <c r="E256" s="19" t="s">
        <v>72</v>
      </c>
      <c r="F256" s="19" t="s">
        <v>543</v>
      </c>
      <c r="G256" s="19" t="s">
        <v>74</v>
      </c>
      <c r="H256" s="17"/>
    </row>
    <row r="257">
      <c r="A257" s="15" t="s">
        <v>544</v>
      </c>
      <c r="B257" s="15" t="s">
        <v>545</v>
      </c>
      <c r="C257" s="15" t="s">
        <v>34</v>
      </c>
      <c r="D257" s="15" t="s">
        <v>411</v>
      </c>
      <c r="E257" s="21" t="s">
        <v>195</v>
      </c>
      <c r="F257" s="19">
        <v>7420084.0</v>
      </c>
      <c r="G257" s="19" t="s">
        <v>74</v>
      </c>
      <c r="H257" s="17"/>
    </row>
    <row r="258">
      <c r="A258" s="15" t="s">
        <v>546</v>
      </c>
      <c r="B258" s="15" t="s">
        <v>547</v>
      </c>
      <c r="C258" s="15" t="s">
        <v>34</v>
      </c>
      <c r="D258" s="15" t="s">
        <v>411</v>
      </c>
      <c r="E258" s="21" t="s">
        <v>195</v>
      </c>
      <c r="F258" s="19">
        <v>7419189.0</v>
      </c>
      <c r="G258" s="19" t="s">
        <v>74</v>
      </c>
      <c r="H258" s="17"/>
    </row>
    <row r="259">
      <c r="A259" s="15" t="s">
        <v>548</v>
      </c>
      <c r="B259" s="15" t="s">
        <v>549</v>
      </c>
      <c r="C259" s="15" t="s">
        <v>34</v>
      </c>
      <c r="D259" s="15" t="s">
        <v>411</v>
      </c>
      <c r="E259" s="21" t="s">
        <v>195</v>
      </c>
      <c r="F259" s="19">
        <v>7420086.0</v>
      </c>
      <c r="G259" s="20" t="s">
        <v>74</v>
      </c>
      <c r="H259" s="17"/>
    </row>
    <row r="260">
      <c r="A260" s="15" t="s">
        <v>550</v>
      </c>
      <c r="B260" s="15" t="s">
        <v>551</v>
      </c>
      <c r="C260" s="15" t="s">
        <v>34</v>
      </c>
      <c r="D260" s="15" t="s">
        <v>411</v>
      </c>
      <c r="E260" s="21" t="s">
        <v>195</v>
      </c>
      <c r="F260" s="19">
        <v>7420085.0</v>
      </c>
      <c r="G260" s="19" t="s">
        <v>74</v>
      </c>
      <c r="H260" s="17"/>
    </row>
    <row r="261">
      <c r="A261" s="15" t="s">
        <v>552</v>
      </c>
      <c r="B261" s="15" t="s">
        <v>553</v>
      </c>
      <c r="C261" s="15" t="s">
        <v>34</v>
      </c>
      <c r="D261" s="15" t="s">
        <v>411</v>
      </c>
      <c r="E261" s="21" t="s">
        <v>195</v>
      </c>
      <c r="F261" s="19">
        <v>7420088.0</v>
      </c>
      <c r="G261" s="19" t="s">
        <v>74</v>
      </c>
      <c r="H261" s="17"/>
    </row>
    <row r="262">
      <c r="A262" s="15" t="s">
        <v>554</v>
      </c>
      <c r="B262" s="15" t="s">
        <v>555</v>
      </c>
      <c r="C262" s="15" t="s">
        <v>34</v>
      </c>
      <c r="D262" s="15" t="s">
        <v>411</v>
      </c>
      <c r="E262" s="21" t="s">
        <v>195</v>
      </c>
      <c r="F262" s="19">
        <v>7420090.0</v>
      </c>
      <c r="G262" s="19" t="s">
        <v>556</v>
      </c>
      <c r="H262" s="17"/>
    </row>
    <row r="263">
      <c r="A263" s="15" t="s">
        <v>557</v>
      </c>
      <c r="B263" s="15" t="s">
        <v>558</v>
      </c>
      <c r="C263" s="15" t="s">
        <v>34</v>
      </c>
      <c r="D263" s="15" t="s">
        <v>411</v>
      </c>
      <c r="E263" s="21" t="s">
        <v>195</v>
      </c>
      <c r="F263" s="19">
        <v>7418804.0</v>
      </c>
      <c r="G263" s="19" t="s">
        <v>74</v>
      </c>
      <c r="H263" s="17"/>
    </row>
    <row r="264">
      <c r="A264" s="15" t="s">
        <v>559</v>
      </c>
      <c r="B264" s="15" t="s">
        <v>560</v>
      </c>
      <c r="C264" s="15" t="s">
        <v>34</v>
      </c>
      <c r="D264" s="15" t="s">
        <v>411</v>
      </c>
      <c r="E264" s="21" t="s">
        <v>195</v>
      </c>
      <c r="F264" s="19">
        <v>7420095.0</v>
      </c>
      <c r="G264" s="19" t="s">
        <v>74</v>
      </c>
      <c r="H264" s="17"/>
    </row>
    <row r="265">
      <c r="A265" s="15" t="s">
        <v>561</v>
      </c>
      <c r="B265" s="15" t="s">
        <v>562</v>
      </c>
      <c r="C265" s="15" t="s">
        <v>34</v>
      </c>
      <c r="D265" s="15" t="s">
        <v>411</v>
      </c>
      <c r="E265" s="19" t="s">
        <v>72</v>
      </c>
      <c r="F265" s="19" t="s">
        <v>563</v>
      </c>
      <c r="G265" s="19" t="s">
        <v>74</v>
      </c>
      <c r="H265" s="17"/>
    </row>
    <row r="266">
      <c r="A266" s="15" t="s">
        <v>564</v>
      </c>
      <c r="B266" s="15" t="s">
        <v>565</v>
      </c>
      <c r="C266" s="15" t="s">
        <v>34</v>
      </c>
      <c r="D266" s="15" t="s">
        <v>411</v>
      </c>
      <c r="E266" s="21" t="s">
        <v>195</v>
      </c>
      <c r="F266" s="19">
        <v>7421289.0</v>
      </c>
      <c r="G266" s="19" t="s">
        <v>74</v>
      </c>
      <c r="H266" s="17"/>
    </row>
    <row r="267">
      <c r="A267" s="15" t="s">
        <v>566</v>
      </c>
      <c r="B267" s="15" t="s">
        <v>567</v>
      </c>
      <c r="C267" s="15" t="s">
        <v>34</v>
      </c>
      <c r="D267" s="15" t="s">
        <v>411</v>
      </c>
      <c r="E267" s="21" t="s">
        <v>195</v>
      </c>
      <c r="F267" s="19">
        <v>7421293.0</v>
      </c>
      <c r="G267" s="19" t="s">
        <v>568</v>
      </c>
      <c r="H267" s="17"/>
    </row>
    <row r="268">
      <c r="A268" s="15" t="s">
        <v>569</v>
      </c>
      <c r="B268" s="15" t="s">
        <v>570</v>
      </c>
      <c r="C268" s="15" t="s">
        <v>34</v>
      </c>
      <c r="D268" s="15" t="s">
        <v>411</v>
      </c>
      <c r="E268" s="21" t="s">
        <v>195</v>
      </c>
      <c r="F268" s="19">
        <v>7421292.0</v>
      </c>
      <c r="G268" s="19" t="s">
        <v>74</v>
      </c>
      <c r="H268" s="17"/>
    </row>
    <row r="269">
      <c r="A269" s="15" t="s">
        <v>571</v>
      </c>
      <c r="B269" s="15" t="s">
        <v>572</v>
      </c>
      <c r="C269" s="15" t="s">
        <v>34</v>
      </c>
      <c r="D269" s="15" t="s">
        <v>411</v>
      </c>
      <c r="E269" s="21" t="s">
        <v>195</v>
      </c>
      <c r="F269" s="19">
        <v>7421296.0</v>
      </c>
      <c r="G269" s="19" t="s">
        <v>74</v>
      </c>
      <c r="H269" s="17"/>
    </row>
    <row r="270">
      <c r="A270" s="15" t="s">
        <v>573</v>
      </c>
      <c r="B270" s="15" t="s">
        <v>574</v>
      </c>
      <c r="C270" s="15" t="s">
        <v>34</v>
      </c>
      <c r="D270" s="15" t="s">
        <v>411</v>
      </c>
      <c r="E270" s="21" t="s">
        <v>195</v>
      </c>
      <c r="F270" s="19">
        <v>7421297.0</v>
      </c>
      <c r="G270" s="19" t="s">
        <v>74</v>
      </c>
      <c r="H270" s="17"/>
    </row>
    <row r="271">
      <c r="A271" s="15" t="s">
        <v>575</v>
      </c>
      <c r="B271" s="15" t="s">
        <v>576</v>
      </c>
      <c r="C271" s="15" t="s">
        <v>34</v>
      </c>
      <c r="D271" s="15" t="s">
        <v>411</v>
      </c>
      <c r="E271" s="21" t="s">
        <v>195</v>
      </c>
      <c r="F271" s="19">
        <v>7421294.0</v>
      </c>
      <c r="G271" s="19" t="s">
        <v>74</v>
      </c>
      <c r="H271" s="17"/>
    </row>
    <row r="272">
      <c r="A272" s="15" t="s">
        <v>577</v>
      </c>
      <c r="B272" s="15" t="s">
        <v>578</v>
      </c>
      <c r="C272" s="15" t="s">
        <v>34</v>
      </c>
      <c r="D272" s="15" t="s">
        <v>411</v>
      </c>
      <c r="E272" s="21" t="s">
        <v>195</v>
      </c>
      <c r="F272" s="19">
        <v>7420092.0</v>
      </c>
      <c r="G272" s="19" t="s">
        <v>579</v>
      </c>
      <c r="H272" s="17"/>
    </row>
    <row r="273">
      <c r="A273" s="15" t="s">
        <v>580</v>
      </c>
      <c r="B273" s="15" t="s">
        <v>581</v>
      </c>
      <c r="C273" s="15" t="s">
        <v>34</v>
      </c>
      <c r="D273" s="15" t="s">
        <v>411</v>
      </c>
      <c r="E273" s="21" t="s">
        <v>195</v>
      </c>
      <c r="F273" s="19">
        <v>7421298.0</v>
      </c>
      <c r="G273" s="19" t="s">
        <v>74</v>
      </c>
      <c r="H273" s="17"/>
    </row>
    <row r="274">
      <c r="A274" s="15" t="s">
        <v>582</v>
      </c>
      <c r="B274" s="15" t="s">
        <v>583</v>
      </c>
      <c r="C274" s="15" t="s">
        <v>34</v>
      </c>
      <c r="D274" s="15" t="s">
        <v>411</v>
      </c>
      <c r="E274" s="21" t="s">
        <v>195</v>
      </c>
      <c r="F274" s="19">
        <v>7421826.0</v>
      </c>
      <c r="G274" s="19" t="s">
        <v>74</v>
      </c>
      <c r="H274" s="17"/>
    </row>
    <row r="275">
      <c r="A275" s="15" t="s">
        <v>584</v>
      </c>
      <c r="B275" s="15" t="s">
        <v>585</v>
      </c>
      <c r="C275" s="15" t="s">
        <v>34</v>
      </c>
      <c r="D275" s="15" t="s">
        <v>411</v>
      </c>
      <c r="E275" s="21" t="s">
        <v>195</v>
      </c>
      <c r="F275" s="24">
        <v>7421809.0</v>
      </c>
      <c r="G275" s="24" t="s">
        <v>74</v>
      </c>
      <c r="H275" s="17"/>
    </row>
    <row r="276">
      <c r="A276" s="15" t="s">
        <v>586</v>
      </c>
      <c r="B276" s="15" t="s">
        <v>587</v>
      </c>
      <c r="C276" s="15" t="s">
        <v>34</v>
      </c>
      <c r="D276" s="15" t="s">
        <v>411</v>
      </c>
      <c r="E276" s="21" t="s">
        <v>195</v>
      </c>
      <c r="F276" s="21">
        <v>7421808.0</v>
      </c>
      <c r="G276" s="21" t="s">
        <v>74</v>
      </c>
      <c r="H276" s="17"/>
    </row>
    <row r="277">
      <c r="A277" s="15" t="s">
        <v>588</v>
      </c>
      <c r="B277" s="15" t="s">
        <v>589</v>
      </c>
      <c r="C277" s="15" t="s">
        <v>34</v>
      </c>
      <c r="D277" s="15" t="s">
        <v>411</v>
      </c>
      <c r="E277" s="21" t="s">
        <v>195</v>
      </c>
      <c r="F277" s="21">
        <v>7423449.0</v>
      </c>
      <c r="G277" s="21" t="s">
        <v>74</v>
      </c>
      <c r="H277" s="17"/>
    </row>
    <row r="278">
      <c r="A278" s="15" t="s">
        <v>590</v>
      </c>
      <c r="B278" s="15" t="s">
        <v>591</v>
      </c>
      <c r="C278" s="15" t="s">
        <v>34</v>
      </c>
      <c r="D278" s="15" t="s">
        <v>411</v>
      </c>
      <c r="E278" s="21" t="s">
        <v>195</v>
      </c>
      <c r="F278" s="21">
        <v>7421300.0</v>
      </c>
      <c r="G278" s="21" t="s">
        <v>592</v>
      </c>
      <c r="H278" s="17"/>
    </row>
    <row r="279">
      <c r="A279" s="15" t="s">
        <v>593</v>
      </c>
      <c r="B279" s="15" t="s">
        <v>594</v>
      </c>
      <c r="C279" s="15" t="s">
        <v>34</v>
      </c>
      <c r="D279" s="15" t="s">
        <v>411</v>
      </c>
      <c r="E279" s="21" t="s">
        <v>195</v>
      </c>
      <c r="F279" s="21">
        <v>7421291.0</v>
      </c>
      <c r="G279" s="21" t="s">
        <v>74</v>
      </c>
      <c r="H279" s="17"/>
    </row>
    <row r="280">
      <c r="A280" s="15" t="s">
        <v>595</v>
      </c>
      <c r="B280" s="15" t="s">
        <v>596</v>
      </c>
      <c r="C280" s="15" t="s">
        <v>34</v>
      </c>
      <c r="D280" s="15" t="s">
        <v>411</v>
      </c>
      <c r="E280" s="21" t="s">
        <v>195</v>
      </c>
      <c r="F280" s="21">
        <v>7421814.0</v>
      </c>
      <c r="G280" s="21" t="s">
        <v>74</v>
      </c>
      <c r="H280" s="17"/>
    </row>
    <row r="281">
      <c r="A281" s="15" t="s">
        <v>597</v>
      </c>
      <c r="B281" s="15" t="s">
        <v>598</v>
      </c>
      <c r="C281" s="15" t="s">
        <v>34</v>
      </c>
      <c r="D281" s="15" t="s">
        <v>411</v>
      </c>
      <c r="E281" s="21" t="s">
        <v>195</v>
      </c>
      <c r="F281" s="21">
        <v>7421299.0</v>
      </c>
      <c r="G281" s="21" t="s">
        <v>74</v>
      </c>
      <c r="H281" s="17"/>
    </row>
    <row r="282">
      <c r="A282" s="15" t="s">
        <v>599</v>
      </c>
      <c r="B282" s="15" t="s">
        <v>600</v>
      </c>
      <c r="C282" s="15" t="s">
        <v>34</v>
      </c>
      <c r="D282" s="15" t="s">
        <v>411</v>
      </c>
      <c r="E282" s="19" t="s">
        <v>72</v>
      </c>
      <c r="F282" s="21" t="s">
        <v>601</v>
      </c>
      <c r="G282" s="21" t="s">
        <v>74</v>
      </c>
      <c r="H282" s="17"/>
    </row>
    <row r="283">
      <c r="A283" s="15" t="s">
        <v>602</v>
      </c>
      <c r="B283" s="15" t="s">
        <v>603</v>
      </c>
      <c r="C283" s="15" t="s">
        <v>34</v>
      </c>
      <c r="D283" s="15" t="s">
        <v>411</v>
      </c>
      <c r="E283" s="21" t="s">
        <v>195</v>
      </c>
      <c r="F283" s="21">
        <v>7420091.0</v>
      </c>
      <c r="G283" s="21" t="s">
        <v>74</v>
      </c>
      <c r="H283" s="17"/>
    </row>
    <row r="284">
      <c r="A284" s="15" t="s">
        <v>604</v>
      </c>
      <c r="B284" s="15" t="s">
        <v>605</v>
      </c>
      <c r="C284" s="15" t="s">
        <v>34</v>
      </c>
      <c r="D284" s="15" t="s">
        <v>411</v>
      </c>
      <c r="E284" s="21" t="s">
        <v>195</v>
      </c>
      <c r="F284" s="21">
        <v>7420089.0</v>
      </c>
      <c r="G284" s="21" t="s">
        <v>74</v>
      </c>
      <c r="H284" s="17"/>
    </row>
    <row r="285">
      <c r="A285" s="15" t="s">
        <v>606</v>
      </c>
      <c r="B285" s="15" t="s">
        <v>607</v>
      </c>
      <c r="C285" s="15" t="s">
        <v>34</v>
      </c>
      <c r="D285" s="15" t="s">
        <v>411</v>
      </c>
      <c r="E285" s="21" t="s">
        <v>195</v>
      </c>
      <c r="F285" s="21">
        <v>7421813.0</v>
      </c>
      <c r="G285" s="21" t="s">
        <v>74</v>
      </c>
      <c r="H285" s="17"/>
    </row>
    <row r="286">
      <c r="A286" s="15" t="s">
        <v>608</v>
      </c>
      <c r="B286" s="15" t="s">
        <v>609</v>
      </c>
      <c r="C286" s="15" t="s">
        <v>34</v>
      </c>
      <c r="D286" s="15" t="s">
        <v>411</v>
      </c>
      <c r="E286" s="21" t="s">
        <v>195</v>
      </c>
      <c r="F286" s="21">
        <v>7421816.0</v>
      </c>
      <c r="G286" s="23" t="s">
        <v>74</v>
      </c>
      <c r="H286" s="17"/>
    </row>
    <row r="287">
      <c r="A287" s="15" t="s">
        <v>610</v>
      </c>
      <c r="B287" s="15" t="s">
        <v>611</v>
      </c>
      <c r="C287" s="15" t="s">
        <v>34</v>
      </c>
      <c r="D287" s="15" t="s">
        <v>411</v>
      </c>
      <c r="E287" s="21" t="s">
        <v>195</v>
      </c>
      <c r="F287" s="21">
        <v>7421815.0</v>
      </c>
      <c r="G287" s="21" t="s">
        <v>74</v>
      </c>
      <c r="H287" s="17"/>
    </row>
    <row r="288">
      <c r="A288" s="15" t="s">
        <v>612</v>
      </c>
      <c r="B288" s="15" t="s">
        <v>613</v>
      </c>
      <c r="C288" s="15" t="s">
        <v>34</v>
      </c>
      <c r="D288" s="15" t="s">
        <v>411</v>
      </c>
      <c r="E288" s="21" t="s">
        <v>195</v>
      </c>
      <c r="F288" s="21">
        <v>7421811.0</v>
      </c>
      <c r="G288" s="21" t="s">
        <v>74</v>
      </c>
      <c r="H288" s="17"/>
    </row>
    <row r="289">
      <c r="A289" s="15" t="s">
        <v>614</v>
      </c>
      <c r="B289" s="15" t="s">
        <v>615</v>
      </c>
      <c r="C289" s="15" t="s">
        <v>34</v>
      </c>
      <c r="D289" s="15" t="s">
        <v>411</v>
      </c>
      <c r="E289" s="21" t="s">
        <v>195</v>
      </c>
      <c r="F289" s="21">
        <v>7421812.0</v>
      </c>
      <c r="G289" s="21" t="s">
        <v>74</v>
      </c>
      <c r="H289" s="17"/>
    </row>
    <row r="290">
      <c r="A290" s="15" t="s">
        <v>616</v>
      </c>
      <c r="B290" s="15" t="s">
        <v>617</v>
      </c>
      <c r="C290" s="15" t="s">
        <v>34</v>
      </c>
      <c r="D290" s="15" t="s">
        <v>411</v>
      </c>
      <c r="E290" s="21" t="s">
        <v>195</v>
      </c>
      <c r="F290" s="21">
        <v>7421819.0</v>
      </c>
      <c r="G290" s="21" t="s">
        <v>74</v>
      </c>
      <c r="H290" s="17"/>
    </row>
    <row r="291">
      <c r="A291" s="15" t="s">
        <v>618</v>
      </c>
      <c r="B291" s="15" t="s">
        <v>619</v>
      </c>
      <c r="C291" s="15" t="s">
        <v>34</v>
      </c>
      <c r="D291" s="15" t="s">
        <v>411</v>
      </c>
      <c r="E291" s="21" t="s">
        <v>195</v>
      </c>
      <c r="F291" s="21">
        <v>7421817.0</v>
      </c>
      <c r="G291" s="21" t="s">
        <v>74</v>
      </c>
      <c r="H291" s="17"/>
    </row>
    <row r="292">
      <c r="A292" s="15" t="s">
        <v>620</v>
      </c>
      <c r="B292" s="15" t="s">
        <v>621</v>
      </c>
      <c r="C292" s="15" t="s">
        <v>34</v>
      </c>
      <c r="D292" s="15" t="s">
        <v>411</v>
      </c>
      <c r="E292" s="21" t="s">
        <v>195</v>
      </c>
      <c r="F292" s="21">
        <v>7421968.0</v>
      </c>
      <c r="G292" s="21" t="s">
        <v>74</v>
      </c>
      <c r="H292" s="17"/>
    </row>
    <row r="293">
      <c r="A293" s="15" t="s">
        <v>622</v>
      </c>
      <c r="B293" s="15" t="s">
        <v>623</v>
      </c>
      <c r="C293" s="15" t="s">
        <v>34</v>
      </c>
      <c r="D293" s="15" t="s">
        <v>411</v>
      </c>
      <c r="E293" s="21" t="s">
        <v>195</v>
      </c>
      <c r="F293" s="21">
        <v>7421810.0</v>
      </c>
      <c r="G293" s="21" t="s">
        <v>74</v>
      </c>
      <c r="H293" s="17"/>
    </row>
    <row r="294">
      <c r="A294" s="15" t="s">
        <v>624</v>
      </c>
      <c r="B294" s="15" t="s">
        <v>625</v>
      </c>
      <c r="C294" s="15" t="s">
        <v>34</v>
      </c>
      <c r="D294" s="15" t="s">
        <v>411</v>
      </c>
      <c r="E294" s="21" t="s">
        <v>195</v>
      </c>
      <c r="F294" s="21">
        <v>7421820.0</v>
      </c>
      <c r="G294" s="21" t="s">
        <v>74</v>
      </c>
      <c r="H294" s="17"/>
    </row>
    <row r="295">
      <c r="A295" s="15" t="s">
        <v>626</v>
      </c>
      <c r="B295" s="15" t="s">
        <v>627</v>
      </c>
      <c r="C295" s="15" t="s">
        <v>34</v>
      </c>
      <c r="D295" s="15" t="s">
        <v>411</v>
      </c>
      <c r="E295" s="19" t="s">
        <v>72</v>
      </c>
      <c r="F295" s="21">
        <v>7421962.0</v>
      </c>
      <c r="G295" s="21" t="s">
        <v>211</v>
      </c>
      <c r="H295" s="17"/>
    </row>
    <row r="296">
      <c r="A296" s="15" t="s">
        <v>628</v>
      </c>
      <c r="B296" s="15" t="s">
        <v>629</v>
      </c>
      <c r="C296" s="15" t="s">
        <v>34</v>
      </c>
      <c r="D296" s="15" t="s">
        <v>411</v>
      </c>
      <c r="E296" s="21" t="s">
        <v>195</v>
      </c>
      <c r="F296" s="21">
        <v>7421961.0</v>
      </c>
      <c r="G296" s="21" t="s">
        <v>74</v>
      </c>
      <c r="H296" s="17"/>
    </row>
    <row r="297">
      <c r="A297" s="15" t="s">
        <v>630</v>
      </c>
      <c r="B297" s="15" t="s">
        <v>631</v>
      </c>
      <c r="C297" s="15" t="s">
        <v>34</v>
      </c>
      <c r="D297" s="15" t="s">
        <v>411</v>
      </c>
      <c r="E297" s="21" t="s">
        <v>195</v>
      </c>
      <c r="F297" s="21">
        <v>7421971.0</v>
      </c>
      <c r="G297" s="21" t="s">
        <v>74</v>
      </c>
      <c r="H297" s="17"/>
    </row>
    <row r="298">
      <c r="A298" s="15" t="s">
        <v>632</v>
      </c>
      <c r="B298" s="15" t="s">
        <v>633</v>
      </c>
      <c r="C298" s="15" t="s">
        <v>34</v>
      </c>
      <c r="D298" s="15" t="s">
        <v>411</v>
      </c>
      <c r="E298" s="19" t="s">
        <v>72</v>
      </c>
      <c r="F298" s="21">
        <v>7421821.0</v>
      </c>
      <c r="G298" s="21" t="s">
        <v>74</v>
      </c>
      <c r="H298" s="17"/>
    </row>
    <row r="299">
      <c r="A299" s="15" t="s">
        <v>634</v>
      </c>
      <c r="B299" s="15" t="s">
        <v>635</v>
      </c>
      <c r="C299" s="15" t="s">
        <v>34</v>
      </c>
      <c r="D299" s="15" t="s">
        <v>411</v>
      </c>
      <c r="E299" s="19" t="s">
        <v>72</v>
      </c>
      <c r="F299" s="21" t="s">
        <v>636</v>
      </c>
      <c r="G299" s="21" t="s">
        <v>74</v>
      </c>
      <c r="H299" s="17"/>
    </row>
    <row r="300">
      <c r="A300" s="15" t="s">
        <v>637</v>
      </c>
      <c r="B300" s="15" t="s">
        <v>638</v>
      </c>
      <c r="C300" s="15" t="s">
        <v>34</v>
      </c>
      <c r="D300" s="15" t="s">
        <v>411</v>
      </c>
      <c r="E300" s="21" t="s">
        <v>195</v>
      </c>
      <c r="F300" s="21">
        <v>7421972.0</v>
      </c>
      <c r="G300" s="21" t="s">
        <v>74</v>
      </c>
      <c r="H300" s="17"/>
    </row>
    <row r="301">
      <c r="A301" s="15" t="s">
        <v>639</v>
      </c>
      <c r="B301" s="15" t="s">
        <v>640</v>
      </c>
      <c r="C301" s="15" t="s">
        <v>34</v>
      </c>
      <c r="D301" s="15" t="s">
        <v>411</v>
      </c>
      <c r="E301" s="25"/>
      <c r="F301" s="23">
        <v>7421963.0</v>
      </c>
      <c r="G301" s="24" t="s">
        <v>74</v>
      </c>
      <c r="H301" s="17"/>
    </row>
    <row r="302">
      <c r="A302" s="15" t="s">
        <v>641</v>
      </c>
      <c r="B302" s="15" t="s">
        <v>642</v>
      </c>
      <c r="C302" s="15" t="s">
        <v>34</v>
      </c>
      <c r="D302" s="15" t="s">
        <v>411</v>
      </c>
      <c r="E302" s="21" t="s">
        <v>195</v>
      </c>
      <c r="F302" s="21">
        <v>7421965.0</v>
      </c>
      <c r="G302" s="21" t="s">
        <v>74</v>
      </c>
      <c r="H302" s="17"/>
    </row>
    <row r="303">
      <c r="A303" s="15" t="s">
        <v>643</v>
      </c>
      <c r="B303" s="15" t="s">
        <v>644</v>
      </c>
      <c r="C303" s="15" t="s">
        <v>34</v>
      </c>
      <c r="D303" s="15" t="s">
        <v>411</v>
      </c>
      <c r="E303" s="21" t="s">
        <v>195</v>
      </c>
      <c r="F303" s="21">
        <v>7422144.0</v>
      </c>
      <c r="G303" s="21" t="s">
        <v>74</v>
      </c>
      <c r="H303" s="17"/>
    </row>
    <row r="304">
      <c r="A304" s="15" t="s">
        <v>645</v>
      </c>
      <c r="B304" s="15" t="s">
        <v>646</v>
      </c>
      <c r="C304" s="15" t="s">
        <v>34</v>
      </c>
      <c r="D304" s="15" t="s">
        <v>411</v>
      </c>
      <c r="E304" s="21" t="s">
        <v>195</v>
      </c>
      <c r="F304" s="21">
        <v>7422143.0</v>
      </c>
      <c r="G304" s="21" t="s">
        <v>74</v>
      </c>
      <c r="H304" s="17"/>
    </row>
    <row r="305">
      <c r="A305" s="15" t="s">
        <v>647</v>
      </c>
      <c r="B305" s="15" t="s">
        <v>648</v>
      </c>
      <c r="C305" s="15" t="s">
        <v>34</v>
      </c>
      <c r="D305" s="15" t="s">
        <v>411</v>
      </c>
      <c r="E305" s="21" t="s">
        <v>195</v>
      </c>
      <c r="F305" s="21">
        <v>7421967.0</v>
      </c>
      <c r="G305" s="21" t="s">
        <v>74</v>
      </c>
      <c r="H305" s="17"/>
    </row>
    <row r="306">
      <c r="A306" s="15" t="s">
        <v>649</v>
      </c>
      <c r="B306" s="15" t="s">
        <v>650</v>
      </c>
      <c r="C306" s="15" t="s">
        <v>34</v>
      </c>
      <c r="D306" s="15" t="s">
        <v>411</v>
      </c>
      <c r="E306" s="19" t="s">
        <v>72</v>
      </c>
      <c r="F306" s="21" t="s">
        <v>651</v>
      </c>
      <c r="G306" s="21" t="s">
        <v>74</v>
      </c>
      <c r="H306" s="17"/>
    </row>
    <row r="307">
      <c r="A307" s="15" t="s">
        <v>652</v>
      </c>
      <c r="B307" s="15" t="s">
        <v>653</v>
      </c>
      <c r="C307" s="15" t="s">
        <v>34</v>
      </c>
      <c r="D307" s="15" t="s">
        <v>411</v>
      </c>
      <c r="E307" s="21" t="s">
        <v>195</v>
      </c>
      <c r="F307" s="21">
        <v>7421966.0</v>
      </c>
      <c r="G307" s="21" t="s">
        <v>74</v>
      </c>
      <c r="H307" s="17"/>
    </row>
    <row r="308">
      <c r="A308" s="15" t="s">
        <v>654</v>
      </c>
      <c r="B308" s="15" t="s">
        <v>655</v>
      </c>
      <c r="C308" s="15" t="s">
        <v>34</v>
      </c>
      <c r="D308" s="15" t="s">
        <v>411</v>
      </c>
      <c r="E308" s="21" t="s">
        <v>195</v>
      </c>
      <c r="F308" s="21">
        <v>7422139.0</v>
      </c>
      <c r="G308" s="21" t="s">
        <v>656</v>
      </c>
      <c r="H308" s="17"/>
    </row>
    <row r="309">
      <c r="A309" s="15" t="s">
        <v>657</v>
      </c>
      <c r="B309" s="15" t="s">
        <v>658</v>
      </c>
      <c r="C309" s="15" t="s">
        <v>34</v>
      </c>
      <c r="D309" s="15" t="s">
        <v>411</v>
      </c>
      <c r="E309" s="21" t="s">
        <v>195</v>
      </c>
      <c r="F309" s="21">
        <v>7421970.0</v>
      </c>
      <c r="G309" s="21" t="s">
        <v>74</v>
      </c>
      <c r="H309" s="17"/>
    </row>
    <row r="310">
      <c r="A310" s="15" t="s">
        <v>659</v>
      </c>
      <c r="B310" s="15" t="s">
        <v>660</v>
      </c>
      <c r="C310" s="15" t="s">
        <v>34</v>
      </c>
      <c r="D310" s="15" t="s">
        <v>411</v>
      </c>
      <c r="E310" s="21" t="s">
        <v>195</v>
      </c>
      <c r="F310" s="21">
        <v>7422140.0</v>
      </c>
      <c r="G310" s="21" t="s">
        <v>74</v>
      </c>
      <c r="H310" s="17"/>
    </row>
    <row r="311">
      <c r="A311" s="15" t="s">
        <v>661</v>
      </c>
      <c r="B311" s="15" t="s">
        <v>662</v>
      </c>
      <c r="C311" s="15" t="s">
        <v>34</v>
      </c>
      <c r="D311" s="15" t="s">
        <v>411</v>
      </c>
      <c r="E311" s="21" t="s">
        <v>195</v>
      </c>
      <c r="F311" s="21">
        <v>7422141.0</v>
      </c>
      <c r="G311" s="21" t="s">
        <v>74</v>
      </c>
      <c r="H311" s="17"/>
    </row>
    <row r="312">
      <c r="A312" s="15" t="s">
        <v>663</v>
      </c>
      <c r="B312" s="15" t="s">
        <v>664</v>
      </c>
      <c r="C312" s="15" t="s">
        <v>34</v>
      </c>
      <c r="D312" s="15" t="s">
        <v>411</v>
      </c>
      <c r="E312" s="19" t="s">
        <v>72</v>
      </c>
      <c r="F312" s="21" t="s">
        <v>665</v>
      </c>
      <c r="G312" s="21" t="s">
        <v>74</v>
      </c>
      <c r="H312" s="17"/>
    </row>
    <row r="313">
      <c r="A313" s="15" t="s">
        <v>666</v>
      </c>
      <c r="B313" s="15" t="s">
        <v>667</v>
      </c>
      <c r="C313" s="15" t="s">
        <v>34</v>
      </c>
      <c r="D313" s="15" t="s">
        <v>411</v>
      </c>
      <c r="E313" s="19" t="s">
        <v>72</v>
      </c>
      <c r="F313" s="21" t="s">
        <v>668</v>
      </c>
      <c r="G313" s="21" t="s">
        <v>74</v>
      </c>
      <c r="H313" s="17"/>
    </row>
    <row r="314">
      <c r="A314" s="15" t="s">
        <v>669</v>
      </c>
      <c r="B314" s="15" t="s">
        <v>670</v>
      </c>
      <c r="C314" s="15" t="s">
        <v>34</v>
      </c>
      <c r="D314" s="15" t="s">
        <v>411</v>
      </c>
      <c r="E314" s="21" t="s">
        <v>195</v>
      </c>
      <c r="F314" s="21">
        <v>7422150.0</v>
      </c>
      <c r="G314" s="21" t="s">
        <v>74</v>
      </c>
      <c r="H314" s="17"/>
    </row>
    <row r="315">
      <c r="A315" s="15" t="s">
        <v>671</v>
      </c>
      <c r="B315" s="15" t="s">
        <v>672</v>
      </c>
      <c r="C315" s="15" t="s">
        <v>34</v>
      </c>
      <c r="D315" s="15" t="s">
        <v>411</v>
      </c>
      <c r="E315" s="21" t="s">
        <v>195</v>
      </c>
      <c r="F315" s="21">
        <v>7422151.0</v>
      </c>
      <c r="G315" s="21" t="s">
        <v>74</v>
      </c>
      <c r="H315" s="17"/>
    </row>
    <row r="316">
      <c r="A316" s="15" t="s">
        <v>673</v>
      </c>
      <c r="B316" s="15" t="s">
        <v>674</v>
      </c>
      <c r="C316" s="15" t="s">
        <v>34</v>
      </c>
      <c r="D316" s="15" t="s">
        <v>411</v>
      </c>
      <c r="E316" s="21" t="s">
        <v>195</v>
      </c>
      <c r="F316" s="21">
        <v>7422149.0</v>
      </c>
      <c r="G316" s="21" t="s">
        <v>74</v>
      </c>
      <c r="H316" s="17"/>
    </row>
    <row r="317">
      <c r="A317" s="15" t="s">
        <v>675</v>
      </c>
      <c r="B317" s="15" t="s">
        <v>676</v>
      </c>
      <c r="C317" s="15" t="s">
        <v>34</v>
      </c>
      <c r="D317" s="15" t="s">
        <v>411</v>
      </c>
      <c r="E317" s="19" t="s">
        <v>72</v>
      </c>
      <c r="F317" s="21" t="s">
        <v>677</v>
      </c>
      <c r="G317" s="21" t="s">
        <v>74</v>
      </c>
      <c r="H317" s="17"/>
    </row>
    <row r="318">
      <c r="A318" s="15" t="s">
        <v>678</v>
      </c>
      <c r="B318" s="15" t="s">
        <v>679</v>
      </c>
      <c r="C318" s="15" t="s">
        <v>34</v>
      </c>
      <c r="D318" s="15" t="s">
        <v>411</v>
      </c>
      <c r="E318" s="21" t="s">
        <v>195</v>
      </c>
      <c r="F318" s="21">
        <v>7423456.0</v>
      </c>
      <c r="G318" s="21" t="s">
        <v>680</v>
      </c>
      <c r="H318" s="17"/>
    </row>
    <row r="319">
      <c r="A319" s="15" t="s">
        <v>681</v>
      </c>
      <c r="B319" s="15" t="s">
        <v>682</v>
      </c>
      <c r="C319" s="15" t="s">
        <v>34</v>
      </c>
      <c r="D319" s="15" t="s">
        <v>411</v>
      </c>
      <c r="E319" s="19" t="s">
        <v>72</v>
      </c>
      <c r="F319" s="21" t="s">
        <v>683</v>
      </c>
      <c r="G319" s="21" t="s">
        <v>74</v>
      </c>
      <c r="H319" s="17"/>
    </row>
    <row r="320">
      <c r="A320" s="15" t="s">
        <v>684</v>
      </c>
      <c r="B320" s="15" t="s">
        <v>685</v>
      </c>
      <c r="C320" s="15" t="s">
        <v>34</v>
      </c>
      <c r="D320" s="15" t="s">
        <v>411</v>
      </c>
      <c r="E320" s="21" t="s">
        <v>195</v>
      </c>
      <c r="F320" s="21">
        <v>7423453.0</v>
      </c>
      <c r="G320" s="23" t="s">
        <v>74</v>
      </c>
      <c r="H320" s="17"/>
    </row>
    <row r="321">
      <c r="A321" s="15" t="s">
        <v>686</v>
      </c>
      <c r="B321" s="15" t="s">
        <v>687</v>
      </c>
      <c r="C321" s="15" t="s">
        <v>34</v>
      </c>
      <c r="D321" s="15" t="s">
        <v>411</v>
      </c>
      <c r="E321" s="21" t="s">
        <v>195</v>
      </c>
      <c r="F321" s="21">
        <v>7422871.0</v>
      </c>
      <c r="G321" s="21" t="s">
        <v>74</v>
      </c>
      <c r="H321" s="17"/>
    </row>
    <row r="322">
      <c r="A322" s="15" t="s">
        <v>688</v>
      </c>
      <c r="B322" s="15" t="s">
        <v>689</v>
      </c>
      <c r="C322" s="15" t="s">
        <v>34</v>
      </c>
      <c r="D322" s="15" t="s">
        <v>411</v>
      </c>
      <c r="E322" s="21" t="s">
        <v>195</v>
      </c>
      <c r="F322" s="21">
        <v>7423455.0</v>
      </c>
      <c r="G322" s="21" t="s">
        <v>74</v>
      </c>
      <c r="H322" s="17"/>
    </row>
    <row r="323">
      <c r="A323" s="15" t="s">
        <v>690</v>
      </c>
      <c r="B323" s="15" t="s">
        <v>691</v>
      </c>
      <c r="C323" s="15" t="s">
        <v>34</v>
      </c>
      <c r="D323" s="15" t="s">
        <v>411</v>
      </c>
      <c r="E323" s="19" t="s">
        <v>72</v>
      </c>
      <c r="F323" s="21" t="s">
        <v>692</v>
      </c>
      <c r="G323" s="21" t="s">
        <v>74</v>
      </c>
      <c r="H323" s="17"/>
    </row>
    <row r="324">
      <c r="A324" s="15" t="s">
        <v>693</v>
      </c>
      <c r="B324" s="15" t="s">
        <v>694</v>
      </c>
      <c r="C324" s="15" t="s">
        <v>34</v>
      </c>
      <c r="D324" s="15" t="s">
        <v>411</v>
      </c>
      <c r="E324" s="21" t="s">
        <v>195</v>
      </c>
      <c r="F324" s="21">
        <v>7423448.0</v>
      </c>
      <c r="G324" s="21" t="s">
        <v>74</v>
      </c>
      <c r="H324" s="17"/>
    </row>
    <row r="325">
      <c r="A325" s="15" t="s">
        <v>695</v>
      </c>
      <c r="B325" s="15" t="s">
        <v>696</v>
      </c>
      <c r="C325" s="15" t="s">
        <v>34</v>
      </c>
      <c r="D325" s="15" t="s">
        <v>411</v>
      </c>
      <c r="E325" s="21" t="s">
        <v>195</v>
      </c>
      <c r="F325" s="21">
        <v>7422148.0</v>
      </c>
      <c r="G325" s="21" t="s">
        <v>74</v>
      </c>
      <c r="H325" s="17"/>
    </row>
    <row r="326">
      <c r="A326" s="15" t="s">
        <v>697</v>
      </c>
      <c r="B326" s="15" t="s">
        <v>698</v>
      </c>
      <c r="C326" s="15" t="s">
        <v>34</v>
      </c>
      <c r="D326" s="15" t="s">
        <v>411</v>
      </c>
      <c r="E326" s="21" t="s">
        <v>195</v>
      </c>
      <c r="F326" s="21">
        <v>7423454.0</v>
      </c>
      <c r="G326" s="21" t="s">
        <v>74</v>
      </c>
      <c r="H326" s="17"/>
    </row>
    <row r="327">
      <c r="A327" s="15" t="s">
        <v>699</v>
      </c>
      <c r="B327" s="15" t="s">
        <v>700</v>
      </c>
      <c r="C327" s="15" t="s">
        <v>34</v>
      </c>
      <c r="D327" s="15" t="s">
        <v>411</v>
      </c>
      <c r="E327" s="21" t="s">
        <v>195</v>
      </c>
      <c r="F327" s="21">
        <v>7423458.0</v>
      </c>
      <c r="G327" s="21" t="s">
        <v>74</v>
      </c>
      <c r="H327" s="17"/>
    </row>
    <row r="328">
      <c r="A328" s="15" t="s">
        <v>701</v>
      </c>
      <c r="B328" s="15" t="s">
        <v>702</v>
      </c>
      <c r="C328" s="15" t="s">
        <v>34</v>
      </c>
      <c r="D328" s="15" t="s">
        <v>411</v>
      </c>
      <c r="E328" s="21" t="s">
        <v>195</v>
      </c>
      <c r="F328" s="21">
        <v>7423450.0</v>
      </c>
      <c r="G328" s="21" t="s">
        <v>74</v>
      </c>
      <c r="H328" s="17"/>
    </row>
    <row r="329">
      <c r="A329" s="15" t="s">
        <v>703</v>
      </c>
      <c r="B329" s="15" t="s">
        <v>704</v>
      </c>
      <c r="C329" s="15" t="s">
        <v>34</v>
      </c>
      <c r="D329" s="15" t="s">
        <v>411</v>
      </c>
      <c r="E329" s="19" t="s">
        <v>72</v>
      </c>
      <c r="F329" s="21" t="s">
        <v>705</v>
      </c>
      <c r="G329" s="21" t="s">
        <v>74</v>
      </c>
      <c r="H329" s="17"/>
    </row>
    <row r="330">
      <c r="A330" s="15" t="s">
        <v>706</v>
      </c>
      <c r="B330" s="15" t="s">
        <v>707</v>
      </c>
      <c r="C330" s="15" t="s">
        <v>34</v>
      </c>
      <c r="D330" s="15" t="s">
        <v>411</v>
      </c>
      <c r="E330" s="21" t="s">
        <v>195</v>
      </c>
      <c r="F330" s="21">
        <v>7422885.0</v>
      </c>
      <c r="G330" s="21" t="s">
        <v>74</v>
      </c>
      <c r="H330" s="17"/>
    </row>
    <row r="331">
      <c r="A331" s="15" t="s">
        <v>708</v>
      </c>
      <c r="B331" s="15" t="s">
        <v>709</v>
      </c>
      <c r="C331" s="15" t="s">
        <v>34</v>
      </c>
      <c r="D331" s="15" t="s">
        <v>411</v>
      </c>
      <c r="E331" s="19" t="s">
        <v>72</v>
      </c>
      <c r="F331" s="21" t="s">
        <v>710</v>
      </c>
      <c r="G331" s="21" t="s">
        <v>74</v>
      </c>
      <c r="H331" s="17"/>
    </row>
    <row r="332">
      <c r="A332" s="15" t="s">
        <v>711</v>
      </c>
      <c r="B332" s="15" t="s">
        <v>712</v>
      </c>
      <c r="C332" s="15" t="s">
        <v>34</v>
      </c>
      <c r="D332" s="15" t="s">
        <v>411</v>
      </c>
      <c r="E332" s="19" t="s">
        <v>72</v>
      </c>
      <c r="F332" s="21" t="s">
        <v>713</v>
      </c>
      <c r="G332" s="21" t="s">
        <v>74</v>
      </c>
      <c r="H332" s="17"/>
    </row>
    <row r="333">
      <c r="A333" s="15" t="s">
        <v>714</v>
      </c>
      <c r="B333" s="15" t="s">
        <v>715</v>
      </c>
      <c r="C333" s="15" t="s">
        <v>34</v>
      </c>
      <c r="D333" s="15" t="s">
        <v>411</v>
      </c>
      <c r="E333" s="19" t="s">
        <v>72</v>
      </c>
      <c r="F333" s="21" t="s">
        <v>716</v>
      </c>
      <c r="G333" s="21" t="s">
        <v>74</v>
      </c>
      <c r="H333" s="17"/>
    </row>
    <row r="334">
      <c r="A334" s="15" t="s">
        <v>717</v>
      </c>
      <c r="B334" s="15" t="s">
        <v>718</v>
      </c>
      <c r="C334" s="15" t="s">
        <v>34</v>
      </c>
      <c r="D334" s="15" t="s">
        <v>411</v>
      </c>
      <c r="E334" s="19" t="s">
        <v>72</v>
      </c>
      <c r="F334" s="21" t="s">
        <v>719</v>
      </c>
      <c r="G334" s="21" t="s">
        <v>74</v>
      </c>
      <c r="H334" s="17"/>
    </row>
    <row r="335">
      <c r="A335" s="15" t="s">
        <v>720</v>
      </c>
      <c r="B335" s="15" t="s">
        <v>721</v>
      </c>
      <c r="C335" s="15" t="s">
        <v>34</v>
      </c>
      <c r="D335" s="15" t="s">
        <v>411</v>
      </c>
      <c r="E335" s="21" t="s">
        <v>195</v>
      </c>
      <c r="F335" s="21">
        <v>7423447.0</v>
      </c>
      <c r="G335" s="21" t="s">
        <v>74</v>
      </c>
      <c r="H335" s="17"/>
    </row>
    <row r="336">
      <c r="A336" s="15" t="s">
        <v>722</v>
      </c>
      <c r="B336" s="15" t="s">
        <v>723</v>
      </c>
      <c r="C336" s="15" t="s">
        <v>34</v>
      </c>
      <c r="D336" s="15" t="s">
        <v>411</v>
      </c>
      <c r="E336" s="21" t="s">
        <v>195</v>
      </c>
      <c r="F336" s="21">
        <v>7423724.0</v>
      </c>
      <c r="G336" s="21" t="s">
        <v>724</v>
      </c>
      <c r="H336" s="17"/>
    </row>
    <row r="337">
      <c r="A337" s="15" t="s">
        <v>725</v>
      </c>
      <c r="B337" s="15" t="s">
        <v>726</v>
      </c>
      <c r="C337" s="15" t="s">
        <v>34</v>
      </c>
      <c r="D337" s="15" t="s">
        <v>411</v>
      </c>
      <c r="E337" s="21" t="s">
        <v>195</v>
      </c>
      <c r="F337" s="21">
        <v>7422874.0</v>
      </c>
      <c r="G337" s="21" t="s">
        <v>727</v>
      </c>
      <c r="H337" s="17"/>
    </row>
    <row r="338">
      <c r="A338" s="15" t="s">
        <v>728</v>
      </c>
      <c r="B338" s="15" t="s">
        <v>729</v>
      </c>
      <c r="C338" s="15" t="s">
        <v>34</v>
      </c>
      <c r="D338" s="15" t="s">
        <v>411</v>
      </c>
      <c r="E338" s="21" t="s">
        <v>195</v>
      </c>
      <c r="F338" s="21">
        <v>7423723.0</v>
      </c>
      <c r="G338" s="21" t="s">
        <v>74</v>
      </c>
      <c r="H338" s="17"/>
    </row>
    <row r="339">
      <c r="A339" s="15" t="s">
        <v>730</v>
      </c>
      <c r="B339" s="15" t="s">
        <v>731</v>
      </c>
      <c r="C339" s="15" t="s">
        <v>34</v>
      </c>
      <c r="D339" s="15" t="s">
        <v>411</v>
      </c>
      <c r="E339" s="21" t="s">
        <v>195</v>
      </c>
      <c r="F339" s="21">
        <v>7423462.0</v>
      </c>
      <c r="G339" s="21" t="s">
        <v>74</v>
      </c>
      <c r="H339" s="17"/>
    </row>
    <row r="340">
      <c r="A340" s="15" t="s">
        <v>732</v>
      </c>
      <c r="B340" s="15" t="s">
        <v>733</v>
      </c>
      <c r="C340" s="15" t="s">
        <v>34</v>
      </c>
      <c r="D340" s="15" t="s">
        <v>411</v>
      </c>
      <c r="E340" s="21" t="s">
        <v>195</v>
      </c>
      <c r="F340" s="21">
        <v>7423466.0</v>
      </c>
      <c r="G340" s="21" t="s">
        <v>74</v>
      </c>
      <c r="H340" s="17"/>
    </row>
    <row r="341">
      <c r="A341" s="15" t="s">
        <v>734</v>
      </c>
      <c r="B341" s="15" t="s">
        <v>735</v>
      </c>
      <c r="C341" s="15" t="s">
        <v>34</v>
      </c>
      <c r="D341" s="15" t="s">
        <v>411</v>
      </c>
      <c r="E341" s="21" t="s">
        <v>195</v>
      </c>
      <c r="F341" s="21">
        <v>7423721.0</v>
      </c>
      <c r="G341" s="21" t="s">
        <v>74</v>
      </c>
      <c r="H341" s="17"/>
    </row>
    <row r="342">
      <c r="A342" s="15" t="s">
        <v>736</v>
      </c>
      <c r="B342" s="15" t="s">
        <v>737</v>
      </c>
      <c r="C342" s="15" t="s">
        <v>34</v>
      </c>
      <c r="D342" s="15" t="s">
        <v>411</v>
      </c>
      <c r="E342" s="21" t="s">
        <v>195</v>
      </c>
      <c r="F342" s="21">
        <v>7423470.0</v>
      </c>
      <c r="G342" s="21" t="s">
        <v>74</v>
      </c>
      <c r="H342" s="17"/>
    </row>
    <row r="343">
      <c r="A343" s="15" t="s">
        <v>738</v>
      </c>
      <c r="B343" s="15" t="s">
        <v>739</v>
      </c>
      <c r="C343" s="15" t="s">
        <v>34</v>
      </c>
      <c r="D343" s="15" t="s">
        <v>411</v>
      </c>
      <c r="E343" s="21" t="s">
        <v>195</v>
      </c>
      <c r="F343" s="21">
        <v>7423464.0</v>
      </c>
      <c r="G343" s="21" t="s">
        <v>74</v>
      </c>
      <c r="H343" s="17"/>
    </row>
    <row r="344">
      <c r="A344" s="15" t="s">
        <v>740</v>
      </c>
      <c r="B344" s="15" t="s">
        <v>741</v>
      </c>
      <c r="C344" s="15" t="s">
        <v>34</v>
      </c>
      <c r="D344" s="15" t="s">
        <v>411</v>
      </c>
      <c r="E344" s="21" t="s">
        <v>195</v>
      </c>
      <c r="F344" s="21">
        <v>7423722.0</v>
      </c>
      <c r="G344" s="21" t="s">
        <v>742</v>
      </c>
      <c r="H344" s="17"/>
    </row>
    <row r="345">
      <c r="A345" s="15" t="s">
        <v>743</v>
      </c>
      <c r="B345" s="15" t="s">
        <v>744</v>
      </c>
      <c r="C345" s="15" t="s">
        <v>34</v>
      </c>
      <c r="D345" s="15" t="s">
        <v>411</v>
      </c>
      <c r="E345" s="21" t="s">
        <v>195</v>
      </c>
      <c r="F345" s="21">
        <v>7423469.0</v>
      </c>
      <c r="G345" s="21" t="s">
        <v>74</v>
      </c>
      <c r="H345" s="17"/>
    </row>
    <row r="346">
      <c r="A346" s="15" t="s">
        <v>745</v>
      </c>
      <c r="B346" s="15" t="s">
        <v>746</v>
      </c>
      <c r="C346" s="15" t="s">
        <v>34</v>
      </c>
      <c r="D346" s="15" t="s">
        <v>411</v>
      </c>
      <c r="E346" s="21" t="s">
        <v>195</v>
      </c>
      <c r="F346" s="21">
        <v>7424165.0</v>
      </c>
      <c r="G346" s="21" t="s">
        <v>74</v>
      </c>
      <c r="H346" s="17"/>
    </row>
    <row r="347">
      <c r="A347" s="15" t="s">
        <v>747</v>
      </c>
      <c r="B347" s="15" t="s">
        <v>748</v>
      </c>
      <c r="C347" s="15" t="s">
        <v>34</v>
      </c>
      <c r="D347" s="15" t="s">
        <v>411</v>
      </c>
      <c r="E347" s="21" t="s">
        <v>195</v>
      </c>
      <c r="F347" s="21">
        <v>7423468.0</v>
      </c>
      <c r="G347" s="21" t="s">
        <v>74</v>
      </c>
      <c r="H347" s="17"/>
    </row>
    <row r="348">
      <c r="A348" s="15" t="s">
        <v>749</v>
      </c>
      <c r="B348" s="15" t="s">
        <v>750</v>
      </c>
      <c r="C348" s="15" t="s">
        <v>34</v>
      </c>
      <c r="D348" s="15" t="s">
        <v>411</v>
      </c>
      <c r="E348" s="21" t="s">
        <v>195</v>
      </c>
      <c r="F348" s="21">
        <v>7424191.0</v>
      </c>
      <c r="G348" s="21" t="s">
        <v>74</v>
      </c>
      <c r="H348" s="17"/>
    </row>
    <row r="349">
      <c r="A349" s="15" t="s">
        <v>751</v>
      </c>
      <c r="B349" s="15" t="s">
        <v>752</v>
      </c>
      <c r="C349" s="15" t="s">
        <v>34</v>
      </c>
      <c r="D349" s="15" t="s">
        <v>411</v>
      </c>
      <c r="E349" s="21" t="s">
        <v>195</v>
      </c>
      <c r="F349" s="21">
        <v>7425416.0</v>
      </c>
      <c r="G349" s="21" t="s">
        <v>74</v>
      </c>
      <c r="H349" s="17"/>
    </row>
    <row r="350">
      <c r="A350" s="15" t="s">
        <v>753</v>
      </c>
      <c r="B350" s="15" t="s">
        <v>754</v>
      </c>
      <c r="C350" s="15" t="s">
        <v>34</v>
      </c>
      <c r="D350" s="15" t="s">
        <v>411</v>
      </c>
      <c r="E350" s="21" t="s">
        <v>195</v>
      </c>
      <c r="F350" s="21">
        <v>7424203.0</v>
      </c>
      <c r="G350" s="21" t="s">
        <v>755</v>
      </c>
      <c r="H350" s="17"/>
    </row>
    <row r="351">
      <c r="A351" s="15" t="s">
        <v>756</v>
      </c>
      <c r="B351" s="15" t="s">
        <v>757</v>
      </c>
      <c r="C351" s="15" t="s">
        <v>34</v>
      </c>
      <c r="D351" s="15" t="s">
        <v>411</v>
      </c>
      <c r="E351" s="19" t="s">
        <v>72</v>
      </c>
      <c r="F351" s="23" t="s">
        <v>758</v>
      </c>
      <c r="G351" s="24" t="s">
        <v>74</v>
      </c>
      <c r="H351" s="17"/>
    </row>
    <row r="352">
      <c r="A352" s="15" t="s">
        <v>759</v>
      </c>
      <c r="B352" s="15" t="s">
        <v>760</v>
      </c>
      <c r="C352" s="15" t="s">
        <v>34</v>
      </c>
      <c r="D352" s="15" t="s">
        <v>411</v>
      </c>
      <c r="E352" s="21" t="s">
        <v>195</v>
      </c>
      <c r="F352" s="21">
        <v>7424185.0</v>
      </c>
      <c r="G352" s="22" t="s">
        <v>74</v>
      </c>
      <c r="H352" s="17"/>
    </row>
    <row r="353">
      <c r="A353" s="15" t="s">
        <v>761</v>
      </c>
      <c r="B353" s="15" t="s">
        <v>762</v>
      </c>
      <c r="C353" s="15" t="s">
        <v>34</v>
      </c>
      <c r="D353" s="15" t="s">
        <v>411</v>
      </c>
      <c r="E353" s="21" t="s">
        <v>195</v>
      </c>
      <c r="F353" s="21">
        <v>7424196.0</v>
      </c>
      <c r="G353" s="21" t="s">
        <v>74</v>
      </c>
      <c r="H353" s="17"/>
    </row>
    <row r="354">
      <c r="A354" s="15" t="s">
        <v>763</v>
      </c>
      <c r="B354" s="15" t="s">
        <v>764</v>
      </c>
      <c r="C354" s="15" t="s">
        <v>34</v>
      </c>
      <c r="D354" s="15" t="s">
        <v>411</v>
      </c>
      <c r="E354" s="21" t="s">
        <v>195</v>
      </c>
      <c r="F354" s="21">
        <v>7424202.0</v>
      </c>
      <c r="G354" s="21" t="s">
        <v>74</v>
      </c>
      <c r="H354" s="17"/>
    </row>
    <row r="355">
      <c r="A355" s="15" t="s">
        <v>765</v>
      </c>
      <c r="B355" s="15" t="s">
        <v>766</v>
      </c>
      <c r="C355" s="15" t="s">
        <v>34</v>
      </c>
      <c r="D355" s="15" t="s">
        <v>411</v>
      </c>
      <c r="E355" s="21" t="s">
        <v>195</v>
      </c>
      <c r="F355" s="21">
        <v>7424190.0</v>
      </c>
      <c r="G355" s="21" t="s">
        <v>74</v>
      </c>
      <c r="H355" s="17"/>
    </row>
    <row r="356">
      <c r="A356" s="15" t="s">
        <v>767</v>
      </c>
      <c r="B356" s="15" t="s">
        <v>768</v>
      </c>
      <c r="C356" s="15" t="s">
        <v>34</v>
      </c>
      <c r="D356" s="15" t="s">
        <v>411</v>
      </c>
      <c r="E356" s="21" t="s">
        <v>195</v>
      </c>
      <c r="F356" s="21">
        <v>7425410.0</v>
      </c>
      <c r="G356" s="21" t="s">
        <v>74</v>
      </c>
      <c r="H356" s="17"/>
    </row>
    <row r="357">
      <c r="A357" s="15" t="s">
        <v>769</v>
      </c>
      <c r="B357" s="15" t="s">
        <v>770</v>
      </c>
      <c r="C357" s="15" t="s">
        <v>34</v>
      </c>
      <c r="D357" s="15" t="s">
        <v>411</v>
      </c>
      <c r="E357" s="21" t="s">
        <v>195</v>
      </c>
      <c r="F357" s="21">
        <v>7424197.0</v>
      </c>
      <c r="G357" s="23" t="s">
        <v>74</v>
      </c>
      <c r="H357" s="17"/>
    </row>
    <row r="358">
      <c r="A358" s="15" t="s">
        <v>771</v>
      </c>
      <c r="B358" s="15" t="s">
        <v>772</v>
      </c>
      <c r="C358" s="15" t="s">
        <v>34</v>
      </c>
      <c r="D358" s="15" t="s">
        <v>411</v>
      </c>
      <c r="E358" s="21" t="s">
        <v>195</v>
      </c>
      <c r="F358" s="21">
        <v>7424186.0</v>
      </c>
      <c r="G358" s="21" t="s">
        <v>74</v>
      </c>
      <c r="H358" s="17"/>
    </row>
    <row r="359">
      <c r="A359" s="15" t="s">
        <v>773</v>
      </c>
      <c r="B359" s="15" t="s">
        <v>774</v>
      </c>
      <c r="C359" s="15" t="s">
        <v>34</v>
      </c>
      <c r="D359" s="15" t="s">
        <v>411</v>
      </c>
      <c r="E359" s="19" t="s">
        <v>72</v>
      </c>
      <c r="F359" s="21" t="s">
        <v>775</v>
      </c>
      <c r="G359" s="21" t="s">
        <v>74</v>
      </c>
      <c r="H359" s="17"/>
    </row>
    <row r="360">
      <c r="A360" s="15" t="s">
        <v>776</v>
      </c>
      <c r="B360" s="15" t="s">
        <v>777</v>
      </c>
      <c r="C360" s="15" t="s">
        <v>34</v>
      </c>
      <c r="D360" s="15" t="s">
        <v>411</v>
      </c>
      <c r="E360" s="21" t="s">
        <v>195</v>
      </c>
      <c r="F360" s="21">
        <v>7424189.0</v>
      </c>
      <c r="G360" s="21" t="s">
        <v>74</v>
      </c>
      <c r="H360" s="17"/>
    </row>
    <row r="361">
      <c r="A361" s="15" t="s">
        <v>778</v>
      </c>
      <c r="B361" s="15" t="s">
        <v>779</v>
      </c>
      <c r="C361" s="15" t="s">
        <v>34</v>
      </c>
      <c r="D361" s="15" t="s">
        <v>411</v>
      </c>
      <c r="E361" s="21" t="s">
        <v>195</v>
      </c>
      <c r="F361" s="21">
        <v>7425411.0</v>
      </c>
      <c r="G361" s="21" t="s">
        <v>74</v>
      </c>
      <c r="H361" s="17"/>
    </row>
    <row r="362">
      <c r="A362" s="15" t="s">
        <v>780</v>
      </c>
      <c r="B362" s="15" t="s">
        <v>781</v>
      </c>
      <c r="C362" s="15" t="s">
        <v>34</v>
      </c>
      <c r="D362" s="15" t="s">
        <v>411</v>
      </c>
      <c r="E362" s="21" t="s">
        <v>195</v>
      </c>
      <c r="F362" s="21">
        <v>7425405.0</v>
      </c>
      <c r="G362" s="21" t="s">
        <v>74</v>
      </c>
      <c r="H362" s="17"/>
    </row>
    <row r="363">
      <c r="A363" s="15" t="s">
        <v>782</v>
      </c>
      <c r="B363" s="15" t="s">
        <v>783</v>
      </c>
      <c r="C363" s="15" t="s">
        <v>34</v>
      </c>
      <c r="D363" s="15" t="s">
        <v>411</v>
      </c>
      <c r="E363" s="21" t="s">
        <v>195</v>
      </c>
      <c r="F363" s="21">
        <v>7425402.0</v>
      </c>
      <c r="G363" s="21" t="s">
        <v>74</v>
      </c>
      <c r="H363" s="17"/>
    </row>
    <row r="364">
      <c r="A364" s="15" t="s">
        <v>784</v>
      </c>
      <c r="B364" s="15" t="s">
        <v>785</v>
      </c>
      <c r="C364" s="15" t="s">
        <v>34</v>
      </c>
      <c r="D364" s="15" t="s">
        <v>411</v>
      </c>
      <c r="E364" s="21" t="s">
        <v>195</v>
      </c>
      <c r="F364" s="21">
        <v>7424184.0</v>
      </c>
      <c r="G364" s="21" t="s">
        <v>74</v>
      </c>
      <c r="H364" s="17"/>
    </row>
    <row r="365">
      <c r="A365" s="15" t="s">
        <v>786</v>
      </c>
      <c r="B365" s="15" t="s">
        <v>787</v>
      </c>
      <c r="C365" s="15" t="s">
        <v>34</v>
      </c>
      <c r="D365" s="15" t="s">
        <v>411</v>
      </c>
      <c r="E365" s="21" t="s">
        <v>195</v>
      </c>
      <c r="F365" s="23">
        <v>7425404.0</v>
      </c>
      <c r="G365" s="21" t="s">
        <v>74</v>
      </c>
      <c r="H365" s="17"/>
    </row>
    <row r="366">
      <c r="A366" s="15" t="s">
        <v>788</v>
      </c>
      <c r="B366" s="15" t="s">
        <v>789</v>
      </c>
      <c r="C366" s="15" t="s">
        <v>34</v>
      </c>
      <c r="D366" s="15" t="s">
        <v>411</v>
      </c>
      <c r="E366" s="21" t="s">
        <v>195</v>
      </c>
      <c r="F366" s="21">
        <v>7425412.0</v>
      </c>
      <c r="G366" s="21" t="s">
        <v>74</v>
      </c>
      <c r="H366" s="17"/>
    </row>
    <row r="367">
      <c r="A367" s="15" t="s">
        <v>790</v>
      </c>
      <c r="B367" s="15" t="s">
        <v>791</v>
      </c>
      <c r="C367" s="15" t="s">
        <v>34</v>
      </c>
      <c r="D367" s="15" t="s">
        <v>411</v>
      </c>
      <c r="E367" s="21" t="s">
        <v>195</v>
      </c>
      <c r="F367" s="21">
        <v>7425409.0</v>
      </c>
      <c r="G367" s="21" t="s">
        <v>74</v>
      </c>
      <c r="H367" s="17"/>
    </row>
    <row r="368">
      <c r="A368" s="15" t="s">
        <v>792</v>
      </c>
      <c r="B368" s="15" t="s">
        <v>793</v>
      </c>
      <c r="C368" s="15" t="s">
        <v>34</v>
      </c>
      <c r="D368" s="15" t="s">
        <v>411</v>
      </c>
      <c r="E368" s="21" t="s">
        <v>195</v>
      </c>
      <c r="F368" s="23">
        <v>7425403.0</v>
      </c>
      <c r="G368" s="23" t="s">
        <v>794</v>
      </c>
      <c r="H368" s="17"/>
    </row>
    <row r="369">
      <c r="A369" s="15" t="s">
        <v>795</v>
      </c>
      <c r="B369" s="15" t="s">
        <v>796</v>
      </c>
      <c r="C369" s="15" t="s">
        <v>34</v>
      </c>
      <c r="D369" s="15" t="s">
        <v>411</v>
      </c>
      <c r="E369" s="21" t="s">
        <v>195</v>
      </c>
      <c r="F369" s="21">
        <v>7425397.0</v>
      </c>
      <c r="G369" s="21" t="s">
        <v>74</v>
      </c>
      <c r="H369" s="17"/>
    </row>
    <row r="370">
      <c r="A370" s="15" t="s">
        <v>797</v>
      </c>
      <c r="B370" s="15" t="s">
        <v>798</v>
      </c>
      <c r="C370" s="15" t="s">
        <v>34</v>
      </c>
      <c r="D370" s="15" t="s">
        <v>411</v>
      </c>
      <c r="E370" s="21" t="s">
        <v>195</v>
      </c>
      <c r="F370" s="21">
        <v>7425392.0</v>
      </c>
      <c r="G370" s="21" t="s">
        <v>74</v>
      </c>
      <c r="H370" s="17"/>
    </row>
    <row r="371">
      <c r="A371" s="15" t="s">
        <v>799</v>
      </c>
      <c r="B371" s="15" t="s">
        <v>800</v>
      </c>
      <c r="C371" s="15" t="s">
        <v>34</v>
      </c>
      <c r="D371" s="15" t="s">
        <v>411</v>
      </c>
      <c r="E371" s="21" t="s">
        <v>195</v>
      </c>
      <c r="F371" s="21">
        <v>7422147.0</v>
      </c>
      <c r="G371" s="21" t="s">
        <v>74</v>
      </c>
      <c r="H371" s="17"/>
    </row>
    <row r="372">
      <c r="A372" s="15" t="s">
        <v>801</v>
      </c>
      <c r="B372" s="15" t="s">
        <v>802</v>
      </c>
      <c r="C372" s="15" t="s">
        <v>34</v>
      </c>
      <c r="D372" s="15" t="s">
        <v>411</v>
      </c>
      <c r="E372" s="21" t="s">
        <v>195</v>
      </c>
      <c r="F372" s="21">
        <v>7425399.0</v>
      </c>
      <c r="G372" s="21" t="s">
        <v>74</v>
      </c>
      <c r="H372" s="17"/>
    </row>
    <row r="373">
      <c r="A373" s="15" t="s">
        <v>803</v>
      </c>
      <c r="B373" s="15" t="s">
        <v>804</v>
      </c>
      <c r="C373" s="15" t="s">
        <v>34</v>
      </c>
      <c r="D373" s="15" t="s">
        <v>411</v>
      </c>
      <c r="E373" s="19" t="s">
        <v>72</v>
      </c>
      <c r="F373" s="21" t="s">
        <v>805</v>
      </c>
      <c r="G373" s="21" t="s">
        <v>74</v>
      </c>
      <c r="H373" s="17"/>
    </row>
    <row r="374">
      <c r="A374" s="15" t="s">
        <v>806</v>
      </c>
      <c r="B374" s="15" t="s">
        <v>807</v>
      </c>
      <c r="C374" s="15" t="s">
        <v>34</v>
      </c>
      <c r="D374" s="15" t="s">
        <v>411</v>
      </c>
      <c r="E374" s="21" t="s">
        <v>195</v>
      </c>
      <c r="F374" s="21">
        <v>7425419.0</v>
      </c>
      <c r="G374" s="21" t="s">
        <v>74</v>
      </c>
      <c r="H374" s="17"/>
    </row>
    <row r="375">
      <c r="A375" s="15" t="s">
        <v>808</v>
      </c>
      <c r="B375" s="15" t="s">
        <v>809</v>
      </c>
      <c r="C375" s="15" t="s">
        <v>34</v>
      </c>
      <c r="D375" s="15" t="s">
        <v>411</v>
      </c>
      <c r="E375" s="21" t="s">
        <v>195</v>
      </c>
      <c r="F375" s="21">
        <v>7425418.0</v>
      </c>
      <c r="G375" s="21" t="s">
        <v>74</v>
      </c>
      <c r="H375" s="17"/>
    </row>
    <row r="376">
      <c r="A376" s="15" t="s">
        <v>810</v>
      </c>
      <c r="B376" s="15" t="s">
        <v>811</v>
      </c>
      <c r="C376" s="15" t="s">
        <v>34</v>
      </c>
      <c r="D376" s="15" t="s">
        <v>411</v>
      </c>
      <c r="E376" s="21" t="s">
        <v>195</v>
      </c>
      <c r="F376" s="21">
        <v>7425413.0</v>
      </c>
      <c r="G376" s="21" t="s">
        <v>812</v>
      </c>
      <c r="H376" s="17"/>
    </row>
    <row r="377">
      <c r="A377" s="15" t="s">
        <v>813</v>
      </c>
      <c r="B377" s="15" t="s">
        <v>814</v>
      </c>
      <c r="C377" s="15" t="s">
        <v>34</v>
      </c>
      <c r="D377" s="15" t="s">
        <v>411</v>
      </c>
      <c r="E377" s="25"/>
      <c r="F377" s="25"/>
      <c r="G377" s="25"/>
      <c r="H377" s="17"/>
    </row>
    <row r="378">
      <c r="A378" s="15" t="s">
        <v>815</v>
      </c>
      <c r="B378" s="15" t="s">
        <v>816</v>
      </c>
      <c r="C378" s="15" t="s">
        <v>34</v>
      </c>
      <c r="D378" s="15" t="s">
        <v>411</v>
      </c>
      <c r="E378" s="21" t="s">
        <v>195</v>
      </c>
      <c r="F378" s="21">
        <v>7425417.0</v>
      </c>
      <c r="G378" s="21" t="s">
        <v>74</v>
      </c>
      <c r="H378" s="17"/>
    </row>
    <row r="379">
      <c r="A379" s="15" t="s">
        <v>817</v>
      </c>
      <c r="B379" s="15" t="s">
        <v>818</v>
      </c>
      <c r="C379" s="15" t="s">
        <v>34</v>
      </c>
      <c r="D379" s="15" t="s">
        <v>411</v>
      </c>
      <c r="E379" s="21" t="s">
        <v>195</v>
      </c>
      <c r="F379" s="21">
        <v>7425415.0</v>
      </c>
      <c r="G379" s="21" t="s">
        <v>74</v>
      </c>
      <c r="H379" s="17"/>
    </row>
    <row r="380">
      <c r="A380" s="15" t="s">
        <v>819</v>
      </c>
      <c r="B380" s="15" t="s">
        <v>820</v>
      </c>
      <c r="C380" s="15" t="s">
        <v>34</v>
      </c>
      <c r="D380" s="15" t="s">
        <v>411</v>
      </c>
      <c r="E380" s="21" t="s">
        <v>195</v>
      </c>
      <c r="F380" s="21">
        <v>7425396.0</v>
      </c>
      <c r="G380" s="21" t="s">
        <v>74</v>
      </c>
      <c r="H380" s="17"/>
    </row>
    <row r="381">
      <c r="A381" s="15" t="s">
        <v>821</v>
      </c>
      <c r="B381" s="15" t="s">
        <v>822</v>
      </c>
      <c r="C381" s="15" t="s">
        <v>34</v>
      </c>
      <c r="D381" s="15" t="s">
        <v>411</v>
      </c>
      <c r="E381" s="21" t="s">
        <v>195</v>
      </c>
      <c r="F381" s="21">
        <v>7425414.0</v>
      </c>
      <c r="G381" s="21" t="s">
        <v>74</v>
      </c>
      <c r="H381" s="17"/>
    </row>
    <row r="382">
      <c r="A382" s="15" t="s">
        <v>823</v>
      </c>
      <c r="B382" s="15" t="s">
        <v>824</v>
      </c>
      <c r="C382" s="15" t="s">
        <v>34</v>
      </c>
      <c r="D382" s="15" t="s">
        <v>411</v>
      </c>
      <c r="E382" s="21" t="s">
        <v>195</v>
      </c>
      <c r="F382" s="21">
        <v>7425642.0</v>
      </c>
      <c r="G382" s="21" t="s">
        <v>74</v>
      </c>
      <c r="H382" s="17"/>
    </row>
    <row r="383">
      <c r="A383" s="15" t="s">
        <v>825</v>
      </c>
      <c r="B383" s="15" t="s">
        <v>826</v>
      </c>
      <c r="C383" s="15" t="s">
        <v>34</v>
      </c>
      <c r="D383" s="15" t="s">
        <v>411</v>
      </c>
      <c r="E383" s="21" t="s">
        <v>195</v>
      </c>
      <c r="F383" s="21">
        <v>7424187.0</v>
      </c>
      <c r="G383" s="21" t="s">
        <v>74</v>
      </c>
      <c r="H383" s="17"/>
    </row>
    <row r="384">
      <c r="A384" s="15" t="s">
        <v>827</v>
      </c>
      <c r="B384" s="15" t="s">
        <v>828</v>
      </c>
      <c r="C384" s="15" t="s">
        <v>34</v>
      </c>
      <c r="D384" s="15" t="s">
        <v>411</v>
      </c>
      <c r="E384" s="21" t="s">
        <v>195</v>
      </c>
      <c r="F384" s="21">
        <v>7425656.0</v>
      </c>
      <c r="G384" s="21" t="s">
        <v>74</v>
      </c>
      <c r="H384" s="17"/>
    </row>
    <row r="385">
      <c r="A385" s="15" t="s">
        <v>829</v>
      </c>
      <c r="B385" s="15" t="s">
        <v>830</v>
      </c>
      <c r="C385" s="15" t="s">
        <v>34</v>
      </c>
      <c r="D385" s="15" t="s">
        <v>411</v>
      </c>
      <c r="E385" s="21" t="s">
        <v>195</v>
      </c>
      <c r="F385" s="21">
        <v>7425407.0</v>
      </c>
      <c r="G385" s="21" t="s">
        <v>74</v>
      </c>
      <c r="H385" s="17"/>
    </row>
    <row r="386">
      <c r="A386" s="15" t="s">
        <v>831</v>
      </c>
      <c r="B386" s="15" t="s">
        <v>832</v>
      </c>
      <c r="C386" s="15" t="s">
        <v>34</v>
      </c>
      <c r="D386" s="15" t="s">
        <v>411</v>
      </c>
      <c r="E386" s="21" t="s">
        <v>195</v>
      </c>
      <c r="F386" s="23">
        <v>7425655.0</v>
      </c>
      <c r="G386" s="21" t="s">
        <v>74</v>
      </c>
      <c r="H386" s="17"/>
    </row>
    <row r="387">
      <c r="A387" s="15" t="s">
        <v>833</v>
      </c>
      <c r="B387" s="15" t="s">
        <v>834</v>
      </c>
      <c r="C387" s="15" t="s">
        <v>34</v>
      </c>
      <c r="D387" s="15" t="s">
        <v>411</v>
      </c>
      <c r="E387" s="21" t="s">
        <v>195</v>
      </c>
      <c r="F387" s="21">
        <v>7425658.0</v>
      </c>
      <c r="G387" s="21" t="s">
        <v>74</v>
      </c>
      <c r="H387" s="17"/>
    </row>
    <row r="388">
      <c r="A388" s="15" t="s">
        <v>835</v>
      </c>
      <c r="B388" s="15" t="s">
        <v>836</v>
      </c>
      <c r="C388" s="15" t="s">
        <v>34</v>
      </c>
      <c r="D388" s="15" t="s">
        <v>411</v>
      </c>
      <c r="E388" s="21" t="s">
        <v>195</v>
      </c>
      <c r="F388" s="21">
        <v>7425661.0</v>
      </c>
      <c r="G388" s="21" t="s">
        <v>74</v>
      </c>
      <c r="H388" s="17"/>
    </row>
    <row r="389">
      <c r="A389" s="15" t="s">
        <v>837</v>
      </c>
      <c r="B389" s="15" t="s">
        <v>838</v>
      </c>
      <c r="C389" s="15" t="s">
        <v>34</v>
      </c>
      <c r="D389" s="15" t="s">
        <v>411</v>
      </c>
      <c r="E389" s="21" t="s">
        <v>195</v>
      </c>
      <c r="F389" s="21">
        <v>7425657.0</v>
      </c>
      <c r="G389" s="21" t="s">
        <v>74</v>
      </c>
      <c r="H389" s="17"/>
    </row>
    <row r="390">
      <c r="A390" s="15" t="s">
        <v>839</v>
      </c>
      <c r="B390" s="15" t="s">
        <v>840</v>
      </c>
      <c r="C390" s="15" t="s">
        <v>34</v>
      </c>
      <c r="D390" s="15" t="s">
        <v>411</v>
      </c>
      <c r="E390" s="21" t="s">
        <v>195</v>
      </c>
      <c r="F390" s="21">
        <v>7425659.0</v>
      </c>
      <c r="G390" s="21" t="s">
        <v>74</v>
      </c>
      <c r="H390" s="17"/>
    </row>
    <row r="391">
      <c r="A391" s="15" t="s">
        <v>841</v>
      </c>
      <c r="B391" s="15" t="s">
        <v>842</v>
      </c>
      <c r="C391" s="15" t="s">
        <v>34</v>
      </c>
      <c r="D391" s="15" t="s">
        <v>411</v>
      </c>
      <c r="E391" s="21" t="s">
        <v>195</v>
      </c>
      <c r="F391" s="21">
        <v>7425652.0</v>
      </c>
      <c r="G391" s="21" t="s">
        <v>74</v>
      </c>
      <c r="H391" s="17"/>
    </row>
    <row r="392">
      <c r="A392" s="15" t="s">
        <v>843</v>
      </c>
      <c r="B392" s="15" t="s">
        <v>844</v>
      </c>
      <c r="C392" s="15" t="s">
        <v>34</v>
      </c>
      <c r="D392" s="15" t="s">
        <v>411</v>
      </c>
      <c r="E392" s="21" t="s">
        <v>195</v>
      </c>
      <c r="F392" s="21">
        <v>7425650.0</v>
      </c>
      <c r="G392" s="21" t="s">
        <v>74</v>
      </c>
      <c r="H392" s="17"/>
    </row>
    <row r="393">
      <c r="A393" s="15" t="s">
        <v>845</v>
      </c>
      <c r="B393" s="15" t="s">
        <v>846</v>
      </c>
      <c r="C393" s="15" t="s">
        <v>34</v>
      </c>
      <c r="D393" s="15" t="s">
        <v>411</v>
      </c>
      <c r="E393" s="21" t="s">
        <v>195</v>
      </c>
      <c r="F393" s="23">
        <v>7425645.0</v>
      </c>
      <c r="G393" s="21" t="s">
        <v>74</v>
      </c>
      <c r="H393" s="17"/>
    </row>
    <row r="394">
      <c r="A394" s="15" t="s">
        <v>847</v>
      </c>
      <c r="B394" s="15" t="s">
        <v>848</v>
      </c>
      <c r="C394" s="15" t="s">
        <v>34</v>
      </c>
      <c r="D394" s="15" t="s">
        <v>411</v>
      </c>
      <c r="E394" s="19" t="s">
        <v>72</v>
      </c>
      <c r="F394" s="21" t="s">
        <v>849</v>
      </c>
      <c r="G394" s="21" t="s">
        <v>74</v>
      </c>
      <c r="H394" s="17"/>
    </row>
    <row r="395">
      <c r="A395" s="15" t="s">
        <v>850</v>
      </c>
      <c r="B395" s="15" t="s">
        <v>851</v>
      </c>
      <c r="C395" s="15" t="s">
        <v>34</v>
      </c>
      <c r="D395" s="15" t="s">
        <v>411</v>
      </c>
      <c r="E395" s="21" t="s">
        <v>195</v>
      </c>
      <c r="F395" s="21">
        <v>7425648.0</v>
      </c>
      <c r="G395" s="21" t="s">
        <v>74</v>
      </c>
      <c r="H395" s="17"/>
    </row>
    <row r="396">
      <c r="A396" s="15" t="s">
        <v>852</v>
      </c>
      <c r="B396" s="15" t="s">
        <v>853</v>
      </c>
      <c r="C396" s="15" t="s">
        <v>34</v>
      </c>
      <c r="D396" s="15" t="s">
        <v>411</v>
      </c>
      <c r="E396" s="21" t="s">
        <v>195</v>
      </c>
      <c r="F396" s="23">
        <v>7425651.0</v>
      </c>
      <c r="G396" s="23" t="s">
        <v>74</v>
      </c>
      <c r="H396" s="17"/>
    </row>
    <row r="397">
      <c r="A397" s="15" t="s">
        <v>854</v>
      </c>
      <c r="B397" s="15" t="s">
        <v>855</v>
      </c>
      <c r="C397" s="15" t="s">
        <v>34</v>
      </c>
      <c r="D397" s="15" t="s">
        <v>411</v>
      </c>
      <c r="E397" s="21" t="s">
        <v>195</v>
      </c>
      <c r="F397" s="23">
        <v>7425398.0</v>
      </c>
      <c r="G397" s="23" t="s">
        <v>74</v>
      </c>
      <c r="H397" s="17"/>
    </row>
    <row r="398">
      <c r="A398" s="15" t="s">
        <v>856</v>
      </c>
      <c r="B398" s="15" t="s">
        <v>857</v>
      </c>
      <c r="C398" s="15" t="s">
        <v>34</v>
      </c>
      <c r="D398" s="15" t="s">
        <v>411</v>
      </c>
      <c r="E398" s="21" t="s">
        <v>195</v>
      </c>
      <c r="F398" s="23">
        <v>7425653.0</v>
      </c>
      <c r="G398" s="23" t="s">
        <v>680</v>
      </c>
      <c r="H398" s="17"/>
    </row>
    <row r="399">
      <c r="A399" s="15" t="s">
        <v>858</v>
      </c>
      <c r="B399" s="15" t="s">
        <v>859</v>
      </c>
      <c r="C399" s="15" t="s">
        <v>34</v>
      </c>
      <c r="D399" s="15" t="s">
        <v>411</v>
      </c>
      <c r="E399" s="21" t="s">
        <v>195</v>
      </c>
      <c r="F399" s="23">
        <v>7425654.0</v>
      </c>
      <c r="G399" s="23" t="s">
        <v>74</v>
      </c>
      <c r="H399" s="17"/>
    </row>
    <row r="400">
      <c r="A400" s="15" t="s">
        <v>860</v>
      </c>
      <c r="B400" s="15" t="s">
        <v>861</v>
      </c>
      <c r="C400" s="15" t="s">
        <v>34</v>
      </c>
      <c r="D400" s="15" t="s">
        <v>411</v>
      </c>
      <c r="E400" s="21" t="s">
        <v>195</v>
      </c>
      <c r="F400" s="23">
        <v>7425646.0</v>
      </c>
      <c r="G400" s="23" t="s">
        <v>74</v>
      </c>
      <c r="H400" s="17"/>
    </row>
    <row r="401">
      <c r="A401" s="15" t="s">
        <v>862</v>
      </c>
      <c r="B401" s="15" t="s">
        <v>863</v>
      </c>
      <c r="C401" s="15" t="s">
        <v>34</v>
      </c>
      <c r="D401" s="15" t="s">
        <v>411</v>
      </c>
      <c r="E401" s="21" t="s">
        <v>195</v>
      </c>
      <c r="F401" s="21">
        <v>7425649.0</v>
      </c>
      <c r="G401" s="21" t="s">
        <v>74</v>
      </c>
      <c r="H401" s="17"/>
    </row>
    <row r="402">
      <c r="A402" s="15" t="s">
        <v>864</v>
      </c>
      <c r="B402" s="15" t="s">
        <v>865</v>
      </c>
      <c r="C402" s="15" t="s">
        <v>34</v>
      </c>
      <c r="D402" s="15" t="s">
        <v>411</v>
      </c>
      <c r="E402" s="21" t="s">
        <v>195</v>
      </c>
      <c r="F402" s="21">
        <v>7425867.0</v>
      </c>
      <c r="G402" s="21" t="s">
        <v>74</v>
      </c>
      <c r="H402" s="17"/>
    </row>
    <row r="403">
      <c r="A403" s="15" t="s">
        <v>866</v>
      </c>
      <c r="B403" s="15" t="s">
        <v>867</v>
      </c>
      <c r="C403" s="15" t="s">
        <v>34</v>
      </c>
      <c r="D403" s="15" t="s">
        <v>411</v>
      </c>
      <c r="E403" s="21" t="s">
        <v>195</v>
      </c>
      <c r="F403" s="23">
        <v>7425679.0</v>
      </c>
      <c r="G403" s="23" t="s">
        <v>74</v>
      </c>
      <c r="H403" s="17"/>
    </row>
    <row r="404">
      <c r="A404" s="15" t="s">
        <v>868</v>
      </c>
      <c r="B404" s="15" t="s">
        <v>869</v>
      </c>
      <c r="C404" s="15" t="s">
        <v>34</v>
      </c>
      <c r="D404" s="15" t="s">
        <v>411</v>
      </c>
      <c r="E404" s="21" t="s">
        <v>195</v>
      </c>
      <c r="F404" s="23">
        <v>7425678.0</v>
      </c>
      <c r="G404" s="23" t="s">
        <v>74</v>
      </c>
      <c r="H404" s="17"/>
    </row>
    <row r="405">
      <c r="A405" s="15" t="s">
        <v>870</v>
      </c>
      <c r="B405" s="15" t="s">
        <v>871</v>
      </c>
      <c r="C405" s="15" t="s">
        <v>34</v>
      </c>
      <c r="D405" s="15" t="s">
        <v>411</v>
      </c>
      <c r="E405" s="21" t="s">
        <v>195</v>
      </c>
      <c r="F405" s="23">
        <v>7425868.0</v>
      </c>
      <c r="G405" s="23" t="s">
        <v>74</v>
      </c>
      <c r="H405" s="17"/>
    </row>
    <row r="406">
      <c r="A406" s="15" t="s">
        <v>872</v>
      </c>
      <c r="B406" s="15" t="s">
        <v>873</v>
      </c>
      <c r="C406" s="15" t="s">
        <v>34</v>
      </c>
      <c r="D406" s="15" t="s">
        <v>411</v>
      </c>
      <c r="E406" s="21" t="s">
        <v>195</v>
      </c>
      <c r="F406" s="23">
        <v>7425677.0</v>
      </c>
      <c r="G406" s="23" t="s">
        <v>656</v>
      </c>
      <c r="H406" s="17"/>
    </row>
    <row r="407">
      <c r="A407" s="15" t="s">
        <v>874</v>
      </c>
      <c r="B407" s="15" t="s">
        <v>875</v>
      </c>
      <c r="C407" s="15" t="s">
        <v>34</v>
      </c>
      <c r="D407" s="15" t="s">
        <v>411</v>
      </c>
      <c r="E407" s="21" t="s">
        <v>195</v>
      </c>
      <c r="F407" s="23">
        <v>7425680.0</v>
      </c>
      <c r="G407" s="23" t="s">
        <v>74</v>
      </c>
      <c r="H407" s="17"/>
    </row>
    <row r="408">
      <c r="A408" s="15" t="s">
        <v>876</v>
      </c>
      <c r="B408" s="15" t="s">
        <v>877</v>
      </c>
      <c r="C408" s="15" t="s">
        <v>34</v>
      </c>
      <c r="D408" s="15" t="s">
        <v>411</v>
      </c>
      <c r="E408" s="21" t="s">
        <v>195</v>
      </c>
      <c r="F408" s="23">
        <v>7425676.0</v>
      </c>
      <c r="G408" s="23" t="s">
        <v>74</v>
      </c>
      <c r="H408" s="17"/>
    </row>
    <row r="409">
      <c r="A409" s="15" t="s">
        <v>878</v>
      </c>
      <c r="B409" s="15" t="s">
        <v>879</v>
      </c>
      <c r="C409" s="15" t="s">
        <v>34</v>
      </c>
      <c r="D409" s="15" t="s">
        <v>411</v>
      </c>
      <c r="E409" s="19" t="s">
        <v>72</v>
      </c>
      <c r="F409" s="23" t="s">
        <v>880</v>
      </c>
      <c r="G409" s="23" t="s">
        <v>74</v>
      </c>
      <c r="H409" s="17"/>
    </row>
    <row r="410">
      <c r="A410" s="15" t="s">
        <v>881</v>
      </c>
      <c r="B410" s="15" t="s">
        <v>882</v>
      </c>
      <c r="C410" s="15" t="s">
        <v>34</v>
      </c>
      <c r="D410" s="15" t="s">
        <v>411</v>
      </c>
      <c r="E410" s="21" t="s">
        <v>195</v>
      </c>
      <c r="F410" s="23">
        <v>7425682.0</v>
      </c>
      <c r="G410" s="23" t="s">
        <v>883</v>
      </c>
      <c r="H410" s="17"/>
    </row>
    <row r="411">
      <c r="A411" s="15" t="s">
        <v>884</v>
      </c>
      <c r="B411" s="15" t="s">
        <v>885</v>
      </c>
      <c r="C411" s="15" t="s">
        <v>34</v>
      </c>
      <c r="D411" s="15" t="s">
        <v>411</v>
      </c>
      <c r="E411" s="21" t="s">
        <v>195</v>
      </c>
      <c r="F411" s="23">
        <v>7425688.0</v>
      </c>
      <c r="G411" s="23" t="s">
        <v>74</v>
      </c>
      <c r="H411" s="17"/>
    </row>
    <row r="412">
      <c r="A412" s="15" t="s">
        <v>886</v>
      </c>
      <c r="B412" s="15" t="s">
        <v>887</v>
      </c>
      <c r="C412" s="15" t="s">
        <v>34</v>
      </c>
      <c r="D412" s="15" t="s">
        <v>411</v>
      </c>
      <c r="E412" s="21" t="s">
        <v>195</v>
      </c>
      <c r="F412" s="23">
        <v>7425685.0</v>
      </c>
      <c r="G412" s="23" t="s">
        <v>74</v>
      </c>
      <c r="H412" s="17"/>
    </row>
    <row r="413">
      <c r="A413" s="15" t="s">
        <v>888</v>
      </c>
      <c r="B413" s="15" t="s">
        <v>889</v>
      </c>
      <c r="C413" s="15" t="s">
        <v>34</v>
      </c>
      <c r="D413" s="15" t="s">
        <v>411</v>
      </c>
      <c r="E413" s="21" t="s">
        <v>195</v>
      </c>
      <c r="F413" s="23">
        <v>7425689.0</v>
      </c>
      <c r="G413" s="23" t="s">
        <v>74</v>
      </c>
      <c r="H413" s="17"/>
    </row>
    <row r="414">
      <c r="A414" s="15" t="s">
        <v>890</v>
      </c>
      <c r="B414" s="15" t="s">
        <v>891</v>
      </c>
      <c r="C414" s="15" t="s">
        <v>34</v>
      </c>
      <c r="D414" s="15" t="s">
        <v>411</v>
      </c>
      <c r="E414" s="21" t="s">
        <v>195</v>
      </c>
      <c r="F414" s="23">
        <v>7425683.0</v>
      </c>
      <c r="G414" s="23" t="s">
        <v>74</v>
      </c>
      <c r="H414" s="17"/>
    </row>
    <row r="415">
      <c r="A415" s="15" t="s">
        <v>892</v>
      </c>
      <c r="B415" s="15" t="s">
        <v>893</v>
      </c>
      <c r="C415" s="15" t="s">
        <v>34</v>
      </c>
      <c r="D415" s="15" t="s">
        <v>411</v>
      </c>
      <c r="E415" s="21" t="s">
        <v>195</v>
      </c>
      <c r="F415" s="23">
        <v>7425686.0</v>
      </c>
      <c r="G415" s="23" t="s">
        <v>74</v>
      </c>
      <c r="H415" s="17"/>
    </row>
    <row r="416">
      <c r="A416" s="15" t="s">
        <v>894</v>
      </c>
      <c r="B416" s="15" t="s">
        <v>895</v>
      </c>
      <c r="C416" s="15" t="s">
        <v>34</v>
      </c>
      <c r="D416" s="15" t="s">
        <v>411</v>
      </c>
      <c r="E416" s="21" t="s">
        <v>195</v>
      </c>
      <c r="F416" s="21">
        <v>7425687.0</v>
      </c>
      <c r="G416" s="21" t="s">
        <v>896</v>
      </c>
      <c r="H416" s="17"/>
    </row>
    <row r="417">
      <c r="A417" s="15" t="s">
        <v>897</v>
      </c>
      <c r="B417" s="15" t="s">
        <v>898</v>
      </c>
      <c r="C417" s="15" t="s">
        <v>34</v>
      </c>
      <c r="D417" s="15" t="s">
        <v>411</v>
      </c>
      <c r="E417" s="21" t="s">
        <v>195</v>
      </c>
      <c r="F417" s="23">
        <v>7425641.0</v>
      </c>
      <c r="G417" s="23" t="s">
        <v>74</v>
      </c>
      <c r="H417" s="17"/>
    </row>
    <row r="418">
      <c r="A418" s="15" t="s">
        <v>899</v>
      </c>
      <c r="B418" s="15" t="s">
        <v>900</v>
      </c>
      <c r="C418" s="15" t="s">
        <v>34</v>
      </c>
      <c r="D418" s="15" t="s">
        <v>411</v>
      </c>
      <c r="E418" s="19" t="s">
        <v>72</v>
      </c>
      <c r="F418" s="23" t="s">
        <v>901</v>
      </c>
      <c r="G418" s="23" t="s">
        <v>74</v>
      </c>
      <c r="H418" s="17"/>
    </row>
    <row r="419">
      <c r="A419" s="15" t="s">
        <v>902</v>
      </c>
      <c r="B419" s="15" t="s">
        <v>903</v>
      </c>
      <c r="C419" s="15" t="s">
        <v>34</v>
      </c>
      <c r="D419" s="15" t="s">
        <v>411</v>
      </c>
      <c r="E419" s="21" t="s">
        <v>195</v>
      </c>
      <c r="F419" s="23">
        <v>7425854.0</v>
      </c>
      <c r="G419" s="23" t="s">
        <v>74</v>
      </c>
      <c r="H419" s="17"/>
    </row>
    <row r="420">
      <c r="A420" s="15" t="s">
        <v>904</v>
      </c>
      <c r="B420" s="15" t="s">
        <v>905</v>
      </c>
      <c r="C420" s="15" t="s">
        <v>34</v>
      </c>
      <c r="D420" s="15" t="s">
        <v>411</v>
      </c>
      <c r="E420" s="21" t="s">
        <v>195</v>
      </c>
      <c r="F420" s="23">
        <v>7425684.0</v>
      </c>
      <c r="G420" s="23" t="s">
        <v>74</v>
      </c>
      <c r="H420" s="17"/>
    </row>
    <row r="421">
      <c r="A421" s="15" t="s">
        <v>906</v>
      </c>
      <c r="B421" s="15" t="s">
        <v>907</v>
      </c>
      <c r="C421" s="15" t="s">
        <v>34</v>
      </c>
      <c r="D421" s="15" t="s">
        <v>411</v>
      </c>
      <c r="E421" s="21" t="s">
        <v>195</v>
      </c>
      <c r="F421" s="23">
        <v>7425664.0</v>
      </c>
      <c r="G421" s="23" t="s">
        <v>74</v>
      </c>
      <c r="H421" s="17"/>
    </row>
    <row r="422">
      <c r="A422" s="15" t="s">
        <v>908</v>
      </c>
      <c r="B422" s="15" t="s">
        <v>909</v>
      </c>
      <c r="C422" s="15" t="s">
        <v>34</v>
      </c>
      <c r="D422" s="15" t="s">
        <v>411</v>
      </c>
      <c r="E422" s="21" t="s">
        <v>195</v>
      </c>
      <c r="F422" s="23">
        <v>7425667.0</v>
      </c>
      <c r="G422" s="23" t="s">
        <v>556</v>
      </c>
      <c r="H422" s="17"/>
    </row>
    <row r="423">
      <c r="A423" s="15" t="s">
        <v>910</v>
      </c>
      <c r="B423" s="15" t="s">
        <v>911</v>
      </c>
      <c r="C423" s="15" t="s">
        <v>34</v>
      </c>
      <c r="D423" s="15" t="s">
        <v>411</v>
      </c>
      <c r="E423" s="21" t="s">
        <v>195</v>
      </c>
      <c r="F423" s="23">
        <v>7425662.0</v>
      </c>
      <c r="G423" s="23" t="s">
        <v>74</v>
      </c>
      <c r="H423" s="17"/>
    </row>
    <row r="424">
      <c r="A424" s="15" t="s">
        <v>912</v>
      </c>
      <c r="B424" s="15" t="s">
        <v>913</v>
      </c>
      <c r="C424" s="15" t="s">
        <v>34</v>
      </c>
      <c r="D424" s="15" t="s">
        <v>411</v>
      </c>
      <c r="E424" s="21" t="s">
        <v>195</v>
      </c>
      <c r="F424" s="23">
        <v>7425666.0</v>
      </c>
      <c r="G424" s="23" t="s">
        <v>794</v>
      </c>
      <c r="H424" s="17"/>
    </row>
    <row r="425">
      <c r="A425" s="15" t="s">
        <v>914</v>
      </c>
      <c r="B425" s="15" t="s">
        <v>915</v>
      </c>
      <c r="C425" s="15" t="s">
        <v>34</v>
      </c>
      <c r="D425" s="15" t="s">
        <v>411</v>
      </c>
      <c r="E425" s="21" t="s">
        <v>195</v>
      </c>
      <c r="F425" s="23">
        <v>7425643.0</v>
      </c>
      <c r="G425" s="23" t="s">
        <v>74</v>
      </c>
      <c r="H425" s="17"/>
    </row>
    <row r="426">
      <c r="A426" s="15" t="s">
        <v>916</v>
      </c>
      <c r="B426" s="15" t="s">
        <v>917</v>
      </c>
      <c r="C426" s="15" t="s">
        <v>34</v>
      </c>
      <c r="D426" s="15" t="s">
        <v>411</v>
      </c>
      <c r="E426" s="21" t="s">
        <v>195</v>
      </c>
      <c r="F426" s="23">
        <v>7425668.0</v>
      </c>
      <c r="G426" s="23" t="s">
        <v>74</v>
      </c>
      <c r="H426" s="17"/>
    </row>
    <row r="427">
      <c r="A427" s="15" t="s">
        <v>918</v>
      </c>
      <c r="B427" s="15" t="s">
        <v>919</v>
      </c>
      <c r="C427" s="15" t="s">
        <v>34</v>
      </c>
      <c r="D427" s="15" t="s">
        <v>411</v>
      </c>
      <c r="E427" s="21" t="s">
        <v>195</v>
      </c>
      <c r="F427" s="23">
        <v>7425663.0</v>
      </c>
      <c r="G427" s="23" t="s">
        <v>74</v>
      </c>
      <c r="H427" s="17"/>
    </row>
    <row r="428">
      <c r="A428" s="15" t="s">
        <v>920</v>
      </c>
      <c r="B428" s="15" t="s">
        <v>921</v>
      </c>
      <c r="C428" s="15" t="s">
        <v>34</v>
      </c>
      <c r="D428" s="15" t="s">
        <v>411</v>
      </c>
      <c r="E428" s="21" t="s">
        <v>195</v>
      </c>
      <c r="F428" s="23">
        <v>7425665.0</v>
      </c>
      <c r="G428" s="23" t="s">
        <v>556</v>
      </c>
      <c r="H428" s="17"/>
    </row>
    <row r="429">
      <c r="A429" s="15" t="s">
        <v>922</v>
      </c>
      <c r="B429" s="15" t="s">
        <v>923</v>
      </c>
      <c r="C429" s="15" t="s">
        <v>34</v>
      </c>
      <c r="D429" s="15" t="s">
        <v>411</v>
      </c>
      <c r="E429" s="21" t="s">
        <v>195</v>
      </c>
      <c r="F429" s="23">
        <v>7425672.0</v>
      </c>
      <c r="G429" s="23" t="s">
        <v>74</v>
      </c>
      <c r="H429" s="17"/>
    </row>
    <row r="430">
      <c r="A430" s="15" t="s">
        <v>924</v>
      </c>
      <c r="B430" s="15" t="s">
        <v>925</v>
      </c>
      <c r="C430" s="15" t="s">
        <v>34</v>
      </c>
      <c r="D430" s="15" t="s">
        <v>411</v>
      </c>
      <c r="E430" s="21" t="s">
        <v>195</v>
      </c>
      <c r="F430" s="23">
        <v>7425893.0</v>
      </c>
      <c r="G430" s="23" t="s">
        <v>74</v>
      </c>
      <c r="H430" s="17"/>
    </row>
    <row r="431">
      <c r="A431" s="15" t="s">
        <v>926</v>
      </c>
      <c r="B431" s="15" t="s">
        <v>927</v>
      </c>
      <c r="C431" s="15" t="s">
        <v>34</v>
      </c>
      <c r="D431" s="15" t="s">
        <v>411</v>
      </c>
      <c r="E431" s="21" t="s">
        <v>195</v>
      </c>
      <c r="F431" s="23">
        <v>7425675.0</v>
      </c>
      <c r="G431" s="23" t="s">
        <v>74</v>
      </c>
      <c r="H431" s="17"/>
    </row>
    <row r="432">
      <c r="A432" s="15" t="s">
        <v>928</v>
      </c>
      <c r="B432" s="15" t="s">
        <v>929</v>
      </c>
      <c r="C432" s="15" t="s">
        <v>34</v>
      </c>
      <c r="D432" s="15" t="s">
        <v>411</v>
      </c>
      <c r="E432" s="21" t="s">
        <v>195</v>
      </c>
      <c r="F432" s="23">
        <v>7425881.0</v>
      </c>
      <c r="G432" s="23" t="s">
        <v>74</v>
      </c>
      <c r="H432" s="17"/>
    </row>
    <row r="433">
      <c r="A433" s="15" t="s">
        <v>930</v>
      </c>
      <c r="B433" s="15" t="s">
        <v>931</v>
      </c>
      <c r="C433" s="15" t="s">
        <v>34</v>
      </c>
      <c r="D433" s="15" t="s">
        <v>411</v>
      </c>
      <c r="E433" s="21" t="s">
        <v>195</v>
      </c>
      <c r="F433" s="23">
        <v>7425669.0</v>
      </c>
      <c r="G433" s="23" t="s">
        <v>74</v>
      </c>
      <c r="H433" s="17"/>
    </row>
    <row r="434">
      <c r="A434" s="15" t="s">
        <v>932</v>
      </c>
      <c r="B434" s="15" t="s">
        <v>933</v>
      </c>
      <c r="C434" s="15" t="s">
        <v>34</v>
      </c>
      <c r="D434" s="15" t="s">
        <v>411</v>
      </c>
      <c r="E434" s="19" t="s">
        <v>72</v>
      </c>
      <c r="F434" s="23" t="s">
        <v>934</v>
      </c>
      <c r="G434" s="23" t="s">
        <v>74</v>
      </c>
      <c r="H434" s="17"/>
    </row>
    <row r="435">
      <c r="A435" s="15" t="s">
        <v>935</v>
      </c>
      <c r="B435" s="15" t="s">
        <v>936</v>
      </c>
      <c r="C435" s="15" t="s">
        <v>34</v>
      </c>
      <c r="D435" s="15" t="s">
        <v>411</v>
      </c>
      <c r="E435" s="21" t="s">
        <v>195</v>
      </c>
      <c r="F435" s="23">
        <v>7425859.0</v>
      </c>
      <c r="G435" s="23" t="s">
        <v>74</v>
      </c>
      <c r="H435" s="17"/>
    </row>
    <row r="436">
      <c r="A436" s="15" t="s">
        <v>937</v>
      </c>
      <c r="B436" s="15" t="s">
        <v>938</v>
      </c>
      <c r="C436" s="15" t="s">
        <v>34</v>
      </c>
      <c r="D436" s="15" t="s">
        <v>411</v>
      </c>
      <c r="E436" s="21" t="s">
        <v>195</v>
      </c>
      <c r="F436" s="23">
        <v>7425673.0</v>
      </c>
      <c r="G436" s="23" t="s">
        <v>74</v>
      </c>
      <c r="H436" s="17"/>
    </row>
    <row r="437">
      <c r="A437" s="15" t="s">
        <v>939</v>
      </c>
      <c r="B437" s="15" t="s">
        <v>940</v>
      </c>
      <c r="C437" s="15" t="s">
        <v>34</v>
      </c>
      <c r="D437" s="15" t="s">
        <v>411</v>
      </c>
      <c r="E437" s="21" t="s">
        <v>195</v>
      </c>
      <c r="F437" s="23">
        <v>7425856.0</v>
      </c>
      <c r="G437" s="23" t="s">
        <v>74</v>
      </c>
      <c r="H437" s="17"/>
    </row>
    <row r="438">
      <c r="A438" s="15" t="s">
        <v>941</v>
      </c>
      <c r="B438" s="15" t="s">
        <v>942</v>
      </c>
      <c r="C438" s="15" t="s">
        <v>34</v>
      </c>
      <c r="D438" s="15" t="s">
        <v>411</v>
      </c>
      <c r="E438" s="21" t="s">
        <v>195</v>
      </c>
      <c r="F438" s="23">
        <v>7425670.0</v>
      </c>
      <c r="G438" s="23" t="s">
        <v>74</v>
      </c>
      <c r="H438" s="17"/>
    </row>
    <row r="439">
      <c r="A439" s="15" t="s">
        <v>943</v>
      </c>
      <c r="B439" s="15" t="s">
        <v>944</v>
      </c>
      <c r="C439" s="15" t="s">
        <v>34</v>
      </c>
      <c r="D439" s="15" t="s">
        <v>411</v>
      </c>
      <c r="E439" s="21" t="s">
        <v>195</v>
      </c>
      <c r="F439" s="23">
        <v>7425888.0</v>
      </c>
      <c r="G439" s="23" t="s">
        <v>74</v>
      </c>
      <c r="H439" s="17"/>
    </row>
    <row r="440">
      <c r="A440" s="15" t="s">
        <v>945</v>
      </c>
      <c r="B440" s="15" t="s">
        <v>946</v>
      </c>
      <c r="C440" s="15" t="s">
        <v>34</v>
      </c>
      <c r="D440" s="15" t="s">
        <v>411</v>
      </c>
      <c r="E440" s="21" t="s">
        <v>195</v>
      </c>
      <c r="F440" s="23">
        <v>7425891.0</v>
      </c>
      <c r="G440" s="23" t="s">
        <v>74</v>
      </c>
      <c r="H440" s="17"/>
    </row>
    <row r="441">
      <c r="A441" s="15" t="s">
        <v>947</v>
      </c>
      <c r="B441" s="15" t="s">
        <v>948</v>
      </c>
      <c r="C441" s="15" t="s">
        <v>34</v>
      </c>
      <c r="D441" s="15" t="s">
        <v>411</v>
      </c>
      <c r="E441" s="21" t="s">
        <v>195</v>
      </c>
      <c r="F441" s="23">
        <v>7425671.0</v>
      </c>
      <c r="G441" s="23" t="s">
        <v>74</v>
      </c>
      <c r="H441" s="17"/>
    </row>
    <row r="442">
      <c r="A442" s="15" t="s">
        <v>949</v>
      </c>
      <c r="B442" s="15" t="s">
        <v>950</v>
      </c>
      <c r="C442" s="15" t="s">
        <v>34</v>
      </c>
      <c r="D442" s="15" t="s">
        <v>411</v>
      </c>
      <c r="E442" s="21" t="s">
        <v>195</v>
      </c>
      <c r="F442" s="23">
        <v>7425890.0</v>
      </c>
      <c r="G442" s="23" t="s">
        <v>951</v>
      </c>
      <c r="H442" s="17"/>
    </row>
    <row r="443">
      <c r="A443" s="15" t="s">
        <v>952</v>
      </c>
      <c r="B443" s="15" t="s">
        <v>953</v>
      </c>
      <c r="C443" s="15" t="s">
        <v>34</v>
      </c>
      <c r="D443" s="15" t="s">
        <v>411</v>
      </c>
      <c r="E443" s="19" t="s">
        <v>72</v>
      </c>
      <c r="F443" s="21" t="s">
        <v>954</v>
      </c>
      <c r="G443" s="21" t="s">
        <v>74</v>
      </c>
      <c r="H443" s="17"/>
    </row>
    <row r="444">
      <c r="A444" s="15" t="s">
        <v>955</v>
      </c>
      <c r="B444" s="15" t="s">
        <v>956</v>
      </c>
      <c r="C444" s="15" t="s">
        <v>34</v>
      </c>
      <c r="D444" s="15" t="s">
        <v>411</v>
      </c>
      <c r="E444" s="21" t="s">
        <v>195</v>
      </c>
      <c r="F444" s="23">
        <v>7425853.0</v>
      </c>
      <c r="G444" s="23" t="s">
        <v>74</v>
      </c>
      <c r="H444" s="17"/>
    </row>
    <row r="445">
      <c r="A445" s="15" t="s">
        <v>957</v>
      </c>
      <c r="B445" s="15" t="s">
        <v>958</v>
      </c>
      <c r="C445" s="15" t="s">
        <v>34</v>
      </c>
      <c r="D445" s="15" t="s">
        <v>411</v>
      </c>
      <c r="E445" s="21" t="s">
        <v>195</v>
      </c>
      <c r="F445" s="23">
        <v>7425858.0</v>
      </c>
      <c r="G445" s="23" t="s">
        <v>74</v>
      </c>
      <c r="H445" s="17"/>
    </row>
    <row r="446">
      <c r="A446" s="15" t="s">
        <v>959</v>
      </c>
      <c r="B446" s="15" t="s">
        <v>960</v>
      </c>
      <c r="C446" s="15" t="s">
        <v>34</v>
      </c>
      <c r="D446" s="15" t="s">
        <v>411</v>
      </c>
      <c r="E446" s="21" t="s">
        <v>195</v>
      </c>
      <c r="F446" s="23">
        <v>7425894.0</v>
      </c>
      <c r="G446" s="23" t="s">
        <v>74</v>
      </c>
      <c r="H446" s="17"/>
    </row>
    <row r="447">
      <c r="A447" s="15" t="s">
        <v>961</v>
      </c>
      <c r="B447" s="15" t="s">
        <v>962</v>
      </c>
      <c r="C447" s="15" t="s">
        <v>34</v>
      </c>
      <c r="D447" s="15" t="s">
        <v>411</v>
      </c>
      <c r="E447" s="21" t="s">
        <v>195</v>
      </c>
      <c r="F447" s="23">
        <v>7425879.0</v>
      </c>
      <c r="G447" s="23" t="s">
        <v>74</v>
      </c>
      <c r="H447" s="17"/>
    </row>
    <row r="448">
      <c r="A448" s="15" t="s">
        <v>963</v>
      </c>
      <c r="B448" s="15" t="s">
        <v>964</v>
      </c>
      <c r="C448" s="15" t="s">
        <v>34</v>
      </c>
      <c r="D448" s="15" t="s">
        <v>411</v>
      </c>
      <c r="E448" s="21" t="s">
        <v>195</v>
      </c>
      <c r="F448" s="23">
        <v>7425857.0</v>
      </c>
      <c r="G448" s="23" t="s">
        <v>556</v>
      </c>
      <c r="H448" s="17"/>
    </row>
    <row r="449">
      <c r="A449" s="15" t="s">
        <v>965</v>
      </c>
      <c r="B449" s="15" t="s">
        <v>966</v>
      </c>
      <c r="C449" s="15" t="s">
        <v>34</v>
      </c>
      <c r="D449" s="15" t="s">
        <v>411</v>
      </c>
      <c r="E449" s="19" t="s">
        <v>72</v>
      </c>
      <c r="F449" s="23" t="s">
        <v>967</v>
      </c>
      <c r="G449" s="23" t="s">
        <v>74</v>
      </c>
      <c r="H449" s="17"/>
    </row>
    <row r="450">
      <c r="A450" s="15" t="s">
        <v>968</v>
      </c>
      <c r="B450" s="15" t="s">
        <v>969</v>
      </c>
      <c r="C450" s="15" t="s">
        <v>34</v>
      </c>
      <c r="D450" s="15" t="s">
        <v>411</v>
      </c>
      <c r="E450" s="21" t="s">
        <v>195</v>
      </c>
      <c r="F450" s="23">
        <v>7425864.0</v>
      </c>
      <c r="G450" s="23" t="s">
        <v>74</v>
      </c>
      <c r="H450" s="17"/>
    </row>
    <row r="451">
      <c r="A451" s="15" t="s">
        <v>970</v>
      </c>
      <c r="B451" s="15" t="s">
        <v>971</v>
      </c>
      <c r="C451" s="15" t="s">
        <v>34</v>
      </c>
      <c r="D451" s="15" t="s">
        <v>411</v>
      </c>
      <c r="E451" s="21" t="s">
        <v>195</v>
      </c>
      <c r="F451" s="23">
        <v>7425874.0</v>
      </c>
      <c r="G451" s="23" t="s">
        <v>74</v>
      </c>
      <c r="H451" s="17"/>
    </row>
    <row r="452">
      <c r="A452" s="15" t="s">
        <v>972</v>
      </c>
      <c r="B452" s="15" t="s">
        <v>973</v>
      </c>
      <c r="C452" s="15" t="s">
        <v>34</v>
      </c>
      <c r="D452" s="15" t="s">
        <v>411</v>
      </c>
      <c r="E452" s="21" t="s">
        <v>195</v>
      </c>
      <c r="F452" s="23">
        <v>7424194.0</v>
      </c>
      <c r="G452" s="23" t="s">
        <v>974</v>
      </c>
      <c r="H452" s="17"/>
    </row>
    <row r="453">
      <c r="A453" s="15" t="s">
        <v>975</v>
      </c>
      <c r="B453" s="15" t="s">
        <v>976</v>
      </c>
      <c r="C453" s="15" t="s">
        <v>34</v>
      </c>
      <c r="D453" s="15" t="s">
        <v>411</v>
      </c>
      <c r="E453" s="19" t="s">
        <v>72</v>
      </c>
      <c r="F453" s="21" t="s">
        <v>977</v>
      </c>
      <c r="G453" s="21" t="s">
        <v>74</v>
      </c>
      <c r="H453" s="17"/>
    </row>
    <row r="454">
      <c r="A454" s="15" t="s">
        <v>978</v>
      </c>
      <c r="B454" s="15" t="s">
        <v>979</v>
      </c>
      <c r="C454" s="15" t="s">
        <v>34</v>
      </c>
      <c r="D454" s="15" t="s">
        <v>411</v>
      </c>
      <c r="E454" s="19" t="s">
        <v>72</v>
      </c>
      <c r="F454" s="21" t="s">
        <v>980</v>
      </c>
      <c r="G454" s="21" t="s">
        <v>74</v>
      </c>
      <c r="H454" s="17"/>
    </row>
    <row r="455">
      <c r="A455" s="15" t="s">
        <v>981</v>
      </c>
      <c r="B455" s="15" t="s">
        <v>982</v>
      </c>
      <c r="C455" s="15" t="s">
        <v>34</v>
      </c>
      <c r="D455" s="15" t="s">
        <v>411</v>
      </c>
      <c r="E455" s="19" t="s">
        <v>72</v>
      </c>
      <c r="F455" s="23" t="s">
        <v>983</v>
      </c>
      <c r="G455" s="23" t="s">
        <v>74</v>
      </c>
      <c r="H455" s="17"/>
    </row>
    <row r="456">
      <c r="A456" s="15" t="s">
        <v>984</v>
      </c>
      <c r="B456" s="15" t="s">
        <v>985</v>
      </c>
      <c r="C456" s="15" t="s">
        <v>34</v>
      </c>
      <c r="D456" s="15" t="s">
        <v>411</v>
      </c>
      <c r="E456" s="19" t="s">
        <v>72</v>
      </c>
      <c r="F456" s="23" t="s">
        <v>986</v>
      </c>
      <c r="G456" s="23" t="s">
        <v>74</v>
      </c>
      <c r="H456" s="17"/>
    </row>
    <row r="457">
      <c r="A457" s="15" t="s">
        <v>987</v>
      </c>
      <c r="B457" s="15" t="s">
        <v>988</v>
      </c>
      <c r="C457" s="15" t="s">
        <v>34</v>
      </c>
      <c r="D457" s="15" t="s">
        <v>411</v>
      </c>
      <c r="E457" s="21" t="s">
        <v>195</v>
      </c>
      <c r="F457" s="23">
        <v>7417482.0</v>
      </c>
      <c r="G457" s="23" t="s">
        <v>74</v>
      </c>
      <c r="H457" s="17"/>
    </row>
    <row r="458">
      <c r="A458" s="15" t="s">
        <v>989</v>
      </c>
      <c r="B458" s="15" t="s">
        <v>990</v>
      </c>
      <c r="C458" s="15" t="s">
        <v>34</v>
      </c>
      <c r="D458" s="15" t="s">
        <v>411</v>
      </c>
      <c r="E458" s="21" t="s">
        <v>195</v>
      </c>
      <c r="F458" s="23">
        <v>7425674.0</v>
      </c>
      <c r="G458" s="23" t="s">
        <v>74</v>
      </c>
      <c r="H458" s="17"/>
    </row>
    <row r="459">
      <c r="A459" s="15" t="s">
        <v>991</v>
      </c>
      <c r="B459" s="15" t="s">
        <v>992</v>
      </c>
      <c r="C459" s="15" t="s">
        <v>34</v>
      </c>
      <c r="D459" s="15" t="s">
        <v>411</v>
      </c>
      <c r="E459" s="19" t="s">
        <v>72</v>
      </c>
      <c r="F459" s="23" t="s">
        <v>993</v>
      </c>
      <c r="G459" s="23" t="s">
        <v>74</v>
      </c>
      <c r="H459" s="17"/>
    </row>
    <row r="460">
      <c r="A460" s="15" t="s">
        <v>994</v>
      </c>
      <c r="B460" s="15" t="s">
        <v>995</v>
      </c>
      <c r="C460" s="15" t="s">
        <v>34</v>
      </c>
      <c r="D460" s="15" t="s">
        <v>411</v>
      </c>
      <c r="E460" s="19" t="s">
        <v>72</v>
      </c>
      <c r="F460" s="23" t="s">
        <v>996</v>
      </c>
      <c r="G460" s="23" t="s">
        <v>74</v>
      </c>
      <c r="H460" s="17"/>
    </row>
    <row r="461">
      <c r="A461" s="15" t="s">
        <v>997</v>
      </c>
      <c r="B461" s="15" t="s">
        <v>998</v>
      </c>
      <c r="C461" s="15" t="s">
        <v>34</v>
      </c>
      <c r="D461" s="15" t="s">
        <v>411</v>
      </c>
      <c r="E461" s="19" t="s">
        <v>72</v>
      </c>
      <c r="F461" s="23" t="s">
        <v>999</v>
      </c>
      <c r="G461" s="23" t="s">
        <v>74</v>
      </c>
      <c r="H461" s="17"/>
    </row>
    <row r="462">
      <c r="A462" s="15" t="s">
        <v>1000</v>
      </c>
      <c r="B462" s="15" t="s">
        <v>1001</v>
      </c>
      <c r="C462" s="15" t="s">
        <v>34</v>
      </c>
      <c r="D462" s="15" t="s">
        <v>411</v>
      </c>
      <c r="E462" s="19" t="s">
        <v>72</v>
      </c>
      <c r="F462" s="23" t="s">
        <v>1002</v>
      </c>
      <c r="G462" s="23" t="s">
        <v>74</v>
      </c>
      <c r="H462" s="17"/>
    </row>
    <row r="463">
      <c r="A463" s="15" t="s">
        <v>1003</v>
      </c>
      <c r="B463" s="15" t="s">
        <v>1004</v>
      </c>
      <c r="C463" s="15" t="s">
        <v>34</v>
      </c>
      <c r="D463" s="15" t="s">
        <v>411</v>
      </c>
      <c r="E463" s="19" t="s">
        <v>72</v>
      </c>
      <c r="F463" s="23" t="s">
        <v>1005</v>
      </c>
      <c r="G463" s="23" t="s">
        <v>74</v>
      </c>
      <c r="H463" s="17"/>
    </row>
    <row r="464">
      <c r="A464" s="15" t="s">
        <v>1006</v>
      </c>
      <c r="B464" s="15" t="s">
        <v>1007</v>
      </c>
      <c r="C464" s="15" t="s">
        <v>34</v>
      </c>
      <c r="D464" s="15" t="s">
        <v>411</v>
      </c>
      <c r="E464" s="19" t="s">
        <v>72</v>
      </c>
      <c r="F464" s="23" t="s">
        <v>1008</v>
      </c>
      <c r="G464" s="23" t="s">
        <v>74</v>
      </c>
      <c r="H464" s="17"/>
    </row>
    <row r="465">
      <c r="A465" s="15" t="s">
        <v>1009</v>
      </c>
      <c r="B465" s="15" t="s">
        <v>1010</v>
      </c>
      <c r="C465" s="15" t="s">
        <v>34</v>
      </c>
      <c r="D465" s="15" t="s">
        <v>411</v>
      </c>
      <c r="E465" s="19" t="s">
        <v>72</v>
      </c>
      <c r="F465" s="23" t="s">
        <v>1011</v>
      </c>
      <c r="G465" s="23" t="s">
        <v>74</v>
      </c>
      <c r="H465" s="17"/>
    </row>
    <row r="466">
      <c r="A466" s="15" t="s">
        <v>1012</v>
      </c>
      <c r="B466" s="15" t="s">
        <v>1013</v>
      </c>
      <c r="C466" s="15" t="s">
        <v>34</v>
      </c>
      <c r="D466" s="15" t="s">
        <v>411</v>
      </c>
      <c r="E466" s="25"/>
      <c r="F466" s="23" t="s">
        <v>1014</v>
      </c>
      <c r="G466" s="25"/>
      <c r="H466" s="17"/>
    </row>
    <row r="467">
      <c r="A467" s="15" t="s">
        <v>1015</v>
      </c>
      <c r="B467" s="15" t="s">
        <v>1016</v>
      </c>
      <c r="C467" s="15" t="s">
        <v>34</v>
      </c>
      <c r="D467" s="15" t="s">
        <v>411</v>
      </c>
      <c r="E467" s="19" t="s">
        <v>72</v>
      </c>
      <c r="F467" s="23" t="s">
        <v>1017</v>
      </c>
      <c r="G467" s="23" t="s">
        <v>74</v>
      </c>
      <c r="H467" s="17"/>
    </row>
    <row r="468">
      <c r="A468" s="15" t="s">
        <v>1018</v>
      </c>
      <c r="B468" s="15" t="s">
        <v>1019</v>
      </c>
      <c r="C468" s="15" t="s">
        <v>34</v>
      </c>
      <c r="D468" s="15" t="s">
        <v>411</v>
      </c>
      <c r="E468" s="19" t="s">
        <v>72</v>
      </c>
      <c r="F468" s="23" t="s">
        <v>1020</v>
      </c>
      <c r="G468" s="23" t="s">
        <v>74</v>
      </c>
      <c r="H468" s="17"/>
    </row>
    <row r="469">
      <c r="A469" s="15" t="s">
        <v>1021</v>
      </c>
      <c r="B469" s="15" t="s">
        <v>1022</v>
      </c>
      <c r="C469" s="15" t="s">
        <v>34</v>
      </c>
      <c r="D469" s="15" t="s">
        <v>411</v>
      </c>
      <c r="E469" s="19" t="s">
        <v>72</v>
      </c>
      <c r="F469" s="23" t="s">
        <v>1023</v>
      </c>
      <c r="G469" s="23" t="s">
        <v>74</v>
      </c>
      <c r="H469" s="17"/>
    </row>
    <row r="470">
      <c r="A470" s="15" t="s">
        <v>1024</v>
      </c>
      <c r="B470" s="15" t="s">
        <v>1025</v>
      </c>
      <c r="C470" s="15" t="s">
        <v>34</v>
      </c>
      <c r="D470" s="15" t="s">
        <v>411</v>
      </c>
      <c r="E470" s="19" t="s">
        <v>72</v>
      </c>
      <c r="F470" s="23" t="s">
        <v>1026</v>
      </c>
      <c r="G470" s="23" t="s">
        <v>74</v>
      </c>
      <c r="H470" s="17"/>
    </row>
    <row r="471">
      <c r="A471" s="15" t="s">
        <v>1027</v>
      </c>
      <c r="B471" s="15" t="s">
        <v>1028</v>
      </c>
      <c r="C471" s="15" t="s">
        <v>34</v>
      </c>
      <c r="D471" s="15" t="s">
        <v>411</v>
      </c>
      <c r="E471" s="19" t="s">
        <v>72</v>
      </c>
      <c r="F471" s="23" t="s">
        <v>1029</v>
      </c>
      <c r="G471" s="23" t="s">
        <v>74</v>
      </c>
      <c r="H471" s="17"/>
    </row>
    <row r="472">
      <c r="A472" s="15" t="s">
        <v>1030</v>
      </c>
      <c r="B472" s="15" t="s">
        <v>1031</v>
      </c>
      <c r="C472" s="15" t="s">
        <v>34</v>
      </c>
      <c r="D472" s="15" t="s">
        <v>411</v>
      </c>
      <c r="E472" s="19" t="s">
        <v>72</v>
      </c>
      <c r="F472" s="23" t="s">
        <v>1032</v>
      </c>
      <c r="G472" s="23" t="s">
        <v>74</v>
      </c>
      <c r="H472" s="17"/>
    </row>
    <row r="473">
      <c r="A473" s="15" t="s">
        <v>1033</v>
      </c>
      <c r="B473" s="15" t="s">
        <v>1034</v>
      </c>
      <c r="C473" s="15" t="s">
        <v>34</v>
      </c>
      <c r="D473" s="15" t="s">
        <v>411</v>
      </c>
      <c r="E473" s="19" t="s">
        <v>72</v>
      </c>
      <c r="F473" s="23" t="s">
        <v>1035</v>
      </c>
      <c r="G473" s="23" t="s">
        <v>74</v>
      </c>
      <c r="H473" s="17"/>
    </row>
    <row r="474">
      <c r="A474" s="15" t="s">
        <v>1036</v>
      </c>
      <c r="B474" s="15" t="s">
        <v>1037</v>
      </c>
      <c r="C474" s="15" t="s">
        <v>34</v>
      </c>
      <c r="D474" s="15" t="s">
        <v>411</v>
      </c>
      <c r="E474" s="19" t="s">
        <v>72</v>
      </c>
      <c r="F474" s="21" t="s">
        <v>1038</v>
      </c>
      <c r="G474" s="21" t="s">
        <v>74</v>
      </c>
      <c r="H474" s="17"/>
    </row>
    <row r="475">
      <c r="A475" s="15" t="s">
        <v>1039</v>
      </c>
      <c r="B475" s="15" t="s">
        <v>1040</v>
      </c>
      <c r="C475" s="15" t="s">
        <v>34</v>
      </c>
      <c r="D475" s="15" t="s">
        <v>411</v>
      </c>
      <c r="E475" s="19" t="s">
        <v>72</v>
      </c>
      <c r="F475" s="23" t="s">
        <v>1041</v>
      </c>
      <c r="G475" s="23" t="s">
        <v>74</v>
      </c>
      <c r="H475" s="17"/>
    </row>
    <row r="476">
      <c r="A476" s="15" t="s">
        <v>1042</v>
      </c>
      <c r="B476" s="15" t="s">
        <v>1043</v>
      </c>
      <c r="C476" s="15" t="s">
        <v>34</v>
      </c>
      <c r="D476" s="15" t="s">
        <v>411</v>
      </c>
      <c r="E476" s="19" t="s">
        <v>72</v>
      </c>
      <c r="F476" s="23" t="s">
        <v>1044</v>
      </c>
      <c r="G476" s="23" t="s">
        <v>74</v>
      </c>
      <c r="H476" s="17"/>
    </row>
    <row r="477">
      <c r="A477" s="15" t="s">
        <v>1045</v>
      </c>
      <c r="B477" s="15" t="s">
        <v>1046</v>
      </c>
      <c r="C477" s="15" t="s">
        <v>34</v>
      </c>
      <c r="D477" s="15" t="s">
        <v>411</v>
      </c>
      <c r="E477" s="19" t="s">
        <v>72</v>
      </c>
      <c r="F477" s="23" t="s">
        <v>1047</v>
      </c>
      <c r="G477" s="23" t="s">
        <v>74</v>
      </c>
      <c r="H477" s="17"/>
    </row>
    <row r="478">
      <c r="A478" s="15" t="s">
        <v>1048</v>
      </c>
      <c r="B478" s="15" t="s">
        <v>1049</v>
      </c>
      <c r="C478" s="15" t="s">
        <v>34</v>
      </c>
      <c r="D478" s="15" t="s">
        <v>411</v>
      </c>
      <c r="E478" s="19" t="s">
        <v>72</v>
      </c>
      <c r="F478" s="23" t="s">
        <v>1050</v>
      </c>
      <c r="G478" s="23" t="s">
        <v>74</v>
      </c>
      <c r="H478" s="17"/>
    </row>
    <row r="479">
      <c r="A479" s="15" t="s">
        <v>1051</v>
      </c>
      <c r="B479" s="15" t="s">
        <v>1052</v>
      </c>
      <c r="C479" s="15" t="s">
        <v>34</v>
      </c>
      <c r="D479" s="15" t="s">
        <v>411</v>
      </c>
      <c r="E479" s="19" t="s">
        <v>72</v>
      </c>
      <c r="F479" s="23" t="s">
        <v>1053</v>
      </c>
      <c r="G479" s="23" t="s">
        <v>74</v>
      </c>
      <c r="H479" s="17"/>
    </row>
    <row r="480">
      <c r="A480" s="15" t="s">
        <v>1054</v>
      </c>
      <c r="B480" s="15" t="s">
        <v>1055</v>
      </c>
      <c r="C480" s="15" t="s">
        <v>34</v>
      </c>
      <c r="D480" s="15" t="s">
        <v>411</v>
      </c>
      <c r="E480" s="19" t="s">
        <v>72</v>
      </c>
      <c r="F480" s="23" t="s">
        <v>1056</v>
      </c>
      <c r="G480" s="23" t="s">
        <v>74</v>
      </c>
      <c r="H480" s="17"/>
    </row>
    <row r="481">
      <c r="A481" s="15" t="s">
        <v>1057</v>
      </c>
      <c r="B481" s="15" t="s">
        <v>1058</v>
      </c>
      <c r="C481" s="15" t="s">
        <v>34</v>
      </c>
      <c r="D481" s="15" t="s">
        <v>411</v>
      </c>
      <c r="E481" s="19" t="s">
        <v>72</v>
      </c>
      <c r="F481" s="23" t="s">
        <v>1059</v>
      </c>
      <c r="G481" s="23" t="s">
        <v>74</v>
      </c>
      <c r="H481" s="17"/>
    </row>
    <row r="482">
      <c r="A482" s="15" t="s">
        <v>1060</v>
      </c>
      <c r="B482" s="15" t="s">
        <v>1061</v>
      </c>
      <c r="C482" s="15" t="s">
        <v>34</v>
      </c>
      <c r="D482" s="15" t="s">
        <v>411</v>
      </c>
      <c r="E482" s="19" t="s">
        <v>72</v>
      </c>
      <c r="F482" s="23" t="s">
        <v>1062</v>
      </c>
      <c r="G482" s="23" t="s">
        <v>74</v>
      </c>
      <c r="H482" s="17"/>
    </row>
    <row r="483">
      <c r="A483" s="15" t="s">
        <v>1063</v>
      </c>
      <c r="B483" s="15" t="s">
        <v>1064</v>
      </c>
      <c r="C483" s="15" t="s">
        <v>34</v>
      </c>
      <c r="D483" s="15" t="s">
        <v>411</v>
      </c>
      <c r="E483" s="19" t="s">
        <v>72</v>
      </c>
      <c r="F483" s="23" t="s">
        <v>1065</v>
      </c>
      <c r="G483" s="23" t="s">
        <v>74</v>
      </c>
      <c r="H483" s="17"/>
    </row>
    <row r="484">
      <c r="A484" s="15" t="s">
        <v>1066</v>
      </c>
      <c r="B484" s="15" t="s">
        <v>1067</v>
      </c>
      <c r="C484" s="15" t="s">
        <v>34</v>
      </c>
      <c r="D484" s="15" t="s">
        <v>411</v>
      </c>
      <c r="E484" s="19" t="s">
        <v>72</v>
      </c>
      <c r="F484" s="23" t="s">
        <v>1068</v>
      </c>
      <c r="G484" s="23" t="s">
        <v>74</v>
      </c>
      <c r="H484" s="17"/>
    </row>
    <row r="485">
      <c r="A485" s="15" t="s">
        <v>1069</v>
      </c>
      <c r="B485" s="15" t="s">
        <v>1070</v>
      </c>
      <c r="C485" s="15" t="s">
        <v>34</v>
      </c>
      <c r="D485" s="15" t="s">
        <v>411</v>
      </c>
      <c r="E485" s="19" t="s">
        <v>72</v>
      </c>
      <c r="F485" s="23" t="s">
        <v>1071</v>
      </c>
      <c r="G485" s="23" t="s">
        <v>74</v>
      </c>
      <c r="H485" s="17"/>
    </row>
    <row r="486">
      <c r="A486" s="15" t="s">
        <v>1072</v>
      </c>
      <c r="B486" s="15" t="s">
        <v>1073</v>
      </c>
      <c r="C486" s="15" t="s">
        <v>34</v>
      </c>
      <c r="D486" s="15" t="s">
        <v>411</v>
      </c>
      <c r="E486" s="19" t="s">
        <v>72</v>
      </c>
      <c r="F486" s="23" t="s">
        <v>1074</v>
      </c>
      <c r="G486" s="23" t="s">
        <v>74</v>
      </c>
      <c r="H486" s="17"/>
    </row>
    <row r="487">
      <c r="A487" s="15" t="s">
        <v>1075</v>
      </c>
      <c r="B487" s="15" t="s">
        <v>1076</v>
      </c>
      <c r="C487" s="15" t="s">
        <v>34</v>
      </c>
      <c r="D487" s="15" t="s">
        <v>411</v>
      </c>
      <c r="E487" s="19" t="s">
        <v>72</v>
      </c>
      <c r="F487" s="23" t="s">
        <v>1077</v>
      </c>
      <c r="G487" s="23" t="s">
        <v>74</v>
      </c>
      <c r="H487" s="17"/>
    </row>
    <row r="488">
      <c r="A488" s="15" t="s">
        <v>1078</v>
      </c>
      <c r="B488" s="15" t="s">
        <v>1079</v>
      </c>
      <c r="C488" s="15" t="s">
        <v>34</v>
      </c>
      <c r="D488" s="15" t="s">
        <v>411</v>
      </c>
      <c r="E488" s="19" t="s">
        <v>72</v>
      </c>
      <c r="F488" s="23" t="s">
        <v>1080</v>
      </c>
      <c r="G488" s="23" t="s">
        <v>74</v>
      </c>
      <c r="H488" s="17"/>
    </row>
    <row r="489">
      <c r="A489" s="15" t="s">
        <v>1081</v>
      </c>
      <c r="B489" s="15" t="s">
        <v>1082</v>
      </c>
      <c r="C489" s="15" t="s">
        <v>34</v>
      </c>
      <c r="D489" s="15" t="s">
        <v>411</v>
      </c>
      <c r="E489" s="19" t="s">
        <v>72</v>
      </c>
      <c r="F489" s="23" t="s">
        <v>1083</v>
      </c>
      <c r="G489" s="23" t="s">
        <v>74</v>
      </c>
      <c r="H489" s="17"/>
    </row>
    <row r="490">
      <c r="A490" s="15" t="s">
        <v>1084</v>
      </c>
      <c r="B490" s="15" t="s">
        <v>1085</v>
      </c>
      <c r="C490" s="15" t="s">
        <v>34</v>
      </c>
      <c r="D490" s="15" t="s">
        <v>411</v>
      </c>
      <c r="E490" s="19" t="s">
        <v>72</v>
      </c>
      <c r="F490" s="23" t="s">
        <v>1086</v>
      </c>
      <c r="G490" s="23" t="s">
        <v>74</v>
      </c>
      <c r="H490" s="17"/>
    </row>
    <row r="491">
      <c r="A491" s="15" t="s">
        <v>1087</v>
      </c>
      <c r="B491" s="15" t="s">
        <v>1088</v>
      </c>
      <c r="C491" s="15" t="s">
        <v>34</v>
      </c>
      <c r="D491" s="15" t="s">
        <v>411</v>
      </c>
      <c r="E491" s="19" t="s">
        <v>72</v>
      </c>
      <c r="F491" s="21" t="s">
        <v>1089</v>
      </c>
      <c r="G491" s="21" t="s">
        <v>211</v>
      </c>
      <c r="H491" s="17"/>
    </row>
    <row r="492">
      <c r="A492" s="15" t="s">
        <v>1090</v>
      </c>
      <c r="B492" s="15" t="s">
        <v>1091</v>
      </c>
      <c r="C492" s="15" t="s">
        <v>34</v>
      </c>
      <c r="D492" s="15" t="s">
        <v>411</v>
      </c>
      <c r="E492" s="21" t="s">
        <v>195</v>
      </c>
      <c r="F492" s="23">
        <v>7425395.0</v>
      </c>
      <c r="G492" s="23" t="s">
        <v>74</v>
      </c>
      <c r="H492" s="17"/>
    </row>
    <row r="493">
      <c r="A493" s="15" t="s">
        <v>1092</v>
      </c>
      <c r="B493" s="15" t="s">
        <v>1093</v>
      </c>
      <c r="C493" s="15" t="s">
        <v>34</v>
      </c>
      <c r="D493" s="15" t="s">
        <v>411</v>
      </c>
      <c r="E493" s="19" t="s">
        <v>72</v>
      </c>
      <c r="F493" s="23" t="s">
        <v>1094</v>
      </c>
      <c r="G493" s="23" t="s">
        <v>74</v>
      </c>
      <c r="H493" s="17"/>
    </row>
    <row r="494">
      <c r="A494" s="15" t="s">
        <v>1095</v>
      </c>
      <c r="B494" s="15" t="s">
        <v>1096</v>
      </c>
      <c r="C494" s="15" t="s">
        <v>34</v>
      </c>
      <c r="D494" s="15" t="s">
        <v>411</v>
      </c>
      <c r="E494" s="19" t="s">
        <v>72</v>
      </c>
      <c r="F494" s="23" t="s">
        <v>1097</v>
      </c>
      <c r="G494" s="23" t="s">
        <v>74</v>
      </c>
      <c r="H494" s="17"/>
    </row>
    <row r="495">
      <c r="A495" s="15" t="s">
        <v>1098</v>
      </c>
      <c r="B495" s="15" t="s">
        <v>1099</v>
      </c>
      <c r="C495" s="15" t="s">
        <v>34</v>
      </c>
      <c r="D495" s="15" t="s">
        <v>411</v>
      </c>
      <c r="E495" s="19" t="s">
        <v>72</v>
      </c>
      <c r="F495" s="23" t="s">
        <v>1100</v>
      </c>
      <c r="G495" s="23" t="s">
        <v>74</v>
      </c>
      <c r="H495" s="17"/>
    </row>
    <row r="496">
      <c r="A496" s="15" t="s">
        <v>1101</v>
      </c>
      <c r="B496" s="15" t="s">
        <v>1102</v>
      </c>
      <c r="C496" s="15" t="s">
        <v>34</v>
      </c>
      <c r="D496" s="15" t="s">
        <v>411</v>
      </c>
      <c r="E496" s="19" t="s">
        <v>72</v>
      </c>
      <c r="F496" s="23" t="s">
        <v>1103</v>
      </c>
      <c r="G496" s="23" t="s">
        <v>74</v>
      </c>
      <c r="H496" s="17"/>
    </row>
    <row r="497">
      <c r="A497" s="15" t="s">
        <v>1104</v>
      </c>
      <c r="B497" s="15" t="s">
        <v>1105</v>
      </c>
      <c r="C497" s="15" t="s">
        <v>34</v>
      </c>
      <c r="D497" s="15" t="s">
        <v>411</v>
      </c>
      <c r="E497" s="19" t="s">
        <v>72</v>
      </c>
      <c r="F497" s="23" t="s">
        <v>1106</v>
      </c>
      <c r="G497" s="23" t="s">
        <v>74</v>
      </c>
      <c r="H497" s="17"/>
    </row>
    <row r="498">
      <c r="A498" s="15" t="s">
        <v>1107</v>
      </c>
      <c r="B498" s="15" t="s">
        <v>1108</v>
      </c>
      <c r="C498" s="15" t="s">
        <v>34</v>
      </c>
      <c r="D498" s="15" t="s">
        <v>411</v>
      </c>
      <c r="E498" s="19" t="s">
        <v>72</v>
      </c>
      <c r="F498" s="23" t="s">
        <v>1109</v>
      </c>
      <c r="G498" s="23" t="s">
        <v>74</v>
      </c>
      <c r="H498" s="17"/>
    </row>
    <row r="499">
      <c r="A499" s="15" t="s">
        <v>1110</v>
      </c>
      <c r="B499" s="15" t="s">
        <v>1111</v>
      </c>
      <c r="C499" s="15" t="s">
        <v>34</v>
      </c>
      <c r="D499" s="15" t="s">
        <v>411</v>
      </c>
      <c r="E499" s="23" t="s">
        <v>72</v>
      </c>
      <c r="F499" s="23" t="s">
        <v>1112</v>
      </c>
      <c r="G499" s="23" t="s">
        <v>74</v>
      </c>
      <c r="H499" s="17"/>
    </row>
    <row r="500">
      <c r="A500" s="15" t="s">
        <v>1113</v>
      </c>
      <c r="B500" s="15" t="s">
        <v>1114</v>
      </c>
      <c r="C500" s="15" t="s">
        <v>34</v>
      </c>
      <c r="D500" s="15" t="s">
        <v>411</v>
      </c>
      <c r="E500" s="19" t="s">
        <v>72</v>
      </c>
      <c r="F500" s="23" t="s">
        <v>1115</v>
      </c>
      <c r="G500" s="23" t="s">
        <v>74</v>
      </c>
      <c r="H500" s="17"/>
    </row>
    <row r="501">
      <c r="A501" s="15" t="s">
        <v>1116</v>
      </c>
      <c r="B501" s="15" t="s">
        <v>1117</v>
      </c>
      <c r="C501" s="15" t="s">
        <v>34</v>
      </c>
      <c r="D501" s="15" t="s">
        <v>411</v>
      </c>
      <c r="E501" s="19" t="s">
        <v>72</v>
      </c>
      <c r="F501" s="21" t="s">
        <v>1118</v>
      </c>
      <c r="G501" s="21" t="s">
        <v>74</v>
      </c>
      <c r="H501" s="17"/>
    </row>
    <row r="502">
      <c r="A502" s="15" t="s">
        <v>1119</v>
      </c>
      <c r="B502" s="15" t="s">
        <v>1120</v>
      </c>
      <c r="C502" s="15" t="s">
        <v>34</v>
      </c>
      <c r="D502" s="15" t="s">
        <v>411</v>
      </c>
      <c r="E502" s="19" t="s">
        <v>72</v>
      </c>
      <c r="F502" s="23" t="s">
        <v>1121</v>
      </c>
      <c r="G502" s="23" t="s">
        <v>74</v>
      </c>
      <c r="H502" s="17"/>
    </row>
    <row r="503">
      <c r="A503" s="15" t="s">
        <v>1122</v>
      </c>
      <c r="B503" s="15" t="s">
        <v>1123</v>
      </c>
      <c r="C503" s="15" t="s">
        <v>34</v>
      </c>
      <c r="D503" s="15" t="s">
        <v>411</v>
      </c>
      <c r="E503" s="19" t="s">
        <v>72</v>
      </c>
      <c r="F503" s="23" t="s">
        <v>1124</v>
      </c>
      <c r="G503" s="23" t="s">
        <v>556</v>
      </c>
      <c r="H503" s="17"/>
    </row>
    <row r="504">
      <c r="A504" s="15" t="s">
        <v>1125</v>
      </c>
      <c r="B504" s="15" t="s">
        <v>1126</v>
      </c>
      <c r="C504" s="15" t="s">
        <v>34</v>
      </c>
      <c r="D504" s="15" t="s">
        <v>411</v>
      </c>
      <c r="E504" s="19" t="s">
        <v>72</v>
      </c>
      <c r="F504" s="23" t="s">
        <v>1127</v>
      </c>
      <c r="G504" s="23" t="s">
        <v>74</v>
      </c>
      <c r="H504" s="17"/>
    </row>
    <row r="505">
      <c r="A505" s="15" t="s">
        <v>1128</v>
      </c>
      <c r="B505" s="15" t="s">
        <v>1129</v>
      </c>
      <c r="C505" s="15" t="s">
        <v>34</v>
      </c>
      <c r="D505" s="15" t="s">
        <v>411</v>
      </c>
      <c r="E505" s="19" t="s">
        <v>72</v>
      </c>
      <c r="F505" s="23" t="s">
        <v>1130</v>
      </c>
      <c r="G505" s="23" t="s">
        <v>74</v>
      </c>
      <c r="H505" s="17"/>
    </row>
    <row r="506">
      <c r="A506" s="15" t="s">
        <v>1131</v>
      </c>
      <c r="B506" s="15" t="s">
        <v>1132</v>
      </c>
      <c r="C506" s="15" t="s">
        <v>34</v>
      </c>
      <c r="D506" s="15" t="s">
        <v>411</v>
      </c>
      <c r="E506" s="19" t="s">
        <v>72</v>
      </c>
      <c r="F506" s="23" t="s">
        <v>1133</v>
      </c>
      <c r="G506" s="23" t="s">
        <v>74</v>
      </c>
      <c r="H506" s="17"/>
    </row>
    <row r="507">
      <c r="A507" s="15" t="s">
        <v>1134</v>
      </c>
      <c r="B507" s="15" t="s">
        <v>1135</v>
      </c>
      <c r="C507" s="15" t="s">
        <v>34</v>
      </c>
      <c r="D507" s="15" t="s">
        <v>411</v>
      </c>
      <c r="E507" s="19" t="s">
        <v>72</v>
      </c>
      <c r="F507" s="23" t="s">
        <v>1136</v>
      </c>
      <c r="G507" s="23" t="s">
        <v>74</v>
      </c>
      <c r="H507" s="17"/>
    </row>
    <row r="508">
      <c r="A508" s="15" t="s">
        <v>1137</v>
      </c>
      <c r="B508" s="15" t="s">
        <v>1138</v>
      </c>
      <c r="C508" s="15" t="s">
        <v>34</v>
      </c>
      <c r="D508" s="15" t="s">
        <v>411</v>
      </c>
      <c r="E508" s="19" t="s">
        <v>72</v>
      </c>
      <c r="F508" s="23" t="s">
        <v>1139</v>
      </c>
      <c r="G508" s="23" t="s">
        <v>74</v>
      </c>
      <c r="H508" s="17"/>
    </row>
    <row r="509">
      <c r="A509" s="15" t="s">
        <v>1140</v>
      </c>
      <c r="B509" s="15" t="s">
        <v>1141</v>
      </c>
      <c r="C509" s="15" t="s">
        <v>34</v>
      </c>
      <c r="D509" s="15" t="s">
        <v>411</v>
      </c>
      <c r="E509" s="19" t="s">
        <v>72</v>
      </c>
      <c r="F509" s="21" t="s">
        <v>1142</v>
      </c>
      <c r="G509" s="21" t="s">
        <v>74</v>
      </c>
      <c r="H509" s="17"/>
    </row>
    <row r="510">
      <c r="A510" s="15" t="s">
        <v>1143</v>
      </c>
      <c r="B510" s="15" t="s">
        <v>1144</v>
      </c>
      <c r="C510" s="15" t="s">
        <v>34</v>
      </c>
      <c r="D510" s="15" t="s">
        <v>411</v>
      </c>
      <c r="E510" s="19" t="s">
        <v>72</v>
      </c>
      <c r="F510" s="23" t="s">
        <v>1145</v>
      </c>
      <c r="G510" s="23" t="s">
        <v>74</v>
      </c>
      <c r="H510" s="17"/>
    </row>
    <row r="511">
      <c r="A511" s="15" t="s">
        <v>1146</v>
      </c>
      <c r="B511" s="15" t="s">
        <v>1147</v>
      </c>
      <c r="C511" s="15" t="s">
        <v>34</v>
      </c>
      <c r="D511" s="15" t="s">
        <v>411</v>
      </c>
      <c r="E511" s="19" t="s">
        <v>72</v>
      </c>
      <c r="F511" s="21" t="s">
        <v>1148</v>
      </c>
      <c r="G511" s="21" t="s">
        <v>74</v>
      </c>
      <c r="H511" s="17"/>
    </row>
    <row r="512">
      <c r="A512" s="15" t="s">
        <v>1149</v>
      </c>
      <c r="B512" s="15" t="s">
        <v>1150</v>
      </c>
      <c r="C512" s="15" t="s">
        <v>34</v>
      </c>
      <c r="D512" s="15" t="s">
        <v>411</v>
      </c>
      <c r="E512" s="19" t="s">
        <v>72</v>
      </c>
      <c r="F512" s="23" t="s">
        <v>1151</v>
      </c>
      <c r="G512" s="23" t="s">
        <v>74</v>
      </c>
      <c r="H512" s="17"/>
    </row>
    <row r="513">
      <c r="A513" s="15" t="s">
        <v>1152</v>
      </c>
      <c r="B513" s="15" t="s">
        <v>1153</v>
      </c>
      <c r="C513" s="15" t="s">
        <v>34</v>
      </c>
      <c r="D513" s="15" t="s">
        <v>411</v>
      </c>
      <c r="E513" s="23" t="s">
        <v>72</v>
      </c>
      <c r="F513" s="23" t="s">
        <v>1154</v>
      </c>
      <c r="G513" s="23" t="s">
        <v>556</v>
      </c>
      <c r="H513" s="17"/>
    </row>
    <row r="514">
      <c r="A514" s="15" t="s">
        <v>1155</v>
      </c>
      <c r="B514" s="15" t="s">
        <v>1156</v>
      </c>
      <c r="C514" s="15" t="s">
        <v>34</v>
      </c>
      <c r="D514" s="15" t="s">
        <v>411</v>
      </c>
      <c r="E514" s="19" t="s">
        <v>72</v>
      </c>
      <c r="F514" s="21" t="s">
        <v>1157</v>
      </c>
      <c r="G514" s="21" t="s">
        <v>74</v>
      </c>
      <c r="H514" s="17"/>
    </row>
    <row r="515">
      <c r="A515" s="15" t="s">
        <v>1158</v>
      </c>
      <c r="B515" s="15" t="s">
        <v>1159</v>
      </c>
      <c r="C515" s="15" t="s">
        <v>34</v>
      </c>
      <c r="D515" s="15" t="s">
        <v>411</v>
      </c>
      <c r="E515" s="19" t="s">
        <v>72</v>
      </c>
      <c r="F515" s="23" t="s">
        <v>1160</v>
      </c>
      <c r="G515" s="23" t="s">
        <v>74</v>
      </c>
      <c r="H515" s="17"/>
    </row>
    <row r="516">
      <c r="A516" s="15" t="s">
        <v>1161</v>
      </c>
      <c r="B516" s="15" t="s">
        <v>1162</v>
      </c>
      <c r="C516" s="15" t="s">
        <v>34</v>
      </c>
      <c r="D516" s="15" t="s">
        <v>411</v>
      </c>
      <c r="E516" s="19" t="s">
        <v>72</v>
      </c>
      <c r="F516" s="23" t="s">
        <v>1163</v>
      </c>
      <c r="G516" s="23" t="s">
        <v>74</v>
      </c>
      <c r="H516" s="17"/>
    </row>
    <row r="517">
      <c r="A517" s="15" t="s">
        <v>1164</v>
      </c>
      <c r="B517" s="15" t="s">
        <v>1165</v>
      </c>
      <c r="C517" s="15" t="s">
        <v>34</v>
      </c>
      <c r="D517" s="15" t="s">
        <v>411</v>
      </c>
      <c r="E517" s="23" t="s">
        <v>72</v>
      </c>
      <c r="F517" s="23" t="s">
        <v>1166</v>
      </c>
      <c r="G517" s="24" t="s">
        <v>74</v>
      </c>
      <c r="H517" s="17"/>
    </row>
    <row r="518">
      <c r="A518" s="15" t="s">
        <v>1167</v>
      </c>
      <c r="B518" s="15" t="s">
        <v>1168</v>
      </c>
      <c r="C518" s="15" t="s">
        <v>34</v>
      </c>
      <c r="D518" s="15" t="s">
        <v>411</v>
      </c>
      <c r="E518" s="19" t="s">
        <v>72</v>
      </c>
      <c r="F518" s="23" t="s">
        <v>1169</v>
      </c>
      <c r="G518" s="23" t="s">
        <v>74</v>
      </c>
      <c r="H518" s="17"/>
    </row>
    <row r="519">
      <c r="A519" s="15" t="s">
        <v>1170</v>
      </c>
      <c r="B519" s="15" t="s">
        <v>1171</v>
      </c>
      <c r="C519" s="15" t="s">
        <v>34</v>
      </c>
      <c r="D519" s="15" t="s">
        <v>411</v>
      </c>
      <c r="E519" s="19" t="s">
        <v>72</v>
      </c>
      <c r="F519" s="21" t="s">
        <v>1172</v>
      </c>
      <c r="G519" s="21" t="s">
        <v>74</v>
      </c>
      <c r="H519" s="17"/>
    </row>
    <row r="520">
      <c r="A520" s="15" t="s">
        <v>1173</v>
      </c>
      <c r="B520" s="15" t="s">
        <v>1174</v>
      </c>
      <c r="C520" s="15" t="s">
        <v>34</v>
      </c>
      <c r="D520" s="15" t="s">
        <v>411</v>
      </c>
      <c r="E520" s="19" t="s">
        <v>72</v>
      </c>
      <c r="F520" s="23" t="s">
        <v>1175</v>
      </c>
      <c r="G520" s="23" t="s">
        <v>74</v>
      </c>
      <c r="H520" s="17"/>
    </row>
    <row r="521">
      <c r="A521" s="15" t="s">
        <v>1176</v>
      </c>
      <c r="B521" s="15" t="s">
        <v>1177</v>
      </c>
      <c r="C521" s="15" t="s">
        <v>34</v>
      </c>
      <c r="D521" s="15" t="s">
        <v>411</v>
      </c>
      <c r="E521" s="19" t="s">
        <v>72</v>
      </c>
      <c r="F521" s="23" t="s">
        <v>1178</v>
      </c>
      <c r="G521" s="23" t="s">
        <v>74</v>
      </c>
      <c r="H521" s="17"/>
    </row>
    <row r="522">
      <c r="A522" s="15" t="s">
        <v>1179</v>
      </c>
      <c r="B522" s="15" t="s">
        <v>1180</v>
      </c>
      <c r="C522" s="15" t="s">
        <v>34</v>
      </c>
      <c r="D522" s="15" t="s">
        <v>411</v>
      </c>
      <c r="E522" s="19" t="s">
        <v>72</v>
      </c>
      <c r="F522" s="23" t="s">
        <v>1181</v>
      </c>
      <c r="G522" s="23" t="s">
        <v>74</v>
      </c>
      <c r="H522" s="17"/>
    </row>
    <row r="523">
      <c r="A523" s="15" t="s">
        <v>1182</v>
      </c>
      <c r="B523" s="15" t="s">
        <v>1183</v>
      </c>
      <c r="C523" s="15" t="s">
        <v>34</v>
      </c>
      <c r="D523" s="15" t="s">
        <v>411</v>
      </c>
      <c r="E523" s="19" t="s">
        <v>72</v>
      </c>
      <c r="F523" s="23" t="s">
        <v>1184</v>
      </c>
      <c r="G523" s="23" t="s">
        <v>74</v>
      </c>
      <c r="H523" s="17"/>
    </row>
    <row r="524">
      <c r="A524" s="15" t="s">
        <v>1185</v>
      </c>
      <c r="B524" s="15" t="s">
        <v>1186</v>
      </c>
      <c r="C524" s="15" t="s">
        <v>34</v>
      </c>
      <c r="D524" s="15" t="s">
        <v>411</v>
      </c>
      <c r="E524" s="19" t="s">
        <v>72</v>
      </c>
      <c r="F524" s="23" t="s">
        <v>1187</v>
      </c>
      <c r="G524" s="23" t="s">
        <v>74</v>
      </c>
      <c r="H524" s="17"/>
    </row>
    <row r="525">
      <c r="A525" s="15" t="s">
        <v>1188</v>
      </c>
      <c r="B525" s="15" t="s">
        <v>1189</v>
      </c>
      <c r="C525" s="15" t="s">
        <v>34</v>
      </c>
      <c r="D525" s="15" t="s">
        <v>411</v>
      </c>
      <c r="E525" s="19" t="s">
        <v>72</v>
      </c>
      <c r="F525" s="23" t="s">
        <v>1190</v>
      </c>
      <c r="G525" s="23" t="s">
        <v>74</v>
      </c>
      <c r="H525" s="17"/>
    </row>
    <row r="526">
      <c r="A526" s="15" t="s">
        <v>1191</v>
      </c>
      <c r="B526" s="15" t="s">
        <v>1192</v>
      </c>
      <c r="C526" s="15" t="s">
        <v>34</v>
      </c>
      <c r="D526" s="15" t="s">
        <v>411</v>
      </c>
      <c r="E526" s="19" t="s">
        <v>72</v>
      </c>
      <c r="F526" s="23" t="s">
        <v>1193</v>
      </c>
      <c r="G526" s="23" t="s">
        <v>74</v>
      </c>
      <c r="H526" s="17"/>
    </row>
    <row r="527">
      <c r="A527" s="15" t="s">
        <v>1194</v>
      </c>
      <c r="B527" s="15" t="s">
        <v>1195</v>
      </c>
      <c r="C527" s="15" t="s">
        <v>34</v>
      </c>
      <c r="D527" s="15" t="s">
        <v>411</v>
      </c>
      <c r="E527" s="19" t="s">
        <v>72</v>
      </c>
      <c r="F527" s="23" t="s">
        <v>1196</v>
      </c>
      <c r="G527" s="23" t="s">
        <v>74</v>
      </c>
      <c r="H527" s="17"/>
    </row>
    <row r="528">
      <c r="A528" s="15" t="s">
        <v>1197</v>
      </c>
      <c r="B528" s="15" t="s">
        <v>1198</v>
      </c>
      <c r="C528" s="15" t="s">
        <v>34</v>
      </c>
      <c r="D528" s="15" t="s">
        <v>411</v>
      </c>
      <c r="E528" s="19" t="s">
        <v>72</v>
      </c>
      <c r="F528" s="23" t="s">
        <v>1199</v>
      </c>
      <c r="G528" s="23" t="s">
        <v>74</v>
      </c>
      <c r="H528" s="17"/>
    </row>
    <row r="529">
      <c r="A529" s="15" t="s">
        <v>1200</v>
      </c>
      <c r="B529" s="15" t="s">
        <v>1201</v>
      </c>
      <c r="C529" s="15" t="s">
        <v>34</v>
      </c>
      <c r="D529" s="15" t="s">
        <v>411</v>
      </c>
      <c r="E529" s="19" t="s">
        <v>72</v>
      </c>
      <c r="F529" s="23" t="s">
        <v>1202</v>
      </c>
      <c r="G529" s="23" t="s">
        <v>74</v>
      </c>
      <c r="H529" s="17"/>
    </row>
    <row r="530">
      <c r="A530" s="15" t="s">
        <v>1203</v>
      </c>
      <c r="B530" s="15" t="s">
        <v>1204</v>
      </c>
      <c r="C530" s="15" t="s">
        <v>34</v>
      </c>
      <c r="D530" s="15" t="s">
        <v>411</v>
      </c>
      <c r="E530" s="19" t="s">
        <v>72</v>
      </c>
      <c r="F530" s="21" t="s">
        <v>1205</v>
      </c>
      <c r="G530" s="21" t="s">
        <v>74</v>
      </c>
      <c r="H530" s="17"/>
    </row>
    <row r="531">
      <c r="A531" s="15" t="s">
        <v>1206</v>
      </c>
      <c r="B531" s="15" t="s">
        <v>1207</v>
      </c>
      <c r="C531" s="15" t="s">
        <v>34</v>
      </c>
      <c r="D531" s="15" t="s">
        <v>411</v>
      </c>
      <c r="E531" s="19" t="s">
        <v>72</v>
      </c>
      <c r="F531" s="23" t="s">
        <v>1208</v>
      </c>
      <c r="G531" s="23" t="s">
        <v>74</v>
      </c>
      <c r="H531" s="17"/>
    </row>
    <row r="532">
      <c r="A532" s="15" t="s">
        <v>1209</v>
      </c>
      <c r="B532" s="15" t="s">
        <v>1210</v>
      </c>
      <c r="C532" s="15" t="s">
        <v>34</v>
      </c>
      <c r="D532" s="15" t="s">
        <v>411</v>
      </c>
      <c r="E532" s="19" t="s">
        <v>72</v>
      </c>
      <c r="F532" s="23" t="s">
        <v>1211</v>
      </c>
      <c r="G532" s="23" t="s">
        <v>74</v>
      </c>
      <c r="H532" s="17"/>
    </row>
    <row r="533">
      <c r="A533" s="15" t="s">
        <v>1212</v>
      </c>
      <c r="B533" s="15" t="s">
        <v>1213</v>
      </c>
      <c r="C533" s="15" t="s">
        <v>34</v>
      </c>
      <c r="D533" s="15" t="s">
        <v>411</v>
      </c>
      <c r="E533" s="19" t="s">
        <v>72</v>
      </c>
      <c r="F533" s="23" t="s">
        <v>1214</v>
      </c>
      <c r="G533" s="23" t="s">
        <v>74</v>
      </c>
      <c r="H533" s="17"/>
    </row>
    <row r="534">
      <c r="A534" s="15" t="s">
        <v>1215</v>
      </c>
      <c r="B534" s="15" t="s">
        <v>1216</v>
      </c>
      <c r="C534" s="15" t="s">
        <v>34</v>
      </c>
      <c r="D534" s="15" t="s">
        <v>411</v>
      </c>
      <c r="E534" s="19" t="s">
        <v>72</v>
      </c>
      <c r="F534" s="23" t="s">
        <v>1217</v>
      </c>
      <c r="G534" s="23" t="s">
        <v>74</v>
      </c>
      <c r="H534" s="17"/>
    </row>
    <row r="535">
      <c r="A535" s="15" t="s">
        <v>1218</v>
      </c>
      <c r="B535" s="15" t="s">
        <v>1219</v>
      </c>
      <c r="C535" s="15" t="s">
        <v>34</v>
      </c>
      <c r="D535" s="15" t="s">
        <v>411</v>
      </c>
      <c r="E535" s="19" t="s">
        <v>72</v>
      </c>
      <c r="F535" s="21" t="s">
        <v>1220</v>
      </c>
      <c r="G535" s="21" t="s">
        <v>1221</v>
      </c>
      <c r="H535" s="17"/>
    </row>
    <row r="536">
      <c r="A536" s="15" t="s">
        <v>1222</v>
      </c>
      <c r="B536" s="15" t="s">
        <v>1223</v>
      </c>
      <c r="C536" s="15" t="s">
        <v>34</v>
      </c>
      <c r="D536" s="15" t="s">
        <v>411</v>
      </c>
      <c r="E536" s="19" t="s">
        <v>72</v>
      </c>
      <c r="F536" s="23" t="s">
        <v>1224</v>
      </c>
      <c r="G536" s="23" t="s">
        <v>74</v>
      </c>
      <c r="H536" s="17"/>
    </row>
    <row r="537">
      <c r="A537" s="15" t="s">
        <v>1225</v>
      </c>
      <c r="B537" s="15" t="s">
        <v>1226</v>
      </c>
      <c r="C537" s="15" t="s">
        <v>34</v>
      </c>
      <c r="D537" s="15" t="s">
        <v>411</v>
      </c>
      <c r="E537" s="19" t="s">
        <v>72</v>
      </c>
      <c r="F537" s="21" t="s">
        <v>1227</v>
      </c>
      <c r="G537" s="21" t="s">
        <v>74</v>
      </c>
      <c r="H537" s="17"/>
    </row>
    <row r="538">
      <c r="A538" s="15" t="s">
        <v>1228</v>
      </c>
      <c r="B538" s="15" t="s">
        <v>1229</v>
      </c>
      <c r="C538" s="15" t="s">
        <v>34</v>
      </c>
      <c r="D538" s="15" t="s">
        <v>411</v>
      </c>
      <c r="E538" s="19" t="s">
        <v>72</v>
      </c>
      <c r="F538" s="23" t="s">
        <v>1230</v>
      </c>
      <c r="G538" s="23" t="s">
        <v>74</v>
      </c>
      <c r="H538" s="17"/>
    </row>
    <row r="539">
      <c r="A539" s="15" t="s">
        <v>1231</v>
      </c>
      <c r="B539" s="15" t="s">
        <v>1232</v>
      </c>
      <c r="C539" s="15" t="s">
        <v>34</v>
      </c>
      <c r="D539" s="15" t="s">
        <v>411</v>
      </c>
      <c r="E539" s="19" t="s">
        <v>72</v>
      </c>
      <c r="F539" s="21" t="s">
        <v>1233</v>
      </c>
      <c r="G539" s="21" t="s">
        <v>74</v>
      </c>
      <c r="H539" s="17"/>
    </row>
    <row r="540">
      <c r="A540" s="15" t="s">
        <v>1234</v>
      </c>
      <c r="B540" s="15" t="s">
        <v>1235</v>
      </c>
      <c r="C540" s="15" t="s">
        <v>34</v>
      </c>
      <c r="D540" s="15" t="s">
        <v>411</v>
      </c>
      <c r="E540" s="19" t="s">
        <v>72</v>
      </c>
      <c r="F540" s="23" t="s">
        <v>1236</v>
      </c>
      <c r="G540" s="23" t="s">
        <v>556</v>
      </c>
      <c r="H540" s="17"/>
    </row>
    <row r="541">
      <c r="A541" s="15" t="s">
        <v>1237</v>
      </c>
      <c r="B541" s="15" t="s">
        <v>1238</v>
      </c>
      <c r="C541" s="15" t="s">
        <v>34</v>
      </c>
      <c r="D541" s="15" t="s">
        <v>411</v>
      </c>
      <c r="E541" s="19" t="s">
        <v>72</v>
      </c>
      <c r="F541" s="23" t="s">
        <v>1239</v>
      </c>
      <c r="G541" s="23" t="s">
        <v>556</v>
      </c>
      <c r="H541" s="17"/>
    </row>
    <row r="542">
      <c r="A542" s="15" t="s">
        <v>1240</v>
      </c>
      <c r="B542" s="15" t="s">
        <v>1241</v>
      </c>
      <c r="C542" s="15" t="s">
        <v>34</v>
      </c>
      <c r="D542" s="15" t="s">
        <v>411</v>
      </c>
      <c r="E542" s="19" t="s">
        <v>72</v>
      </c>
      <c r="F542" s="23" t="s">
        <v>1242</v>
      </c>
      <c r="G542" s="23" t="s">
        <v>74</v>
      </c>
      <c r="H542" s="17"/>
    </row>
    <row r="543">
      <c r="A543" s="15" t="s">
        <v>1243</v>
      </c>
      <c r="B543" s="15" t="s">
        <v>1244</v>
      </c>
      <c r="C543" s="15" t="s">
        <v>34</v>
      </c>
      <c r="D543" s="15" t="s">
        <v>411</v>
      </c>
      <c r="E543" s="19" t="s">
        <v>72</v>
      </c>
      <c r="F543" s="23" t="s">
        <v>1245</v>
      </c>
      <c r="G543" s="23" t="s">
        <v>74</v>
      </c>
      <c r="H543" s="17"/>
    </row>
    <row r="544">
      <c r="A544" s="15" t="s">
        <v>1246</v>
      </c>
      <c r="B544" s="15" t="s">
        <v>1247</v>
      </c>
      <c r="C544" s="15" t="s">
        <v>34</v>
      </c>
      <c r="D544" s="15" t="s">
        <v>411</v>
      </c>
      <c r="E544" s="23" t="s">
        <v>72</v>
      </c>
      <c r="F544" s="23" t="s">
        <v>1248</v>
      </c>
      <c r="G544" s="23" t="s">
        <v>74</v>
      </c>
      <c r="H544" s="17"/>
    </row>
    <row r="545">
      <c r="A545" s="15" t="s">
        <v>1249</v>
      </c>
      <c r="B545" s="15" t="s">
        <v>1250</v>
      </c>
      <c r="C545" s="15" t="s">
        <v>34</v>
      </c>
      <c r="D545" s="15" t="s">
        <v>411</v>
      </c>
      <c r="E545" s="19" t="s">
        <v>72</v>
      </c>
      <c r="F545" s="23" t="s">
        <v>1251</v>
      </c>
      <c r="G545" s="23" t="s">
        <v>74</v>
      </c>
      <c r="H545" s="17"/>
    </row>
    <row r="546">
      <c r="A546" s="15" t="s">
        <v>1252</v>
      </c>
      <c r="B546" s="15" t="s">
        <v>1253</v>
      </c>
      <c r="C546" s="15" t="s">
        <v>34</v>
      </c>
      <c r="D546" s="15" t="s">
        <v>411</v>
      </c>
      <c r="E546" s="19" t="s">
        <v>72</v>
      </c>
      <c r="F546" s="23" t="s">
        <v>1254</v>
      </c>
      <c r="G546" s="23" t="s">
        <v>74</v>
      </c>
      <c r="H546" s="17"/>
    </row>
    <row r="547">
      <c r="A547" s="15" t="s">
        <v>1255</v>
      </c>
      <c r="B547" s="15" t="s">
        <v>1256</v>
      </c>
      <c r="C547" s="15" t="s">
        <v>34</v>
      </c>
      <c r="D547" s="15" t="s">
        <v>411</v>
      </c>
      <c r="E547" s="19" t="s">
        <v>72</v>
      </c>
      <c r="F547" s="23" t="s">
        <v>1257</v>
      </c>
      <c r="G547" s="23" t="s">
        <v>74</v>
      </c>
      <c r="H547" s="17"/>
    </row>
    <row r="548">
      <c r="A548" s="15" t="s">
        <v>1258</v>
      </c>
      <c r="B548" s="15" t="s">
        <v>1259</v>
      </c>
      <c r="C548" s="15" t="s">
        <v>34</v>
      </c>
      <c r="D548" s="15" t="s">
        <v>411</v>
      </c>
      <c r="E548" s="19" t="s">
        <v>72</v>
      </c>
      <c r="F548" s="23" t="s">
        <v>1260</v>
      </c>
      <c r="G548" s="23" t="s">
        <v>74</v>
      </c>
      <c r="H548" s="17"/>
    </row>
    <row r="549">
      <c r="A549" s="15" t="s">
        <v>1261</v>
      </c>
      <c r="B549" s="15" t="s">
        <v>1262</v>
      </c>
      <c r="C549" s="15" t="s">
        <v>34</v>
      </c>
      <c r="D549" s="15" t="s">
        <v>411</v>
      </c>
      <c r="E549" s="19" t="s">
        <v>72</v>
      </c>
      <c r="F549" s="23" t="s">
        <v>1263</v>
      </c>
      <c r="G549" s="23" t="s">
        <v>74</v>
      </c>
      <c r="H549" s="17"/>
    </row>
    <row r="550">
      <c r="A550" s="15" t="s">
        <v>1264</v>
      </c>
      <c r="B550" s="15" t="s">
        <v>1265</v>
      </c>
      <c r="C550" s="15" t="s">
        <v>34</v>
      </c>
      <c r="D550" s="15" t="s">
        <v>411</v>
      </c>
      <c r="E550" s="19" t="s">
        <v>72</v>
      </c>
      <c r="F550" s="23" t="s">
        <v>1266</v>
      </c>
      <c r="G550" s="23" t="s">
        <v>74</v>
      </c>
      <c r="H550" s="17"/>
    </row>
    <row r="551">
      <c r="A551" s="15" t="s">
        <v>1267</v>
      </c>
      <c r="B551" s="15" t="s">
        <v>1268</v>
      </c>
      <c r="C551" s="15" t="s">
        <v>34</v>
      </c>
      <c r="D551" s="15" t="s">
        <v>411</v>
      </c>
      <c r="E551" s="19" t="s">
        <v>72</v>
      </c>
      <c r="F551" s="23" t="s">
        <v>1269</v>
      </c>
      <c r="G551" s="23" t="s">
        <v>74</v>
      </c>
      <c r="H551" s="17"/>
    </row>
    <row r="552">
      <c r="A552" s="15" t="s">
        <v>1270</v>
      </c>
      <c r="B552" s="15" t="s">
        <v>1271</v>
      </c>
      <c r="C552" s="15" t="s">
        <v>34</v>
      </c>
      <c r="D552" s="15" t="s">
        <v>411</v>
      </c>
      <c r="E552" s="19" t="s">
        <v>72</v>
      </c>
      <c r="F552" s="23" t="s">
        <v>1272</v>
      </c>
      <c r="G552" s="23" t="s">
        <v>74</v>
      </c>
      <c r="H552" s="17"/>
    </row>
    <row r="553">
      <c r="A553" s="15" t="s">
        <v>1273</v>
      </c>
      <c r="B553" s="15" t="s">
        <v>1274</v>
      </c>
      <c r="C553" s="15" t="s">
        <v>34</v>
      </c>
      <c r="D553" s="15" t="s">
        <v>411</v>
      </c>
      <c r="E553" s="19" t="s">
        <v>72</v>
      </c>
      <c r="F553" s="21" t="s">
        <v>1275</v>
      </c>
      <c r="G553" s="21" t="s">
        <v>74</v>
      </c>
      <c r="H553" s="17"/>
    </row>
    <row r="554">
      <c r="A554" s="15" t="s">
        <v>1276</v>
      </c>
      <c r="B554" s="15" t="s">
        <v>1277</v>
      </c>
      <c r="C554" s="15" t="s">
        <v>34</v>
      </c>
      <c r="D554" s="15" t="s">
        <v>411</v>
      </c>
      <c r="E554" s="19" t="s">
        <v>72</v>
      </c>
      <c r="F554" s="23" t="s">
        <v>1278</v>
      </c>
      <c r="G554" s="23" t="s">
        <v>74</v>
      </c>
      <c r="H554" s="17"/>
    </row>
    <row r="555">
      <c r="A555" s="15" t="s">
        <v>1279</v>
      </c>
      <c r="B555" s="15" t="s">
        <v>1280</v>
      </c>
      <c r="C555" s="15" t="s">
        <v>34</v>
      </c>
      <c r="D555" s="15" t="s">
        <v>411</v>
      </c>
      <c r="E555" s="19" t="s">
        <v>72</v>
      </c>
      <c r="F555" s="23" t="s">
        <v>1281</v>
      </c>
      <c r="G555" s="23" t="s">
        <v>74</v>
      </c>
      <c r="H555" s="17"/>
    </row>
    <row r="556">
      <c r="A556" s="15" t="s">
        <v>1282</v>
      </c>
      <c r="B556" s="15" t="s">
        <v>1283</v>
      </c>
      <c r="C556" s="15" t="s">
        <v>34</v>
      </c>
      <c r="D556" s="15" t="s">
        <v>411</v>
      </c>
      <c r="E556" s="19" t="s">
        <v>72</v>
      </c>
      <c r="F556" s="23" t="s">
        <v>1284</v>
      </c>
      <c r="G556" s="23" t="s">
        <v>74</v>
      </c>
      <c r="H556" s="17"/>
    </row>
    <row r="557">
      <c r="A557" s="15" t="s">
        <v>1285</v>
      </c>
      <c r="B557" s="15" t="s">
        <v>1286</v>
      </c>
      <c r="C557" s="15" t="s">
        <v>34</v>
      </c>
      <c r="D557" s="15" t="s">
        <v>411</v>
      </c>
      <c r="E557" s="19" t="s">
        <v>72</v>
      </c>
      <c r="F557" s="23" t="s">
        <v>1287</v>
      </c>
      <c r="G557" s="23" t="s">
        <v>74</v>
      </c>
      <c r="H557" s="17"/>
    </row>
    <row r="558">
      <c r="A558" s="15" t="s">
        <v>1288</v>
      </c>
      <c r="B558" s="15" t="s">
        <v>1289</v>
      </c>
      <c r="C558" s="15" t="s">
        <v>34</v>
      </c>
      <c r="D558" s="15" t="s">
        <v>411</v>
      </c>
      <c r="E558" s="19" t="s">
        <v>72</v>
      </c>
      <c r="F558" s="23" t="s">
        <v>1290</v>
      </c>
      <c r="G558" s="23" t="s">
        <v>74</v>
      </c>
      <c r="H558" s="17"/>
    </row>
    <row r="559">
      <c r="A559" s="15" t="s">
        <v>1291</v>
      </c>
      <c r="B559" s="15" t="s">
        <v>1292</v>
      </c>
      <c r="C559" s="15" t="s">
        <v>34</v>
      </c>
      <c r="D559" s="15" t="s">
        <v>411</v>
      </c>
      <c r="E559" s="19" t="s">
        <v>72</v>
      </c>
      <c r="F559" s="23" t="s">
        <v>1293</v>
      </c>
      <c r="G559" s="23" t="s">
        <v>74</v>
      </c>
      <c r="H559" s="17"/>
    </row>
    <row r="560">
      <c r="A560" s="15" t="s">
        <v>1294</v>
      </c>
      <c r="B560" s="15" t="s">
        <v>1295</v>
      </c>
      <c r="C560" s="15" t="s">
        <v>34</v>
      </c>
      <c r="D560" s="15" t="s">
        <v>411</v>
      </c>
      <c r="E560" s="19" t="s">
        <v>72</v>
      </c>
      <c r="F560" s="23" t="s">
        <v>1296</v>
      </c>
      <c r="G560" s="23" t="s">
        <v>74</v>
      </c>
      <c r="H560" s="17"/>
    </row>
    <row r="561">
      <c r="A561" s="15" t="s">
        <v>1297</v>
      </c>
      <c r="B561" s="15" t="s">
        <v>1298</v>
      </c>
      <c r="C561" s="15" t="s">
        <v>34</v>
      </c>
      <c r="D561" s="15" t="s">
        <v>411</v>
      </c>
      <c r="E561" s="19" t="s">
        <v>72</v>
      </c>
      <c r="F561" s="23" t="s">
        <v>1299</v>
      </c>
      <c r="G561" s="23" t="s">
        <v>74</v>
      </c>
      <c r="H561" s="17"/>
    </row>
    <row r="562">
      <c r="A562" s="15" t="s">
        <v>1300</v>
      </c>
      <c r="B562" s="15" t="s">
        <v>1301</v>
      </c>
      <c r="C562" s="15" t="s">
        <v>34</v>
      </c>
      <c r="D562" s="15" t="s">
        <v>411</v>
      </c>
      <c r="E562" s="19" t="s">
        <v>72</v>
      </c>
      <c r="F562" s="23" t="s">
        <v>1302</v>
      </c>
      <c r="G562" s="23" t="s">
        <v>74</v>
      </c>
      <c r="H562" s="17"/>
    </row>
    <row r="563">
      <c r="A563" s="15" t="s">
        <v>1303</v>
      </c>
      <c r="B563" s="15" t="s">
        <v>1304</v>
      </c>
      <c r="C563" s="15" t="s">
        <v>34</v>
      </c>
      <c r="D563" s="15" t="s">
        <v>411</v>
      </c>
      <c r="E563" s="19" t="s">
        <v>72</v>
      </c>
      <c r="F563" s="23" t="s">
        <v>1305</v>
      </c>
      <c r="G563" s="23" t="s">
        <v>74</v>
      </c>
      <c r="H563" s="17"/>
    </row>
    <row r="564">
      <c r="A564" s="15" t="s">
        <v>1306</v>
      </c>
      <c r="B564" s="15" t="s">
        <v>1307</v>
      </c>
      <c r="C564" s="15" t="s">
        <v>34</v>
      </c>
      <c r="D564" s="15" t="s">
        <v>411</v>
      </c>
      <c r="E564" s="19" t="s">
        <v>72</v>
      </c>
      <c r="F564" s="23" t="s">
        <v>1308</v>
      </c>
      <c r="G564" s="23" t="s">
        <v>74</v>
      </c>
      <c r="H564" s="17"/>
    </row>
    <row r="565">
      <c r="A565" s="15" t="s">
        <v>1309</v>
      </c>
      <c r="B565" s="15" t="s">
        <v>1310</v>
      </c>
      <c r="C565" s="15" t="s">
        <v>34</v>
      </c>
      <c r="D565" s="15" t="s">
        <v>411</v>
      </c>
      <c r="E565" s="19" t="s">
        <v>72</v>
      </c>
      <c r="F565" s="23" t="s">
        <v>1311</v>
      </c>
      <c r="G565" s="23" t="s">
        <v>74</v>
      </c>
      <c r="H565" s="17"/>
    </row>
    <row r="566">
      <c r="A566" s="15" t="s">
        <v>1312</v>
      </c>
      <c r="B566" s="15" t="s">
        <v>1313</v>
      </c>
      <c r="C566" s="15" t="s">
        <v>34</v>
      </c>
      <c r="D566" s="15" t="s">
        <v>411</v>
      </c>
      <c r="E566" s="19" t="s">
        <v>72</v>
      </c>
      <c r="F566" s="23" t="s">
        <v>1314</v>
      </c>
      <c r="G566" s="23" t="s">
        <v>74</v>
      </c>
      <c r="H566" s="17"/>
    </row>
    <row r="567">
      <c r="A567" s="15" t="s">
        <v>1315</v>
      </c>
      <c r="B567" s="15" t="s">
        <v>1316</v>
      </c>
      <c r="C567" s="15" t="s">
        <v>34</v>
      </c>
      <c r="D567" s="15" t="s">
        <v>411</v>
      </c>
      <c r="E567" s="19" t="s">
        <v>72</v>
      </c>
      <c r="F567" s="23" t="s">
        <v>1317</v>
      </c>
      <c r="G567" s="23" t="s">
        <v>74</v>
      </c>
      <c r="H567" s="17"/>
    </row>
    <row r="568">
      <c r="A568" s="15" t="s">
        <v>1318</v>
      </c>
      <c r="B568" s="15" t="s">
        <v>1319</v>
      </c>
      <c r="C568" s="15" t="s">
        <v>34</v>
      </c>
      <c r="D568" s="15" t="s">
        <v>411</v>
      </c>
      <c r="E568" s="19" t="s">
        <v>72</v>
      </c>
      <c r="F568" s="23" t="s">
        <v>1320</v>
      </c>
      <c r="G568" s="23" t="s">
        <v>74</v>
      </c>
      <c r="H568" s="17"/>
    </row>
    <row r="569">
      <c r="A569" s="15" t="s">
        <v>1321</v>
      </c>
      <c r="B569" s="15" t="s">
        <v>1322</v>
      </c>
      <c r="C569" s="15" t="s">
        <v>34</v>
      </c>
      <c r="D569" s="15" t="s">
        <v>411</v>
      </c>
      <c r="E569" s="19" t="s">
        <v>72</v>
      </c>
      <c r="F569" s="21" t="s">
        <v>1323</v>
      </c>
      <c r="G569" s="21" t="s">
        <v>74</v>
      </c>
      <c r="H569" s="17"/>
    </row>
    <row r="570">
      <c r="A570" s="15" t="s">
        <v>1324</v>
      </c>
      <c r="B570" s="15" t="s">
        <v>1325</v>
      </c>
      <c r="C570" s="15" t="s">
        <v>34</v>
      </c>
      <c r="D570" s="15" t="s">
        <v>411</v>
      </c>
      <c r="E570" s="19" t="s">
        <v>72</v>
      </c>
      <c r="F570" s="23" t="s">
        <v>1326</v>
      </c>
      <c r="G570" s="23" t="s">
        <v>74</v>
      </c>
      <c r="H570" s="17"/>
    </row>
    <row r="571">
      <c r="A571" s="15" t="s">
        <v>1327</v>
      </c>
      <c r="B571" s="15" t="s">
        <v>1328</v>
      </c>
      <c r="C571" s="15" t="s">
        <v>34</v>
      </c>
      <c r="D571" s="15" t="s">
        <v>411</v>
      </c>
      <c r="E571" s="19" t="s">
        <v>72</v>
      </c>
      <c r="F571" s="23" t="s">
        <v>1329</v>
      </c>
      <c r="G571" s="23" t="s">
        <v>74</v>
      </c>
      <c r="H571" s="17"/>
    </row>
    <row r="572">
      <c r="A572" s="15" t="s">
        <v>1330</v>
      </c>
      <c r="B572" s="15" t="s">
        <v>1331</v>
      </c>
      <c r="C572" s="15" t="s">
        <v>34</v>
      </c>
      <c r="D572" s="15" t="s">
        <v>411</v>
      </c>
      <c r="E572" s="21" t="s">
        <v>195</v>
      </c>
      <c r="F572" s="23">
        <v>7425660.0</v>
      </c>
      <c r="G572" s="23" t="s">
        <v>556</v>
      </c>
      <c r="H572" s="17"/>
    </row>
    <row r="573">
      <c r="A573" s="15" t="s">
        <v>1332</v>
      </c>
      <c r="B573" s="15" t="s">
        <v>1333</v>
      </c>
      <c r="C573" s="15" t="s">
        <v>34</v>
      </c>
      <c r="D573" s="15" t="s">
        <v>411</v>
      </c>
      <c r="E573" s="19" t="s">
        <v>72</v>
      </c>
      <c r="F573" s="23" t="s">
        <v>1334</v>
      </c>
      <c r="G573" s="23" t="s">
        <v>74</v>
      </c>
      <c r="H573" s="17"/>
    </row>
    <row r="574">
      <c r="A574" s="15" t="s">
        <v>1335</v>
      </c>
      <c r="B574" s="15" t="s">
        <v>1336</v>
      </c>
      <c r="C574" s="15" t="s">
        <v>34</v>
      </c>
      <c r="D574" s="15" t="s">
        <v>411</v>
      </c>
      <c r="E574" s="19" t="s">
        <v>72</v>
      </c>
      <c r="F574" s="23" t="s">
        <v>1337</v>
      </c>
      <c r="G574" s="23" t="s">
        <v>74</v>
      </c>
      <c r="H574" s="17"/>
    </row>
    <row r="575">
      <c r="A575" s="15" t="s">
        <v>1338</v>
      </c>
      <c r="B575" s="15" t="s">
        <v>1339</v>
      </c>
      <c r="C575" s="15" t="s">
        <v>34</v>
      </c>
      <c r="D575" s="15" t="s">
        <v>411</v>
      </c>
      <c r="E575" s="19" t="s">
        <v>72</v>
      </c>
      <c r="F575" s="23" t="s">
        <v>1340</v>
      </c>
      <c r="G575" s="23" t="s">
        <v>74</v>
      </c>
      <c r="H575" s="17"/>
    </row>
    <row r="576">
      <c r="A576" s="15" t="s">
        <v>1341</v>
      </c>
      <c r="B576" s="15" t="s">
        <v>1342</v>
      </c>
      <c r="C576" s="15" t="s">
        <v>34</v>
      </c>
      <c r="D576" s="15" t="s">
        <v>411</v>
      </c>
      <c r="E576" s="19" t="s">
        <v>72</v>
      </c>
      <c r="F576" s="23" t="s">
        <v>1343</v>
      </c>
      <c r="G576" s="23" t="s">
        <v>74</v>
      </c>
      <c r="H576" s="17"/>
    </row>
    <row r="577">
      <c r="A577" s="15" t="s">
        <v>1344</v>
      </c>
      <c r="B577" s="15" t="s">
        <v>1345</v>
      </c>
      <c r="C577" s="15" t="s">
        <v>34</v>
      </c>
      <c r="D577" s="15" t="s">
        <v>411</v>
      </c>
      <c r="E577" s="19" t="s">
        <v>72</v>
      </c>
      <c r="F577" s="23" t="s">
        <v>1346</v>
      </c>
      <c r="G577" s="23" t="s">
        <v>74</v>
      </c>
      <c r="H577" s="17"/>
    </row>
    <row r="578">
      <c r="A578" s="15" t="s">
        <v>1347</v>
      </c>
      <c r="B578" s="15" t="s">
        <v>1348</v>
      </c>
      <c r="C578" s="15" t="s">
        <v>34</v>
      </c>
      <c r="D578" s="15" t="s">
        <v>411</v>
      </c>
      <c r="E578" s="19" t="s">
        <v>72</v>
      </c>
      <c r="F578" s="23" t="s">
        <v>1349</v>
      </c>
      <c r="G578" s="23" t="s">
        <v>74</v>
      </c>
      <c r="H578" s="17"/>
    </row>
    <row r="579">
      <c r="A579" s="15" t="s">
        <v>1350</v>
      </c>
      <c r="B579" s="15" t="s">
        <v>1351</v>
      </c>
      <c r="C579" s="15" t="s">
        <v>34</v>
      </c>
      <c r="D579" s="15" t="s">
        <v>411</v>
      </c>
      <c r="E579" s="19" t="s">
        <v>72</v>
      </c>
      <c r="F579" s="23" t="s">
        <v>1352</v>
      </c>
      <c r="G579" s="23" t="s">
        <v>74</v>
      </c>
      <c r="H579" s="17"/>
    </row>
    <row r="580">
      <c r="A580" s="15" t="s">
        <v>1353</v>
      </c>
      <c r="B580" s="15" t="s">
        <v>1354</v>
      </c>
      <c r="C580" s="15" t="s">
        <v>34</v>
      </c>
      <c r="D580" s="15" t="s">
        <v>411</v>
      </c>
      <c r="E580" s="19" t="s">
        <v>72</v>
      </c>
      <c r="F580" s="23" t="s">
        <v>1355</v>
      </c>
      <c r="G580" s="23" t="s">
        <v>74</v>
      </c>
      <c r="H580" s="17"/>
    </row>
    <row r="581">
      <c r="A581" s="15" t="s">
        <v>1356</v>
      </c>
      <c r="B581" s="15" t="s">
        <v>1357</v>
      </c>
      <c r="C581" s="15" t="s">
        <v>34</v>
      </c>
      <c r="D581" s="15" t="s">
        <v>411</v>
      </c>
      <c r="E581" s="19" t="s">
        <v>72</v>
      </c>
      <c r="F581" s="23" t="s">
        <v>1358</v>
      </c>
      <c r="G581" s="23" t="s">
        <v>74</v>
      </c>
      <c r="H581" s="17"/>
    </row>
    <row r="582">
      <c r="A582" s="15" t="s">
        <v>1359</v>
      </c>
      <c r="B582" s="15" t="s">
        <v>1360</v>
      </c>
      <c r="C582" s="15" t="s">
        <v>34</v>
      </c>
      <c r="D582" s="15" t="s">
        <v>411</v>
      </c>
      <c r="E582" s="19" t="s">
        <v>72</v>
      </c>
      <c r="F582" s="23" t="s">
        <v>1361</v>
      </c>
      <c r="G582" s="23" t="s">
        <v>74</v>
      </c>
      <c r="H582" s="17"/>
    </row>
    <row r="583">
      <c r="A583" s="15" t="s">
        <v>1362</v>
      </c>
      <c r="B583" s="15" t="s">
        <v>1363</v>
      </c>
      <c r="C583" s="15" t="s">
        <v>34</v>
      </c>
      <c r="D583" s="15" t="s">
        <v>411</v>
      </c>
      <c r="E583" s="19" t="s">
        <v>72</v>
      </c>
      <c r="F583" s="23" t="s">
        <v>1364</v>
      </c>
      <c r="G583" s="23" t="s">
        <v>74</v>
      </c>
      <c r="H583" s="17"/>
    </row>
    <row r="584">
      <c r="A584" s="15" t="s">
        <v>1365</v>
      </c>
      <c r="B584" s="15" t="s">
        <v>1366</v>
      </c>
      <c r="C584" s="15" t="s">
        <v>34</v>
      </c>
      <c r="D584" s="15" t="s">
        <v>411</v>
      </c>
      <c r="E584" s="19" t="s">
        <v>72</v>
      </c>
      <c r="F584" s="23" t="s">
        <v>1317</v>
      </c>
      <c r="G584" s="23" t="s">
        <v>74</v>
      </c>
      <c r="H584" s="17"/>
    </row>
    <row r="585">
      <c r="A585" s="15" t="s">
        <v>1367</v>
      </c>
      <c r="B585" s="15" t="s">
        <v>1368</v>
      </c>
      <c r="C585" s="15" t="s">
        <v>34</v>
      </c>
      <c r="D585" s="15" t="s">
        <v>411</v>
      </c>
      <c r="E585" s="19" t="s">
        <v>72</v>
      </c>
      <c r="F585" s="23" t="s">
        <v>1369</v>
      </c>
      <c r="G585" s="23" t="s">
        <v>74</v>
      </c>
      <c r="H585" s="17"/>
    </row>
    <row r="586">
      <c r="A586" s="15" t="s">
        <v>1370</v>
      </c>
      <c r="B586" s="15" t="s">
        <v>1371</v>
      </c>
      <c r="C586" s="15" t="s">
        <v>34</v>
      </c>
      <c r="D586" s="15" t="s">
        <v>411</v>
      </c>
      <c r="E586" s="19" t="s">
        <v>72</v>
      </c>
      <c r="F586" s="23" t="s">
        <v>1372</v>
      </c>
      <c r="G586" s="23" t="s">
        <v>74</v>
      </c>
      <c r="H586" s="17"/>
    </row>
    <row r="587">
      <c r="A587" s="15" t="s">
        <v>1373</v>
      </c>
      <c r="B587" s="15" t="s">
        <v>1374</v>
      </c>
      <c r="C587" s="15" t="s">
        <v>34</v>
      </c>
      <c r="D587" s="15" t="s">
        <v>411</v>
      </c>
      <c r="E587" s="19" t="s">
        <v>72</v>
      </c>
      <c r="F587" s="21" t="s">
        <v>1375</v>
      </c>
      <c r="G587" s="21" t="s">
        <v>74</v>
      </c>
      <c r="H587" s="17"/>
    </row>
    <row r="588">
      <c r="A588" s="15" t="s">
        <v>1376</v>
      </c>
      <c r="B588" s="15" t="s">
        <v>1377</v>
      </c>
      <c r="C588" s="15" t="s">
        <v>34</v>
      </c>
      <c r="D588" s="15" t="s">
        <v>411</v>
      </c>
      <c r="E588" s="19" t="s">
        <v>72</v>
      </c>
      <c r="F588" s="23" t="s">
        <v>1378</v>
      </c>
      <c r="G588" s="23" t="s">
        <v>74</v>
      </c>
      <c r="H588" s="17"/>
    </row>
    <row r="589">
      <c r="A589" s="15" t="s">
        <v>1379</v>
      </c>
      <c r="B589" s="15" t="s">
        <v>1380</v>
      </c>
      <c r="C589" s="15" t="s">
        <v>34</v>
      </c>
      <c r="D589" s="15" t="s">
        <v>411</v>
      </c>
      <c r="E589" s="19" t="s">
        <v>72</v>
      </c>
      <c r="F589" s="23" t="s">
        <v>1381</v>
      </c>
      <c r="G589" s="23" t="s">
        <v>74</v>
      </c>
      <c r="H589" s="17"/>
    </row>
    <row r="590">
      <c r="A590" s="15" t="s">
        <v>1382</v>
      </c>
      <c r="B590" s="15" t="s">
        <v>1383</v>
      </c>
      <c r="C590" s="15" t="s">
        <v>34</v>
      </c>
      <c r="D590" s="15" t="s">
        <v>411</v>
      </c>
      <c r="E590" s="19" t="s">
        <v>72</v>
      </c>
      <c r="F590" s="23" t="s">
        <v>1384</v>
      </c>
      <c r="G590" s="23" t="s">
        <v>74</v>
      </c>
      <c r="H590" s="17"/>
    </row>
    <row r="591">
      <c r="A591" s="15" t="s">
        <v>1385</v>
      </c>
      <c r="B591" s="15" t="s">
        <v>1386</v>
      </c>
      <c r="C591" s="15" t="s">
        <v>34</v>
      </c>
      <c r="D591" s="15" t="s">
        <v>411</v>
      </c>
      <c r="E591" s="19" t="s">
        <v>72</v>
      </c>
      <c r="F591" s="23" t="s">
        <v>1387</v>
      </c>
      <c r="G591" s="23" t="s">
        <v>74</v>
      </c>
      <c r="H591" s="17"/>
    </row>
    <row r="592">
      <c r="A592" s="15" t="s">
        <v>1388</v>
      </c>
      <c r="B592" s="15" t="s">
        <v>1389</v>
      </c>
      <c r="C592" s="15" t="s">
        <v>34</v>
      </c>
      <c r="D592" s="15" t="s">
        <v>411</v>
      </c>
      <c r="E592" s="19" t="s">
        <v>72</v>
      </c>
      <c r="F592" s="23" t="s">
        <v>1390</v>
      </c>
      <c r="G592" s="23" t="s">
        <v>74</v>
      </c>
      <c r="H592" s="17"/>
    </row>
    <row r="593">
      <c r="A593" s="15" t="s">
        <v>1391</v>
      </c>
      <c r="B593" s="15" t="s">
        <v>1392</v>
      </c>
      <c r="C593" s="15" t="s">
        <v>34</v>
      </c>
      <c r="D593" s="15" t="s">
        <v>411</v>
      </c>
      <c r="E593" s="19" t="s">
        <v>72</v>
      </c>
      <c r="F593" s="23" t="s">
        <v>1393</v>
      </c>
      <c r="G593" s="23" t="s">
        <v>74</v>
      </c>
      <c r="H593" s="17"/>
    </row>
    <row r="594">
      <c r="A594" s="15" t="s">
        <v>1394</v>
      </c>
      <c r="B594" s="15" t="s">
        <v>1395</v>
      </c>
      <c r="C594" s="15" t="s">
        <v>34</v>
      </c>
      <c r="D594" s="15" t="s">
        <v>411</v>
      </c>
      <c r="E594" s="19" t="s">
        <v>72</v>
      </c>
      <c r="F594" s="23" t="s">
        <v>1396</v>
      </c>
      <c r="G594" s="23" t="s">
        <v>74</v>
      </c>
      <c r="H594" s="17"/>
    </row>
    <row r="595">
      <c r="A595" s="15" t="s">
        <v>1397</v>
      </c>
      <c r="B595" s="15" t="s">
        <v>1398</v>
      </c>
      <c r="C595" s="15" t="s">
        <v>34</v>
      </c>
      <c r="D595" s="15" t="s">
        <v>411</v>
      </c>
      <c r="E595" s="19" t="s">
        <v>72</v>
      </c>
      <c r="F595" s="23" t="s">
        <v>1399</v>
      </c>
      <c r="G595" s="23" t="s">
        <v>74</v>
      </c>
      <c r="H595" s="17"/>
    </row>
    <row r="596">
      <c r="A596" s="15" t="s">
        <v>1400</v>
      </c>
      <c r="B596" s="15" t="s">
        <v>1401</v>
      </c>
      <c r="C596" s="15" t="s">
        <v>34</v>
      </c>
      <c r="D596" s="15" t="s">
        <v>411</v>
      </c>
      <c r="E596" s="19" t="s">
        <v>72</v>
      </c>
      <c r="F596" s="23" t="s">
        <v>1402</v>
      </c>
      <c r="G596" s="23" t="s">
        <v>74</v>
      </c>
      <c r="H596" s="17"/>
    </row>
    <row r="597">
      <c r="A597" s="15" t="s">
        <v>1403</v>
      </c>
      <c r="B597" s="15" t="s">
        <v>1404</v>
      </c>
      <c r="C597" s="15" t="s">
        <v>34</v>
      </c>
      <c r="D597" s="15" t="s">
        <v>411</v>
      </c>
      <c r="E597" s="19" t="s">
        <v>72</v>
      </c>
      <c r="F597" s="23" t="s">
        <v>1405</v>
      </c>
      <c r="G597" s="23" t="s">
        <v>74</v>
      </c>
      <c r="H597" s="17"/>
    </row>
    <row r="598">
      <c r="A598" s="15" t="s">
        <v>1406</v>
      </c>
      <c r="B598" s="15" t="s">
        <v>1407</v>
      </c>
      <c r="C598" s="15" t="s">
        <v>34</v>
      </c>
      <c r="D598" s="15" t="s">
        <v>411</v>
      </c>
      <c r="E598" s="19" t="s">
        <v>72</v>
      </c>
      <c r="F598" s="23" t="s">
        <v>1408</v>
      </c>
      <c r="G598" s="23" t="s">
        <v>74</v>
      </c>
      <c r="H598" s="17"/>
    </row>
    <row r="599">
      <c r="A599" s="15" t="s">
        <v>1409</v>
      </c>
      <c r="B599" s="15" t="s">
        <v>1410</v>
      </c>
      <c r="C599" s="15" t="s">
        <v>34</v>
      </c>
      <c r="D599" s="15" t="s">
        <v>411</v>
      </c>
      <c r="E599" s="19" t="s">
        <v>72</v>
      </c>
      <c r="F599" s="23" t="s">
        <v>1411</v>
      </c>
      <c r="G599" s="23" t="s">
        <v>74</v>
      </c>
      <c r="H599" s="17"/>
    </row>
    <row r="600">
      <c r="A600" s="15" t="s">
        <v>1412</v>
      </c>
      <c r="B600" s="15" t="s">
        <v>1413</v>
      </c>
      <c r="C600" s="15" t="s">
        <v>34</v>
      </c>
      <c r="D600" s="15" t="s">
        <v>411</v>
      </c>
      <c r="E600" s="19" t="s">
        <v>72</v>
      </c>
      <c r="F600" s="23" t="s">
        <v>1414</v>
      </c>
      <c r="G600" s="23" t="s">
        <v>74</v>
      </c>
      <c r="H600" s="17"/>
    </row>
    <row r="601">
      <c r="A601" s="15" t="s">
        <v>1415</v>
      </c>
      <c r="B601" s="15" t="s">
        <v>1416</v>
      </c>
      <c r="C601" s="15" t="s">
        <v>34</v>
      </c>
      <c r="D601" s="15" t="s">
        <v>411</v>
      </c>
      <c r="E601" s="19" t="s">
        <v>72</v>
      </c>
      <c r="F601" s="23" t="s">
        <v>1417</v>
      </c>
      <c r="G601" s="23" t="s">
        <v>74</v>
      </c>
      <c r="H601" s="17"/>
    </row>
    <row r="602">
      <c r="A602" s="15" t="s">
        <v>1418</v>
      </c>
      <c r="B602" s="15" t="s">
        <v>1419</v>
      </c>
      <c r="C602" s="15" t="s">
        <v>34</v>
      </c>
      <c r="D602" s="15" t="s">
        <v>411</v>
      </c>
      <c r="E602" s="19" t="s">
        <v>72</v>
      </c>
      <c r="F602" s="23" t="s">
        <v>1420</v>
      </c>
      <c r="G602" s="23" t="s">
        <v>74</v>
      </c>
      <c r="H602" s="17"/>
    </row>
    <row r="603">
      <c r="A603" s="15" t="s">
        <v>1421</v>
      </c>
      <c r="B603" s="15" t="s">
        <v>1422</v>
      </c>
      <c r="C603" s="15" t="s">
        <v>34</v>
      </c>
      <c r="D603" s="15" t="s">
        <v>411</v>
      </c>
      <c r="E603" s="19" t="s">
        <v>72</v>
      </c>
      <c r="F603" s="23" t="s">
        <v>1423</v>
      </c>
      <c r="G603" s="23" t="s">
        <v>74</v>
      </c>
      <c r="H603" s="17"/>
    </row>
    <row r="604">
      <c r="A604" s="15" t="s">
        <v>1424</v>
      </c>
      <c r="B604" s="15" t="s">
        <v>1425</v>
      </c>
      <c r="C604" s="15" t="s">
        <v>34</v>
      </c>
      <c r="D604" s="15" t="s">
        <v>411</v>
      </c>
      <c r="E604" s="19" t="s">
        <v>72</v>
      </c>
      <c r="F604" s="23" t="s">
        <v>1426</v>
      </c>
      <c r="G604" s="23" t="s">
        <v>74</v>
      </c>
      <c r="H604" s="17"/>
    </row>
    <row r="605">
      <c r="A605" s="15" t="s">
        <v>1427</v>
      </c>
      <c r="B605" s="15" t="s">
        <v>1428</v>
      </c>
      <c r="C605" s="15" t="s">
        <v>34</v>
      </c>
      <c r="D605" s="15" t="s">
        <v>411</v>
      </c>
      <c r="E605" s="19" t="s">
        <v>72</v>
      </c>
      <c r="F605" s="23" t="s">
        <v>1429</v>
      </c>
      <c r="G605" s="23" t="s">
        <v>74</v>
      </c>
      <c r="H605" s="17"/>
    </row>
    <row r="606">
      <c r="A606" s="15" t="s">
        <v>1430</v>
      </c>
      <c r="B606" s="15" t="s">
        <v>1431</v>
      </c>
      <c r="C606" s="15" t="s">
        <v>34</v>
      </c>
      <c r="D606" s="15" t="s">
        <v>411</v>
      </c>
      <c r="E606" s="19" t="s">
        <v>72</v>
      </c>
      <c r="F606" s="23" t="s">
        <v>1432</v>
      </c>
      <c r="G606" s="23" t="s">
        <v>74</v>
      </c>
      <c r="H606" s="17"/>
    </row>
    <row r="607">
      <c r="A607" s="15" t="s">
        <v>1433</v>
      </c>
      <c r="B607" s="15" t="s">
        <v>1434</v>
      </c>
      <c r="C607" s="15" t="s">
        <v>34</v>
      </c>
      <c r="D607" s="15" t="s">
        <v>411</v>
      </c>
      <c r="E607" s="19" t="s">
        <v>72</v>
      </c>
      <c r="F607" s="23" t="s">
        <v>1435</v>
      </c>
      <c r="G607" s="23" t="s">
        <v>74</v>
      </c>
      <c r="H607" s="17"/>
    </row>
    <row r="608">
      <c r="A608" s="15" t="s">
        <v>1436</v>
      </c>
      <c r="B608" s="15" t="s">
        <v>1437</v>
      </c>
      <c r="C608" s="15" t="s">
        <v>34</v>
      </c>
      <c r="D608" s="15" t="s">
        <v>411</v>
      </c>
      <c r="E608" s="19" t="s">
        <v>72</v>
      </c>
      <c r="F608" s="23" t="s">
        <v>1438</v>
      </c>
      <c r="G608" s="23" t="s">
        <v>74</v>
      </c>
      <c r="H608" s="17"/>
    </row>
    <row r="609">
      <c r="A609" s="15" t="s">
        <v>1439</v>
      </c>
      <c r="B609" s="15" t="s">
        <v>1440</v>
      </c>
      <c r="C609" s="15" t="s">
        <v>34</v>
      </c>
      <c r="D609" s="15" t="s">
        <v>411</v>
      </c>
      <c r="E609" s="19" t="s">
        <v>72</v>
      </c>
      <c r="F609" s="21" t="s">
        <v>1441</v>
      </c>
      <c r="G609" s="21" t="s">
        <v>74</v>
      </c>
      <c r="H609" s="17"/>
    </row>
    <row r="610">
      <c r="A610" s="15" t="s">
        <v>1442</v>
      </c>
      <c r="B610" s="15" t="s">
        <v>1443</v>
      </c>
      <c r="C610" s="15" t="s">
        <v>34</v>
      </c>
      <c r="D610" s="15" t="s">
        <v>411</v>
      </c>
      <c r="E610" s="19" t="s">
        <v>72</v>
      </c>
      <c r="F610" s="23" t="s">
        <v>1444</v>
      </c>
      <c r="G610" s="23" t="s">
        <v>74</v>
      </c>
      <c r="H610" s="17"/>
    </row>
    <row r="611">
      <c r="A611" s="15" t="s">
        <v>1445</v>
      </c>
      <c r="B611" s="15" t="s">
        <v>1446</v>
      </c>
      <c r="C611" s="15" t="s">
        <v>34</v>
      </c>
      <c r="D611" s="15" t="s">
        <v>411</v>
      </c>
      <c r="E611" s="19" t="s">
        <v>72</v>
      </c>
      <c r="F611" s="23" t="s">
        <v>1447</v>
      </c>
      <c r="G611" s="23" t="s">
        <v>74</v>
      </c>
      <c r="H611" s="17"/>
    </row>
    <row r="612">
      <c r="A612" s="15" t="s">
        <v>1448</v>
      </c>
      <c r="B612" s="15" t="s">
        <v>1449</v>
      </c>
      <c r="C612" s="15" t="s">
        <v>34</v>
      </c>
      <c r="D612" s="15" t="s">
        <v>411</v>
      </c>
      <c r="E612" s="19" t="s">
        <v>72</v>
      </c>
      <c r="F612" s="23" t="s">
        <v>1450</v>
      </c>
      <c r="G612" s="23" t="s">
        <v>74</v>
      </c>
      <c r="H612" s="17"/>
    </row>
    <row r="613">
      <c r="A613" s="15" t="s">
        <v>1451</v>
      </c>
      <c r="B613" s="15" t="s">
        <v>1452</v>
      </c>
      <c r="C613" s="15" t="s">
        <v>34</v>
      </c>
      <c r="D613" s="15" t="s">
        <v>411</v>
      </c>
      <c r="E613" s="19" t="s">
        <v>72</v>
      </c>
      <c r="F613" s="23" t="s">
        <v>1453</v>
      </c>
      <c r="G613" s="23" t="s">
        <v>74</v>
      </c>
      <c r="H613" s="17"/>
    </row>
    <row r="614">
      <c r="A614" s="15" t="s">
        <v>1454</v>
      </c>
      <c r="B614" s="15" t="s">
        <v>1455</v>
      </c>
      <c r="C614" s="15" t="s">
        <v>34</v>
      </c>
      <c r="D614" s="15" t="s">
        <v>411</v>
      </c>
      <c r="E614" s="19" t="s">
        <v>72</v>
      </c>
      <c r="F614" s="23" t="s">
        <v>1456</v>
      </c>
      <c r="G614" s="23" t="s">
        <v>74</v>
      </c>
      <c r="H614" s="17"/>
    </row>
    <row r="615">
      <c r="A615" s="15" t="s">
        <v>1457</v>
      </c>
      <c r="B615" s="15" t="s">
        <v>1458</v>
      </c>
      <c r="C615" s="15" t="s">
        <v>34</v>
      </c>
      <c r="D615" s="15" t="s">
        <v>411</v>
      </c>
      <c r="E615" s="19" t="s">
        <v>72</v>
      </c>
      <c r="F615" s="21" t="s">
        <v>1459</v>
      </c>
      <c r="G615" s="21" t="s">
        <v>74</v>
      </c>
      <c r="H615" s="17"/>
    </row>
    <row r="616">
      <c r="A616" s="15" t="s">
        <v>1460</v>
      </c>
      <c r="B616" s="15" t="s">
        <v>1461</v>
      </c>
      <c r="C616" s="15" t="s">
        <v>34</v>
      </c>
      <c r="D616" s="15" t="s">
        <v>411</v>
      </c>
      <c r="E616" s="19" t="s">
        <v>72</v>
      </c>
      <c r="F616" s="23" t="s">
        <v>1462</v>
      </c>
      <c r="G616" s="23" t="s">
        <v>74</v>
      </c>
      <c r="H616" s="17"/>
    </row>
    <row r="617">
      <c r="A617" s="15" t="s">
        <v>1463</v>
      </c>
      <c r="B617" s="15" t="s">
        <v>1464</v>
      </c>
      <c r="C617" s="15" t="s">
        <v>34</v>
      </c>
      <c r="D617" s="15" t="s">
        <v>411</v>
      </c>
      <c r="E617" s="19" t="s">
        <v>72</v>
      </c>
      <c r="F617" s="23" t="s">
        <v>1465</v>
      </c>
      <c r="G617" s="23" t="s">
        <v>74</v>
      </c>
      <c r="H617" s="17"/>
    </row>
    <row r="618">
      <c r="A618" s="15" t="s">
        <v>1466</v>
      </c>
      <c r="B618" s="15" t="s">
        <v>1467</v>
      </c>
      <c r="C618" s="15" t="s">
        <v>34</v>
      </c>
      <c r="D618" s="15" t="s">
        <v>411</v>
      </c>
      <c r="E618" s="19" t="s">
        <v>72</v>
      </c>
      <c r="F618" s="23" t="s">
        <v>1468</v>
      </c>
      <c r="G618" s="23" t="s">
        <v>74</v>
      </c>
      <c r="H618" s="17"/>
    </row>
    <row r="619">
      <c r="A619" s="15" t="s">
        <v>1469</v>
      </c>
      <c r="B619" s="15" t="s">
        <v>1470</v>
      </c>
      <c r="C619" s="15" t="s">
        <v>34</v>
      </c>
      <c r="D619" s="15" t="s">
        <v>411</v>
      </c>
      <c r="E619" s="19" t="s">
        <v>72</v>
      </c>
      <c r="F619" s="23" t="s">
        <v>1471</v>
      </c>
      <c r="G619" s="23" t="s">
        <v>74</v>
      </c>
      <c r="H619" s="17"/>
    </row>
    <row r="620">
      <c r="A620" s="15" t="s">
        <v>1472</v>
      </c>
      <c r="B620" s="15" t="s">
        <v>1473</v>
      </c>
      <c r="C620" s="15" t="s">
        <v>34</v>
      </c>
      <c r="D620" s="15" t="s">
        <v>411</v>
      </c>
      <c r="E620" s="19" t="s">
        <v>72</v>
      </c>
      <c r="F620" s="23" t="s">
        <v>1474</v>
      </c>
      <c r="G620" s="23" t="s">
        <v>74</v>
      </c>
      <c r="H620" s="17"/>
    </row>
    <row r="621">
      <c r="A621" s="15" t="s">
        <v>1475</v>
      </c>
      <c r="B621" s="15" t="s">
        <v>1476</v>
      </c>
      <c r="C621" s="15" t="s">
        <v>34</v>
      </c>
      <c r="D621" s="15" t="s">
        <v>411</v>
      </c>
      <c r="E621" s="19" t="s">
        <v>72</v>
      </c>
      <c r="F621" s="23" t="s">
        <v>1477</v>
      </c>
      <c r="G621" s="23" t="s">
        <v>74</v>
      </c>
      <c r="H621" s="17"/>
    </row>
    <row r="622">
      <c r="A622" s="15" t="s">
        <v>1478</v>
      </c>
      <c r="B622" s="15" t="s">
        <v>1479</v>
      </c>
      <c r="C622" s="15" t="s">
        <v>34</v>
      </c>
      <c r="D622" s="15" t="s">
        <v>411</v>
      </c>
      <c r="E622" s="19" t="s">
        <v>72</v>
      </c>
      <c r="F622" s="23" t="s">
        <v>1480</v>
      </c>
      <c r="G622" s="23" t="s">
        <v>74</v>
      </c>
      <c r="H622" s="17"/>
    </row>
    <row r="623">
      <c r="A623" s="15" t="s">
        <v>1481</v>
      </c>
      <c r="B623" s="15" t="s">
        <v>1482</v>
      </c>
      <c r="C623" s="15" t="s">
        <v>34</v>
      </c>
      <c r="D623" s="15" t="s">
        <v>411</v>
      </c>
      <c r="E623" s="19" t="s">
        <v>72</v>
      </c>
      <c r="F623" s="23" t="s">
        <v>1483</v>
      </c>
      <c r="G623" s="23" t="s">
        <v>74</v>
      </c>
      <c r="H623" s="17"/>
    </row>
    <row r="624">
      <c r="A624" s="15" t="s">
        <v>1484</v>
      </c>
      <c r="B624" s="15" t="s">
        <v>1485</v>
      </c>
      <c r="C624" s="15" t="s">
        <v>34</v>
      </c>
      <c r="D624" s="15" t="s">
        <v>411</v>
      </c>
      <c r="E624" s="19" t="s">
        <v>72</v>
      </c>
      <c r="F624" s="23" t="s">
        <v>1486</v>
      </c>
      <c r="G624" s="23" t="s">
        <v>74</v>
      </c>
      <c r="H624" s="17"/>
    </row>
    <row r="625">
      <c r="A625" s="15" t="s">
        <v>1487</v>
      </c>
      <c r="B625" s="15" t="s">
        <v>1488</v>
      </c>
      <c r="C625" s="15" t="s">
        <v>34</v>
      </c>
      <c r="D625" s="15" t="s">
        <v>411</v>
      </c>
      <c r="E625" s="19" t="s">
        <v>72</v>
      </c>
      <c r="F625" s="23" t="s">
        <v>1489</v>
      </c>
      <c r="G625" s="23" t="s">
        <v>74</v>
      </c>
      <c r="H625" s="17"/>
    </row>
    <row r="626">
      <c r="A626" s="15" t="s">
        <v>1490</v>
      </c>
      <c r="B626" s="15" t="s">
        <v>1491</v>
      </c>
      <c r="C626" s="15" t="s">
        <v>34</v>
      </c>
      <c r="D626" s="15" t="s">
        <v>411</v>
      </c>
      <c r="E626" s="19" t="s">
        <v>72</v>
      </c>
      <c r="F626" s="23" t="s">
        <v>1492</v>
      </c>
      <c r="G626" s="23" t="s">
        <v>74</v>
      </c>
      <c r="H626" s="17"/>
    </row>
    <row r="627">
      <c r="A627" s="15" t="s">
        <v>1493</v>
      </c>
      <c r="B627" s="15" t="s">
        <v>1494</v>
      </c>
      <c r="C627" s="15" t="s">
        <v>34</v>
      </c>
      <c r="D627" s="15" t="s">
        <v>411</v>
      </c>
      <c r="E627" s="19" t="s">
        <v>72</v>
      </c>
      <c r="F627" s="23" t="s">
        <v>1495</v>
      </c>
      <c r="G627" s="23" t="s">
        <v>74</v>
      </c>
      <c r="H627" s="17"/>
    </row>
    <row r="628">
      <c r="A628" s="15" t="s">
        <v>1496</v>
      </c>
      <c r="B628" s="15" t="s">
        <v>1497</v>
      </c>
      <c r="C628" s="15" t="s">
        <v>34</v>
      </c>
      <c r="D628" s="15" t="s">
        <v>411</v>
      </c>
      <c r="E628" s="19" t="s">
        <v>72</v>
      </c>
      <c r="F628" s="21" t="s">
        <v>1498</v>
      </c>
      <c r="G628" s="21" t="s">
        <v>74</v>
      </c>
      <c r="H628" s="17"/>
    </row>
    <row r="629">
      <c r="A629" s="15" t="s">
        <v>1499</v>
      </c>
      <c r="B629" s="15" t="s">
        <v>1500</v>
      </c>
      <c r="C629" s="15" t="s">
        <v>34</v>
      </c>
      <c r="D629" s="15" t="s">
        <v>411</v>
      </c>
      <c r="E629" s="19" t="s">
        <v>72</v>
      </c>
      <c r="F629" s="23" t="s">
        <v>1501</v>
      </c>
      <c r="G629" s="23" t="s">
        <v>74</v>
      </c>
      <c r="H629" s="17"/>
    </row>
    <row r="630">
      <c r="A630" s="15" t="s">
        <v>1502</v>
      </c>
      <c r="B630" s="15" t="s">
        <v>1503</v>
      </c>
      <c r="C630" s="15" t="s">
        <v>34</v>
      </c>
      <c r="D630" s="15" t="s">
        <v>411</v>
      </c>
      <c r="E630" s="19" t="s">
        <v>72</v>
      </c>
      <c r="F630" s="21" t="s">
        <v>1504</v>
      </c>
      <c r="G630" s="21" t="s">
        <v>74</v>
      </c>
      <c r="H630" s="17"/>
    </row>
    <row r="631">
      <c r="A631" s="15" t="s">
        <v>1505</v>
      </c>
      <c r="B631" s="15" t="s">
        <v>1506</v>
      </c>
      <c r="C631" s="15" t="s">
        <v>34</v>
      </c>
      <c r="D631" s="15" t="s">
        <v>411</v>
      </c>
      <c r="E631" s="19" t="s">
        <v>72</v>
      </c>
      <c r="F631" s="23" t="s">
        <v>1507</v>
      </c>
      <c r="G631" s="23" t="s">
        <v>74</v>
      </c>
      <c r="H631" s="17"/>
    </row>
    <row r="632">
      <c r="A632" s="15" t="s">
        <v>1508</v>
      </c>
      <c r="B632" s="15" t="s">
        <v>1509</v>
      </c>
      <c r="C632" s="15" t="s">
        <v>34</v>
      </c>
      <c r="D632" s="15" t="s">
        <v>411</v>
      </c>
      <c r="E632" s="19" t="s">
        <v>72</v>
      </c>
      <c r="F632" s="23" t="s">
        <v>1510</v>
      </c>
      <c r="G632" s="23" t="s">
        <v>74</v>
      </c>
      <c r="H632" s="17"/>
    </row>
    <row r="633">
      <c r="A633" s="15" t="s">
        <v>1511</v>
      </c>
      <c r="B633" s="15" t="s">
        <v>1512</v>
      </c>
      <c r="C633" s="15" t="s">
        <v>34</v>
      </c>
      <c r="D633" s="15" t="s">
        <v>411</v>
      </c>
      <c r="E633" s="19" t="s">
        <v>72</v>
      </c>
      <c r="F633" s="23" t="s">
        <v>1513</v>
      </c>
      <c r="G633" s="23" t="s">
        <v>74</v>
      </c>
      <c r="H633" s="17"/>
    </row>
    <row r="634">
      <c r="A634" s="15" t="s">
        <v>1514</v>
      </c>
      <c r="B634" s="15" t="s">
        <v>1515</v>
      </c>
      <c r="C634" s="15" t="s">
        <v>34</v>
      </c>
      <c r="D634" s="15" t="s">
        <v>411</v>
      </c>
      <c r="E634" s="19" t="s">
        <v>72</v>
      </c>
      <c r="F634" s="23" t="s">
        <v>1516</v>
      </c>
      <c r="G634" s="23" t="s">
        <v>74</v>
      </c>
      <c r="H634" s="17"/>
    </row>
    <row r="635">
      <c r="A635" s="15" t="s">
        <v>1517</v>
      </c>
      <c r="B635" s="15" t="s">
        <v>1518</v>
      </c>
      <c r="C635" s="15" t="s">
        <v>34</v>
      </c>
      <c r="D635" s="15" t="s">
        <v>411</v>
      </c>
      <c r="E635" s="19" t="s">
        <v>72</v>
      </c>
      <c r="F635" s="23" t="s">
        <v>1519</v>
      </c>
      <c r="G635" s="23" t="s">
        <v>74</v>
      </c>
      <c r="H635" s="17"/>
    </row>
    <row r="636">
      <c r="A636" s="15" t="s">
        <v>1520</v>
      </c>
      <c r="B636" s="15" t="s">
        <v>1521</v>
      </c>
      <c r="C636" s="15" t="s">
        <v>34</v>
      </c>
      <c r="D636" s="15" t="s">
        <v>411</v>
      </c>
      <c r="E636" s="19" t="s">
        <v>72</v>
      </c>
      <c r="F636" s="23" t="s">
        <v>1522</v>
      </c>
      <c r="G636" s="23" t="s">
        <v>74</v>
      </c>
      <c r="H636" s="17"/>
    </row>
    <row r="637">
      <c r="A637" s="15" t="s">
        <v>1523</v>
      </c>
      <c r="B637" s="15" t="s">
        <v>1524</v>
      </c>
      <c r="C637" s="15" t="s">
        <v>34</v>
      </c>
      <c r="D637" s="15" t="s">
        <v>411</v>
      </c>
      <c r="E637" s="19" t="s">
        <v>72</v>
      </c>
      <c r="F637" s="23" t="s">
        <v>1525</v>
      </c>
      <c r="G637" s="23" t="s">
        <v>74</v>
      </c>
      <c r="H637" s="17"/>
    </row>
    <row r="638">
      <c r="A638" s="15" t="s">
        <v>1526</v>
      </c>
      <c r="B638" s="15" t="s">
        <v>1527</v>
      </c>
      <c r="C638" s="15" t="s">
        <v>34</v>
      </c>
      <c r="D638" s="15" t="s">
        <v>411</v>
      </c>
      <c r="E638" s="19" t="s">
        <v>72</v>
      </c>
      <c r="F638" s="23" t="s">
        <v>1528</v>
      </c>
      <c r="G638" s="23" t="s">
        <v>74</v>
      </c>
      <c r="H638" s="17"/>
    </row>
    <row r="639">
      <c r="A639" s="15" t="s">
        <v>1529</v>
      </c>
      <c r="B639" s="15" t="s">
        <v>1530</v>
      </c>
      <c r="C639" s="15" t="s">
        <v>34</v>
      </c>
      <c r="D639" s="15" t="s">
        <v>411</v>
      </c>
      <c r="E639" s="19" t="s">
        <v>72</v>
      </c>
      <c r="F639" s="23" t="s">
        <v>1531</v>
      </c>
      <c r="G639" s="23" t="s">
        <v>74</v>
      </c>
      <c r="H639" s="17"/>
    </row>
    <row r="640">
      <c r="A640" s="15" t="s">
        <v>1532</v>
      </c>
      <c r="B640" s="15" t="s">
        <v>1533</v>
      </c>
      <c r="C640" s="15" t="s">
        <v>34</v>
      </c>
      <c r="D640" s="15" t="s">
        <v>411</v>
      </c>
      <c r="E640" s="19" t="s">
        <v>72</v>
      </c>
      <c r="F640" s="23" t="s">
        <v>1534</v>
      </c>
      <c r="G640" s="23" t="s">
        <v>74</v>
      </c>
      <c r="H640" s="17"/>
    </row>
    <row r="641">
      <c r="A641" s="15" t="s">
        <v>1535</v>
      </c>
      <c r="B641" s="15" t="s">
        <v>1536</v>
      </c>
      <c r="C641" s="15" t="s">
        <v>34</v>
      </c>
      <c r="D641" s="15" t="s">
        <v>411</v>
      </c>
      <c r="E641" s="19" t="s">
        <v>72</v>
      </c>
      <c r="F641" s="23" t="s">
        <v>1537</v>
      </c>
      <c r="G641" s="23" t="s">
        <v>74</v>
      </c>
      <c r="H641" s="17"/>
    </row>
    <row r="642">
      <c r="A642" s="15" t="s">
        <v>1538</v>
      </c>
      <c r="B642" s="15" t="s">
        <v>1539</v>
      </c>
      <c r="C642" s="15" t="s">
        <v>34</v>
      </c>
      <c r="D642" s="15" t="s">
        <v>411</v>
      </c>
      <c r="E642" s="19" t="s">
        <v>72</v>
      </c>
      <c r="F642" s="23" t="s">
        <v>1537</v>
      </c>
      <c r="G642" s="23" t="s">
        <v>74</v>
      </c>
      <c r="H642" s="17"/>
    </row>
    <row r="643">
      <c r="A643" s="15" t="s">
        <v>1540</v>
      </c>
      <c r="B643" s="15" t="s">
        <v>1541</v>
      </c>
      <c r="C643" s="15" t="s">
        <v>34</v>
      </c>
      <c r="D643" s="15" t="s">
        <v>411</v>
      </c>
      <c r="E643" s="19" t="s">
        <v>72</v>
      </c>
      <c r="F643" s="23" t="s">
        <v>1542</v>
      </c>
      <c r="G643" s="23" t="s">
        <v>74</v>
      </c>
      <c r="H643" s="17"/>
    </row>
    <row r="644">
      <c r="A644" s="15" t="s">
        <v>1543</v>
      </c>
      <c r="B644" s="15" t="s">
        <v>1544</v>
      </c>
      <c r="C644" s="15" t="s">
        <v>34</v>
      </c>
      <c r="D644" s="15" t="s">
        <v>411</v>
      </c>
      <c r="E644" s="19" t="s">
        <v>72</v>
      </c>
      <c r="F644" s="23" t="s">
        <v>1545</v>
      </c>
      <c r="G644" s="23" t="s">
        <v>74</v>
      </c>
      <c r="H644" s="17"/>
    </row>
    <row r="645">
      <c r="A645" s="15" t="s">
        <v>1546</v>
      </c>
      <c r="B645" s="15" t="s">
        <v>1547</v>
      </c>
      <c r="C645" s="15" t="s">
        <v>34</v>
      </c>
      <c r="D645" s="15" t="s">
        <v>411</v>
      </c>
      <c r="E645" s="19" t="s">
        <v>72</v>
      </c>
      <c r="F645" s="23" t="s">
        <v>1548</v>
      </c>
      <c r="G645" s="23" t="s">
        <v>74</v>
      </c>
      <c r="H645" s="17"/>
    </row>
    <row r="646">
      <c r="A646" s="15" t="s">
        <v>1549</v>
      </c>
      <c r="B646" s="15" t="s">
        <v>1550</v>
      </c>
      <c r="C646" s="15" t="s">
        <v>34</v>
      </c>
      <c r="D646" s="15" t="s">
        <v>411</v>
      </c>
      <c r="E646" s="19" t="s">
        <v>72</v>
      </c>
      <c r="F646" s="23" t="s">
        <v>1551</v>
      </c>
      <c r="G646" s="23" t="s">
        <v>74</v>
      </c>
      <c r="H646" s="17"/>
    </row>
    <row r="647">
      <c r="A647" s="15" t="s">
        <v>1552</v>
      </c>
      <c r="B647" s="15" t="s">
        <v>1553</v>
      </c>
      <c r="C647" s="15" t="s">
        <v>34</v>
      </c>
      <c r="D647" s="15" t="s">
        <v>411</v>
      </c>
      <c r="E647" s="19" t="s">
        <v>72</v>
      </c>
      <c r="F647" s="23" t="s">
        <v>1554</v>
      </c>
      <c r="G647" s="23" t="s">
        <v>74</v>
      </c>
      <c r="H647" s="17"/>
    </row>
    <row r="648">
      <c r="A648" s="15" t="s">
        <v>1555</v>
      </c>
      <c r="B648" s="15" t="s">
        <v>1556</v>
      </c>
      <c r="C648" s="15" t="s">
        <v>34</v>
      </c>
      <c r="D648" s="15" t="s">
        <v>411</v>
      </c>
      <c r="E648" s="19" t="s">
        <v>72</v>
      </c>
      <c r="F648" s="21" t="s">
        <v>1557</v>
      </c>
      <c r="G648" s="21" t="s">
        <v>74</v>
      </c>
      <c r="H648" s="17"/>
    </row>
    <row r="649">
      <c r="A649" s="15" t="s">
        <v>1558</v>
      </c>
      <c r="B649" s="15" t="s">
        <v>1559</v>
      </c>
      <c r="C649" s="15" t="s">
        <v>34</v>
      </c>
      <c r="D649" s="15" t="s">
        <v>411</v>
      </c>
      <c r="E649" s="19" t="s">
        <v>72</v>
      </c>
      <c r="F649" s="23" t="s">
        <v>1560</v>
      </c>
      <c r="G649" s="23" t="s">
        <v>74</v>
      </c>
      <c r="H649" s="17"/>
    </row>
    <row r="650">
      <c r="A650" s="15" t="s">
        <v>1561</v>
      </c>
      <c r="B650" s="15" t="s">
        <v>1562</v>
      </c>
      <c r="C650" s="15" t="s">
        <v>34</v>
      </c>
      <c r="D650" s="15" t="s">
        <v>411</v>
      </c>
      <c r="E650" s="19" t="s">
        <v>72</v>
      </c>
      <c r="F650" s="23" t="s">
        <v>1563</v>
      </c>
      <c r="G650" s="23" t="s">
        <v>74</v>
      </c>
      <c r="H650" s="17"/>
    </row>
    <row r="651">
      <c r="A651" s="15" t="s">
        <v>1564</v>
      </c>
      <c r="B651" s="15" t="s">
        <v>1565</v>
      </c>
      <c r="C651" s="15" t="s">
        <v>34</v>
      </c>
      <c r="D651" s="15" t="s">
        <v>411</v>
      </c>
      <c r="E651" s="19" t="s">
        <v>72</v>
      </c>
      <c r="F651" s="23" t="s">
        <v>1566</v>
      </c>
      <c r="G651" s="23" t="s">
        <v>74</v>
      </c>
      <c r="H651" s="17"/>
    </row>
    <row r="652">
      <c r="A652" s="15" t="s">
        <v>1567</v>
      </c>
      <c r="B652" s="15" t="s">
        <v>1568</v>
      </c>
      <c r="C652" s="15" t="s">
        <v>34</v>
      </c>
      <c r="D652" s="15" t="s">
        <v>411</v>
      </c>
      <c r="E652" s="19" t="s">
        <v>72</v>
      </c>
      <c r="F652" s="23" t="s">
        <v>1569</v>
      </c>
      <c r="G652" s="23" t="s">
        <v>74</v>
      </c>
      <c r="H652" s="17"/>
    </row>
    <row r="653">
      <c r="A653" s="15" t="s">
        <v>1570</v>
      </c>
      <c r="B653" s="15" t="s">
        <v>1571</v>
      </c>
      <c r="C653" s="15" t="s">
        <v>34</v>
      </c>
      <c r="D653" s="15" t="s">
        <v>411</v>
      </c>
      <c r="E653" s="19" t="s">
        <v>72</v>
      </c>
      <c r="F653" s="21" t="s">
        <v>1572</v>
      </c>
      <c r="G653" s="21" t="s">
        <v>74</v>
      </c>
      <c r="H653" s="17"/>
    </row>
    <row r="654">
      <c r="A654" s="15" t="s">
        <v>1573</v>
      </c>
      <c r="B654" s="15" t="s">
        <v>1574</v>
      </c>
      <c r="C654" s="15" t="s">
        <v>34</v>
      </c>
      <c r="D654" s="15" t="s">
        <v>411</v>
      </c>
      <c r="E654" s="19" t="s">
        <v>72</v>
      </c>
      <c r="F654" s="23" t="s">
        <v>1575</v>
      </c>
      <c r="G654" s="23" t="s">
        <v>74</v>
      </c>
      <c r="H654" s="17"/>
    </row>
    <row r="655">
      <c r="A655" s="15" t="s">
        <v>1576</v>
      </c>
      <c r="B655" s="15" t="s">
        <v>1577</v>
      </c>
      <c r="C655" s="15" t="s">
        <v>34</v>
      </c>
      <c r="D655" s="15" t="s">
        <v>411</v>
      </c>
      <c r="E655" s="19" t="s">
        <v>72</v>
      </c>
      <c r="F655" s="24" t="s">
        <v>1578</v>
      </c>
      <c r="G655" s="24" t="s">
        <v>74</v>
      </c>
      <c r="H655" s="17"/>
    </row>
    <row r="656">
      <c r="A656" s="15" t="s">
        <v>1579</v>
      </c>
      <c r="B656" s="15" t="s">
        <v>1580</v>
      </c>
      <c r="C656" s="15" t="s">
        <v>34</v>
      </c>
      <c r="D656" s="15" t="s">
        <v>411</v>
      </c>
      <c r="E656" s="19" t="s">
        <v>72</v>
      </c>
      <c r="F656" s="24" t="s">
        <v>1581</v>
      </c>
      <c r="G656" s="24" t="s">
        <v>74</v>
      </c>
      <c r="H656" s="17"/>
    </row>
    <row r="657">
      <c r="A657" s="15" t="s">
        <v>1582</v>
      </c>
      <c r="B657" s="15" t="s">
        <v>1583</v>
      </c>
      <c r="C657" s="15" t="s">
        <v>34</v>
      </c>
      <c r="D657" s="15" t="s">
        <v>411</v>
      </c>
      <c r="E657" s="19" t="s">
        <v>72</v>
      </c>
      <c r="F657" s="24" t="s">
        <v>1584</v>
      </c>
      <c r="G657" s="24" t="s">
        <v>74</v>
      </c>
      <c r="H657" s="17"/>
    </row>
    <row r="658">
      <c r="A658" s="15" t="s">
        <v>1585</v>
      </c>
      <c r="B658" s="15" t="s">
        <v>1586</v>
      </c>
      <c r="C658" s="15" t="s">
        <v>34</v>
      </c>
      <c r="D658" s="15" t="s">
        <v>411</v>
      </c>
      <c r="E658" s="19" t="s">
        <v>72</v>
      </c>
      <c r="F658" s="24" t="s">
        <v>1587</v>
      </c>
      <c r="G658" s="24" t="s">
        <v>74</v>
      </c>
      <c r="H658" s="17"/>
    </row>
    <row r="659">
      <c r="A659" s="15" t="s">
        <v>1588</v>
      </c>
      <c r="B659" s="15" t="s">
        <v>1589</v>
      </c>
      <c r="C659" s="15" t="s">
        <v>34</v>
      </c>
      <c r="D659" s="15" t="s">
        <v>411</v>
      </c>
      <c r="E659" s="19" t="s">
        <v>72</v>
      </c>
      <c r="F659" s="24" t="s">
        <v>1590</v>
      </c>
      <c r="G659" s="24" t="s">
        <v>74</v>
      </c>
      <c r="H659" s="17"/>
    </row>
    <row r="660">
      <c r="A660" s="15" t="s">
        <v>1591</v>
      </c>
      <c r="B660" s="15" t="s">
        <v>1592</v>
      </c>
      <c r="C660" s="15" t="s">
        <v>34</v>
      </c>
      <c r="D660" s="15" t="s">
        <v>411</v>
      </c>
      <c r="E660" s="19" t="s">
        <v>72</v>
      </c>
      <c r="F660" s="24" t="s">
        <v>1593</v>
      </c>
      <c r="G660" s="24" t="s">
        <v>74</v>
      </c>
      <c r="H660" s="17"/>
    </row>
    <row r="661">
      <c r="A661" s="15" t="s">
        <v>1594</v>
      </c>
      <c r="B661" s="15" t="s">
        <v>1595</v>
      </c>
      <c r="C661" s="15" t="s">
        <v>34</v>
      </c>
      <c r="D661" s="15" t="s">
        <v>411</v>
      </c>
      <c r="E661" s="19" t="s">
        <v>72</v>
      </c>
      <c r="F661" s="24" t="s">
        <v>1596</v>
      </c>
      <c r="G661" s="24" t="s">
        <v>74</v>
      </c>
      <c r="H661" s="17"/>
    </row>
    <row r="662">
      <c r="A662" s="15" t="s">
        <v>1597</v>
      </c>
      <c r="B662" s="15" t="s">
        <v>1598</v>
      </c>
      <c r="C662" s="15" t="s">
        <v>34</v>
      </c>
      <c r="D662" s="15" t="s">
        <v>411</v>
      </c>
      <c r="E662" s="19" t="s">
        <v>72</v>
      </c>
      <c r="F662" s="24" t="s">
        <v>1599</v>
      </c>
      <c r="G662" s="24" t="s">
        <v>74</v>
      </c>
      <c r="H662" s="17"/>
    </row>
    <row r="663">
      <c r="A663" s="15" t="s">
        <v>1600</v>
      </c>
      <c r="B663" s="15" t="s">
        <v>1601</v>
      </c>
      <c r="C663" s="15" t="s">
        <v>34</v>
      </c>
      <c r="D663" s="15" t="s">
        <v>411</v>
      </c>
      <c r="E663" s="19" t="s">
        <v>72</v>
      </c>
      <c r="F663" s="24" t="s">
        <v>1602</v>
      </c>
      <c r="G663" s="24" t="s">
        <v>74</v>
      </c>
      <c r="H663" s="17"/>
    </row>
    <row r="664">
      <c r="A664" s="15" t="s">
        <v>1603</v>
      </c>
      <c r="B664" s="15" t="s">
        <v>1604</v>
      </c>
      <c r="C664" s="15" t="s">
        <v>34</v>
      </c>
      <c r="D664" s="15" t="s">
        <v>411</v>
      </c>
      <c r="E664" s="19" t="s">
        <v>72</v>
      </c>
      <c r="F664" s="24" t="s">
        <v>1605</v>
      </c>
      <c r="G664" s="24" t="s">
        <v>74</v>
      </c>
      <c r="H664" s="17"/>
    </row>
    <row r="665">
      <c r="A665" s="15" t="s">
        <v>1606</v>
      </c>
      <c r="B665" s="15" t="s">
        <v>1607</v>
      </c>
      <c r="C665" s="15" t="s">
        <v>34</v>
      </c>
      <c r="D665" s="15" t="s">
        <v>411</v>
      </c>
      <c r="E665" s="19" t="s">
        <v>72</v>
      </c>
      <c r="F665" s="24" t="s">
        <v>1608</v>
      </c>
      <c r="G665" s="24" t="s">
        <v>74</v>
      </c>
      <c r="H665" s="17"/>
    </row>
    <row r="666">
      <c r="A666" s="15" t="s">
        <v>1609</v>
      </c>
      <c r="B666" s="15" t="s">
        <v>1610</v>
      </c>
      <c r="C666" s="15" t="s">
        <v>34</v>
      </c>
      <c r="D666" s="15" t="s">
        <v>411</v>
      </c>
      <c r="E666" s="19" t="s">
        <v>72</v>
      </c>
      <c r="F666" s="24" t="s">
        <v>1611</v>
      </c>
      <c r="G666" s="24" t="s">
        <v>74</v>
      </c>
      <c r="H666" s="17"/>
    </row>
    <row r="667">
      <c r="A667" s="15" t="s">
        <v>1612</v>
      </c>
      <c r="B667" s="15" t="s">
        <v>1613</v>
      </c>
      <c r="C667" s="15" t="s">
        <v>34</v>
      </c>
      <c r="D667" s="15" t="s">
        <v>411</v>
      </c>
      <c r="E667" s="19" t="s">
        <v>72</v>
      </c>
      <c r="F667" s="24" t="s">
        <v>1614</v>
      </c>
      <c r="G667" s="24" t="s">
        <v>74</v>
      </c>
      <c r="H667" s="17"/>
    </row>
    <row r="668">
      <c r="A668" s="15" t="s">
        <v>1615</v>
      </c>
      <c r="B668" s="15" t="s">
        <v>1616</v>
      </c>
      <c r="C668" s="15" t="s">
        <v>34</v>
      </c>
      <c r="D668" s="15" t="s">
        <v>411</v>
      </c>
      <c r="E668" s="19" t="s">
        <v>72</v>
      </c>
      <c r="F668" s="24" t="s">
        <v>1617</v>
      </c>
      <c r="G668" s="24" t="s">
        <v>74</v>
      </c>
      <c r="H668" s="17"/>
    </row>
    <row r="669">
      <c r="A669" s="15" t="s">
        <v>1618</v>
      </c>
      <c r="B669" s="15" t="s">
        <v>1619</v>
      </c>
      <c r="C669" s="15" t="s">
        <v>34</v>
      </c>
      <c r="D669" s="15" t="s">
        <v>411</v>
      </c>
      <c r="E669" s="19" t="s">
        <v>72</v>
      </c>
      <c r="F669" s="24" t="s">
        <v>1620</v>
      </c>
      <c r="G669" s="24" t="s">
        <v>74</v>
      </c>
      <c r="H669" s="17"/>
    </row>
    <row r="670">
      <c r="A670" s="15" t="s">
        <v>1621</v>
      </c>
      <c r="B670" s="15" t="s">
        <v>1622</v>
      </c>
      <c r="C670" s="15" t="s">
        <v>34</v>
      </c>
      <c r="D670" s="15" t="s">
        <v>411</v>
      </c>
      <c r="E670" s="19" t="s">
        <v>72</v>
      </c>
      <c r="F670" s="24" t="s">
        <v>1623</v>
      </c>
      <c r="G670" s="24" t="s">
        <v>74</v>
      </c>
      <c r="H670" s="17"/>
    </row>
    <row r="671">
      <c r="A671" s="15" t="s">
        <v>1624</v>
      </c>
      <c r="B671" s="15" t="s">
        <v>1625</v>
      </c>
      <c r="C671" s="15" t="s">
        <v>34</v>
      </c>
      <c r="D671" s="15" t="s">
        <v>411</v>
      </c>
      <c r="E671" s="19" t="s">
        <v>72</v>
      </c>
      <c r="F671" s="24" t="s">
        <v>1626</v>
      </c>
      <c r="G671" s="24" t="s">
        <v>74</v>
      </c>
      <c r="H671" s="17"/>
    </row>
    <row r="672">
      <c r="A672" s="15" t="s">
        <v>1627</v>
      </c>
      <c r="B672" s="15" t="s">
        <v>1628</v>
      </c>
      <c r="C672" s="15" t="s">
        <v>34</v>
      </c>
      <c r="D672" s="15" t="s">
        <v>411</v>
      </c>
      <c r="E672" s="19" t="s">
        <v>72</v>
      </c>
      <c r="F672" s="24" t="s">
        <v>1629</v>
      </c>
      <c r="G672" s="24" t="s">
        <v>74</v>
      </c>
      <c r="H672" s="17"/>
    </row>
    <row r="673">
      <c r="A673" s="15" t="s">
        <v>1630</v>
      </c>
      <c r="B673" s="15" t="s">
        <v>1631</v>
      </c>
      <c r="C673" s="15" t="s">
        <v>34</v>
      </c>
      <c r="D673" s="15" t="s">
        <v>411</v>
      </c>
      <c r="E673" s="19" t="s">
        <v>72</v>
      </c>
      <c r="F673" s="24" t="s">
        <v>1632</v>
      </c>
      <c r="G673" s="24" t="s">
        <v>74</v>
      </c>
      <c r="H673" s="17"/>
    </row>
    <row r="674">
      <c r="A674" s="15" t="s">
        <v>1633</v>
      </c>
      <c r="B674" s="15" t="s">
        <v>1634</v>
      </c>
      <c r="C674" s="15" t="s">
        <v>34</v>
      </c>
      <c r="D674" s="15" t="s">
        <v>411</v>
      </c>
      <c r="E674" s="19" t="s">
        <v>72</v>
      </c>
      <c r="F674" s="24" t="s">
        <v>1635</v>
      </c>
      <c r="G674" s="24" t="s">
        <v>74</v>
      </c>
      <c r="H674" s="17"/>
    </row>
    <row r="675">
      <c r="A675" s="15" t="s">
        <v>1636</v>
      </c>
      <c r="B675" s="15" t="s">
        <v>1637</v>
      </c>
      <c r="C675" s="15" t="s">
        <v>34</v>
      </c>
      <c r="D675" s="15" t="s">
        <v>411</v>
      </c>
      <c r="E675" s="19" t="s">
        <v>72</v>
      </c>
      <c r="F675" s="24" t="s">
        <v>1638</v>
      </c>
      <c r="G675" s="24" t="s">
        <v>74</v>
      </c>
      <c r="H675" s="17"/>
    </row>
    <row r="676">
      <c r="A676" s="15" t="s">
        <v>1639</v>
      </c>
      <c r="B676" s="15" t="s">
        <v>1640</v>
      </c>
      <c r="C676" s="15" t="s">
        <v>34</v>
      </c>
      <c r="D676" s="15" t="s">
        <v>411</v>
      </c>
      <c r="E676" s="19" t="s">
        <v>72</v>
      </c>
      <c r="F676" s="19" t="s">
        <v>1641</v>
      </c>
      <c r="G676" s="19" t="s">
        <v>556</v>
      </c>
      <c r="H676" s="17"/>
    </row>
    <row r="677">
      <c r="A677" s="15" t="s">
        <v>1642</v>
      </c>
      <c r="B677" s="15" t="s">
        <v>1643</v>
      </c>
      <c r="C677" s="15" t="s">
        <v>34</v>
      </c>
      <c r="D677" s="15" t="s">
        <v>411</v>
      </c>
      <c r="E677" s="19" t="s">
        <v>72</v>
      </c>
      <c r="F677" s="24" t="s">
        <v>1644</v>
      </c>
      <c r="G677" s="24" t="s">
        <v>74</v>
      </c>
      <c r="H677" s="17"/>
    </row>
    <row r="678">
      <c r="A678" s="15" t="s">
        <v>1645</v>
      </c>
      <c r="B678" s="15" t="s">
        <v>1646</v>
      </c>
      <c r="C678" s="15" t="s">
        <v>34</v>
      </c>
      <c r="D678" s="15" t="s">
        <v>411</v>
      </c>
      <c r="E678" s="19" t="s">
        <v>72</v>
      </c>
      <c r="F678" s="24" t="s">
        <v>1647</v>
      </c>
      <c r="G678" s="24" t="s">
        <v>74</v>
      </c>
      <c r="H678" s="17"/>
    </row>
    <row r="679">
      <c r="A679" s="15" t="s">
        <v>1648</v>
      </c>
      <c r="B679" s="15" t="s">
        <v>1649</v>
      </c>
      <c r="C679" s="15" t="s">
        <v>34</v>
      </c>
      <c r="D679" s="15" t="s">
        <v>411</v>
      </c>
      <c r="E679" s="19" t="s">
        <v>72</v>
      </c>
      <c r="F679" s="24" t="s">
        <v>1650</v>
      </c>
      <c r="G679" s="24" t="s">
        <v>74</v>
      </c>
      <c r="H679" s="17"/>
    </row>
    <row r="680">
      <c r="A680" s="15" t="s">
        <v>1651</v>
      </c>
      <c r="B680" s="15" t="s">
        <v>1652</v>
      </c>
      <c r="C680" s="15" t="s">
        <v>34</v>
      </c>
      <c r="D680" s="15" t="s">
        <v>411</v>
      </c>
      <c r="E680" s="19" t="s">
        <v>72</v>
      </c>
      <c r="F680" s="24" t="s">
        <v>1653</v>
      </c>
      <c r="G680" s="24" t="s">
        <v>74</v>
      </c>
      <c r="H680" s="17"/>
    </row>
    <row r="681">
      <c r="A681" s="15" t="s">
        <v>1654</v>
      </c>
      <c r="B681" s="15" t="s">
        <v>1655</v>
      </c>
      <c r="C681" s="15" t="s">
        <v>34</v>
      </c>
      <c r="D681" s="15" t="s">
        <v>411</v>
      </c>
      <c r="E681" s="19" t="s">
        <v>72</v>
      </c>
      <c r="F681" s="24" t="s">
        <v>1656</v>
      </c>
      <c r="G681" s="24" t="s">
        <v>74</v>
      </c>
      <c r="H681" s="17"/>
    </row>
    <row r="682">
      <c r="A682" s="15" t="s">
        <v>1657</v>
      </c>
      <c r="B682" s="15" t="s">
        <v>1658</v>
      </c>
      <c r="C682" s="15" t="s">
        <v>34</v>
      </c>
      <c r="D682" s="15" t="s">
        <v>411</v>
      </c>
      <c r="E682" s="19" t="s">
        <v>72</v>
      </c>
      <c r="F682" s="24" t="s">
        <v>1659</v>
      </c>
      <c r="G682" s="19" t="s">
        <v>74</v>
      </c>
      <c r="H682" s="17"/>
    </row>
    <row r="683">
      <c r="A683" s="15" t="s">
        <v>1660</v>
      </c>
      <c r="B683" s="15" t="s">
        <v>1661</v>
      </c>
      <c r="C683" s="15" t="s">
        <v>34</v>
      </c>
      <c r="D683" s="15" t="s">
        <v>411</v>
      </c>
      <c r="E683" s="19" t="s">
        <v>72</v>
      </c>
      <c r="F683" s="24" t="s">
        <v>1662</v>
      </c>
      <c r="G683" s="19" t="s">
        <v>74</v>
      </c>
      <c r="H683" s="17"/>
    </row>
    <row r="684">
      <c r="A684" s="15" t="s">
        <v>1663</v>
      </c>
      <c r="B684" s="15" t="s">
        <v>1664</v>
      </c>
      <c r="C684" s="15" t="s">
        <v>34</v>
      </c>
      <c r="D684" s="15" t="s">
        <v>411</v>
      </c>
      <c r="E684" s="19" t="s">
        <v>72</v>
      </c>
      <c r="F684" s="24" t="s">
        <v>1665</v>
      </c>
      <c r="G684" s="19" t="s">
        <v>74</v>
      </c>
      <c r="H684" s="17"/>
    </row>
    <row r="685">
      <c r="A685" s="15" t="s">
        <v>1666</v>
      </c>
      <c r="B685" s="15" t="s">
        <v>1667</v>
      </c>
      <c r="C685" s="15" t="s">
        <v>34</v>
      </c>
      <c r="D685" s="15" t="s">
        <v>411</v>
      </c>
      <c r="E685" s="19" t="s">
        <v>72</v>
      </c>
      <c r="F685" s="24" t="s">
        <v>1668</v>
      </c>
      <c r="G685" s="24" t="s">
        <v>74</v>
      </c>
      <c r="H685" s="17"/>
    </row>
    <row r="686">
      <c r="A686" s="15" t="s">
        <v>1669</v>
      </c>
      <c r="B686" s="15" t="s">
        <v>1670</v>
      </c>
      <c r="C686" s="15" t="s">
        <v>34</v>
      </c>
      <c r="D686" s="15" t="s">
        <v>411</v>
      </c>
      <c r="E686" s="19" t="s">
        <v>72</v>
      </c>
      <c r="F686" s="24" t="s">
        <v>1671</v>
      </c>
      <c r="G686" s="24" t="s">
        <v>74</v>
      </c>
      <c r="H686" s="17"/>
    </row>
    <row r="687">
      <c r="A687" s="15" t="s">
        <v>1672</v>
      </c>
      <c r="B687" s="15" t="s">
        <v>1673</v>
      </c>
      <c r="C687" s="15" t="s">
        <v>34</v>
      </c>
      <c r="D687" s="15" t="s">
        <v>411</v>
      </c>
      <c r="E687" s="19" t="s">
        <v>72</v>
      </c>
      <c r="F687" s="24" t="s">
        <v>1674</v>
      </c>
      <c r="G687" s="24" t="s">
        <v>74</v>
      </c>
      <c r="H687" s="17"/>
    </row>
    <row r="688">
      <c r="A688" s="15" t="s">
        <v>1675</v>
      </c>
      <c r="B688" s="15" t="s">
        <v>1676</v>
      </c>
      <c r="C688" s="15" t="s">
        <v>34</v>
      </c>
      <c r="D688" s="15" t="s">
        <v>411</v>
      </c>
      <c r="E688" s="19" t="s">
        <v>72</v>
      </c>
      <c r="F688" s="24" t="s">
        <v>1674</v>
      </c>
      <c r="G688" s="24" t="s">
        <v>74</v>
      </c>
      <c r="H688" s="17"/>
    </row>
    <row r="689">
      <c r="A689" s="15" t="s">
        <v>1677</v>
      </c>
      <c r="B689" s="15" t="s">
        <v>1678</v>
      </c>
      <c r="C689" s="15" t="s">
        <v>34</v>
      </c>
      <c r="D689" s="15" t="s">
        <v>411</v>
      </c>
      <c r="E689" s="19" t="s">
        <v>72</v>
      </c>
      <c r="F689" s="20" t="s">
        <v>1679</v>
      </c>
      <c r="G689" s="24" t="s">
        <v>74</v>
      </c>
      <c r="H689" s="17"/>
    </row>
    <row r="690">
      <c r="A690" s="15" t="s">
        <v>1680</v>
      </c>
      <c r="B690" s="15" t="s">
        <v>1681</v>
      </c>
      <c r="C690" s="15" t="s">
        <v>34</v>
      </c>
      <c r="D690" s="15" t="s">
        <v>411</v>
      </c>
      <c r="E690" s="19" t="s">
        <v>72</v>
      </c>
      <c r="F690" s="24" t="s">
        <v>1682</v>
      </c>
      <c r="G690" s="24" t="s">
        <v>74</v>
      </c>
      <c r="H690" s="17"/>
    </row>
    <row r="691">
      <c r="A691" s="15" t="s">
        <v>1683</v>
      </c>
      <c r="B691" s="15" t="s">
        <v>1684</v>
      </c>
      <c r="C691" s="15" t="s">
        <v>34</v>
      </c>
      <c r="D691" s="15" t="s">
        <v>411</v>
      </c>
      <c r="E691" s="19" t="s">
        <v>72</v>
      </c>
      <c r="F691" s="24" t="s">
        <v>1685</v>
      </c>
      <c r="G691" s="24" t="s">
        <v>74</v>
      </c>
      <c r="H691" s="17"/>
    </row>
    <row r="692">
      <c r="A692" s="15" t="s">
        <v>1686</v>
      </c>
      <c r="B692" s="15" t="s">
        <v>1687</v>
      </c>
      <c r="C692" s="15" t="s">
        <v>34</v>
      </c>
      <c r="D692" s="15" t="s">
        <v>411</v>
      </c>
      <c r="E692" s="19" t="s">
        <v>72</v>
      </c>
      <c r="F692" s="24" t="s">
        <v>1688</v>
      </c>
      <c r="G692" s="24" t="s">
        <v>74</v>
      </c>
      <c r="H692" s="17"/>
    </row>
    <row r="693">
      <c r="A693" s="15" t="s">
        <v>1689</v>
      </c>
      <c r="B693" s="15" t="s">
        <v>1690</v>
      </c>
      <c r="C693" s="15" t="s">
        <v>34</v>
      </c>
      <c r="D693" s="15" t="s">
        <v>411</v>
      </c>
      <c r="E693" s="19" t="s">
        <v>72</v>
      </c>
      <c r="F693" s="24" t="s">
        <v>1691</v>
      </c>
      <c r="G693" s="24" t="s">
        <v>74</v>
      </c>
      <c r="H693" s="17"/>
    </row>
    <row r="694">
      <c r="A694" s="15" t="s">
        <v>1692</v>
      </c>
      <c r="B694" s="15" t="s">
        <v>1693</v>
      </c>
      <c r="C694" s="15" t="s">
        <v>34</v>
      </c>
      <c r="D694" s="15" t="s">
        <v>411</v>
      </c>
      <c r="E694" s="19" t="s">
        <v>72</v>
      </c>
      <c r="F694" s="24" t="s">
        <v>1694</v>
      </c>
      <c r="G694" s="24" t="s">
        <v>74</v>
      </c>
      <c r="H694" s="17"/>
    </row>
    <row r="695">
      <c r="A695" s="15" t="s">
        <v>1695</v>
      </c>
      <c r="B695" s="15" t="s">
        <v>1696</v>
      </c>
      <c r="C695" s="15" t="s">
        <v>34</v>
      </c>
      <c r="D695" s="15" t="s">
        <v>411</v>
      </c>
      <c r="E695" s="19" t="s">
        <v>72</v>
      </c>
      <c r="F695" s="24" t="s">
        <v>1697</v>
      </c>
      <c r="G695" s="24" t="s">
        <v>74</v>
      </c>
      <c r="H695" s="17"/>
    </row>
    <row r="696">
      <c r="A696" s="15" t="s">
        <v>1698</v>
      </c>
      <c r="B696" s="15" t="s">
        <v>1699</v>
      </c>
      <c r="C696" s="15" t="s">
        <v>34</v>
      </c>
      <c r="D696" s="15" t="s">
        <v>411</v>
      </c>
      <c r="E696" s="19" t="s">
        <v>72</v>
      </c>
      <c r="F696" s="24" t="s">
        <v>1700</v>
      </c>
      <c r="G696" s="24" t="s">
        <v>74</v>
      </c>
      <c r="H696" s="17"/>
    </row>
    <row r="697">
      <c r="A697" s="15" t="s">
        <v>1701</v>
      </c>
      <c r="B697" s="15" t="s">
        <v>1702</v>
      </c>
      <c r="C697" s="15" t="s">
        <v>34</v>
      </c>
      <c r="D697" s="15" t="s">
        <v>411</v>
      </c>
      <c r="E697" s="19" t="s">
        <v>72</v>
      </c>
      <c r="F697" s="24" t="s">
        <v>1703</v>
      </c>
      <c r="G697" s="24" t="s">
        <v>74</v>
      </c>
      <c r="H697" s="17"/>
    </row>
    <row r="698">
      <c r="A698" s="15" t="s">
        <v>1704</v>
      </c>
      <c r="B698" s="15" t="s">
        <v>1705</v>
      </c>
      <c r="C698" s="15" t="s">
        <v>34</v>
      </c>
      <c r="D698" s="15" t="s">
        <v>411</v>
      </c>
      <c r="E698" s="19" t="s">
        <v>72</v>
      </c>
      <c r="F698" s="24" t="s">
        <v>1706</v>
      </c>
      <c r="G698" s="24" t="s">
        <v>74</v>
      </c>
      <c r="H698" s="17"/>
    </row>
    <row r="699">
      <c r="A699" s="15" t="s">
        <v>1707</v>
      </c>
      <c r="B699" s="15" t="s">
        <v>1708</v>
      </c>
      <c r="C699" s="15" t="s">
        <v>34</v>
      </c>
      <c r="D699" s="15" t="s">
        <v>411</v>
      </c>
      <c r="E699" s="19" t="s">
        <v>72</v>
      </c>
      <c r="F699" s="24" t="s">
        <v>1709</v>
      </c>
      <c r="G699" s="24" t="s">
        <v>74</v>
      </c>
      <c r="H699" s="17"/>
    </row>
    <row r="700">
      <c r="A700" s="15" t="s">
        <v>1710</v>
      </c>
      <c r="B700" s="15" t="s">
        <v>1711</v>
      </c>
      <c r="C700" s="15" t="s">
        <v>34</v>
      </c>
      <c r="D700" s="15" t="s">
        <v>411</v>
      </c>
      <c r="E700" s="19" t="s">
        <v>72</v>
      </c>
      <c r="F700" s="24" t="s">
        <v>1712</v>
      </c>
      <c r="G700" s="24" t="s">
        <v>74</v>
      </c>
      <c r="H700" s="17"/>
    </row>
    <row r="701">
      <c r="A701" s="15" t="s">
        <v>1713</v>
      </c>
      <c r="B701" s="15" t="s">
        <v>1714</v>
      </c>
      <c r="C701" s="15" t="s">
        <v>34</v>
      </c>
      <c r="D701" s="15" t="s">
        <v>411</v>
      </c>
      <c r="E701" s="19" t="s">
        <v>72</v>
      </c>
      <c r="F701" s="24" t="s">
        <v>1715</v>
      </c>
      <c r="G701" s="24" t="s">
        <v>74</v>
      </c>
      <c r="H701" s="17"/>
    </row>
    <row r="702">
      <c r="A702" s="15" t="s">
        <v>1716</v>
      </c>
      <c r="B702" s="15" t="s">
        <v>1717</v>
      </c>
      <c r="C702" s="15" t="s">
        <v>34</v>
      </c>
      <c r="D702" s="15" t="s">
        <v>411</v>
      </c>
      <c r="E702" s="19" t="s">
        <v>72</v>
      </c>
      <c r="F702" s="24" t="s">
        <v>1718</v>
      </c>
      <c r="G702" s="24" t="s">
        <v>74</v>
      </c>
      <c r="H702" s="17"/>
    </row>
    <row r="703">
      <c r="A703" s="15" t="s">
        <v>1719</v>
      </c>
      <c r="B703" s="15" t="s">
        <v>1720</v>
      </c>
      <c r="C703" s="15" t="s">
        <v>34</v>
      </c>
      <c r="D703" s="15" t="s">
        <v>411</v>
      </c>
      <c r="E703" s="19" t="s">
        <v>72</v>
      </c>
      <c r="F703" s="24" t="s">
        <v>1721</v>
      </c>
      <c r="G703" s="24" t="s">
        <v>74</v>
      </c>
      <c r="H703" s="17"/>
    </row>
    <row r="704">
      <c r="A704" s="15" t="s">
        <v>1722</v>
      </c>
      <c r="B704" s="15" t="s">
        <v>1723</v>
      </c>
      <c r="C704" s="15" t="s">
        <v>34</v>
      </c>
      <c r="D704" s="15" t="s">
        <v>411</v>
      </c>
      <c r="E704" s="19" t="s">
        <v>72</v>
      </c>
      <c r="F704" s="24" t="s">
        <v>1724</v>
      </c>
      <c r="G704" s="24" t="s">
        <v>74</v>
      </c>
      <c r="H704" s="17"/>
    </row>
    <row r="705">
      <c r="A705" s="15" t="s">
        <v>1725</v>
      </c>
      <c r="B705" s="15" t="s">
        <v>1726</v>
      </c>
      <c r="C705" s="15" t="s">
        <v>34</v>
      </c>
      <c r="D705" s="15" t="s">
        <v>411</v>
      </c>
      <c r="E705" s="19" t="s">
        <v>72</v>
      </c>
      <c r="F705" s="24" t="s">
        <v>1727</v>
      </c>
      <c r="G705" s="24" t="s">
        <v>74</v>
      </c>
      <c r="H705" s="17"/>
    </row>
    <row r="706">
      <c r="A706" s="15" t="s">
        <v>1728</v>
      </c>
      <c r="B706" s="15" t="s">
        <v>1729</v>
      </c>
      <c r="C706" s="15" t="s">
        <v>34</v>
      </c>
      <c r="D706" s="15" t="s">
        <v>411</v>
      </c>
      <c r="E706" s="19" t="s">
        <v>72</v>
      </c>
      <c r="F706" s="24" t="s">
        <v>1730</v>
      </c>
      <c r="G706" s="24" t="s">
        <v>74</v>
      </c>
      <c r="H706" s="17"/>
    </row>
    <row r="707">
      <c r="A707" s="15" t="s">
        <v>1731</v>
      </c>
      <c r="B707" s="15" t="s">
        <v>1732</v>
      </c>
      <c r="C707" s="15" t="s">
        <v>34</v>
      </c>
      <c r="D707" s="15" t="s">
        <v>411</v>
      </c>
      <c r="E707" s="19" t="s">
        <v>72</v>
      </c>
      <c r="F707" s="24" t="s">
        <v>1733</v>
      </c>
      <c r="G707" s="24" t="s">
        <v>74</v>
      </c>
      <c r="H707" s="17"/>
    </row>
    <row r="708">
      <c r="A708" s="15" t="s">
        <v>1734</v>
      </c>
      <c r="B708" s="15" t="s">
        <v>1735</v>
      </c>
      <c r="C708" s="15" t="s">
        <v>34</v>
      </c>
      <c r="D708" s="15" t="s">
        <v>411</v>
      </c>
      <c r="E708" s="19" t="s">
        <v>72</v>
      </c>
      <c r="F708" s="24" t="s">
        <v>1736</v>
      </c>
      <c r="G708" s="24" t="s">
        <v>74</v>
      </c>
      <c r="H708" s="17"/>
    </row>
    <row r="709">
      <c r="A709" s="15" t="s">
        <v>1737</v>
      </c>
      <c r="B709" s="15" t="s">
        <v>1738</v>
      </c>
      <c r="C709" s="15" t="s">
        <v>34</v>
      </c>
      <c r="D709" s="15" t="s">
        <v>411</v>
      </c>
      <c r="E709" s="19" t="s">
        <v>72</v>
      </c>
      <c r="F709" s="24" t="s">
        <v>1739</v>
      </c>
      <c r="G709" s="24" t="s">
        <v>74</v>
      </c>
      <c r="H709" s="17"/>
    </row>
    <row r="710">
      <c r="A710" s="15" t="s">
        <v>1740</v>
      </c>
      <c r="B710" s="15" t="s">
        <v>1741</v>
      </c>
      <c r="C710" s="15" t="s">
        <v>34</v>
      </c>
      <c r="D710" s="15" t="s">
        <v>411</v>
      </c>
      <c r="E710" s="19" t="s">
        <v>72</v>
      </c>
      <c r="F710" s="24" t="s">
        <v>1742</v>
      </c>
      <c r="G710" s="24" t="s">
        <v>74</v>
      </c>
      <c r="H710" s="17"/>
    </row>
    <row r="711">
      <c r="A711" s="15" t="s">
        <v>1743</v>
      </c>
      <c r="B711" s="15" t="s">
        <v>1744</v>
      </c>
      <c r="C711" s="15" t="s">
        <v>34</v>
      </c>
      <c r="D711" s="15" t="s">
        <v>411</v>
      </c>
      <c r="E711" s="19" t="s">
        <v>72</v>
      </c>
      <c r="F711" s="24" t="s">
        <v>1745</v>
      </c>
      <c r="G711" s="24" t="s">
        <v>74</v>
      </c>
      <c r="H711" s="17"/>
    </row>
    <row r="712">
      <c r="A712" s="15" t="s">
        <v>1746</v>
      </c>
      <c r="B712" s="15" t="s">
        <v>1747</v>
      </c>
      <c r="C712" s="15" t="s">
        <v>34</v>
      </c>
      <c r="D712" s="15" t="s">
        <v>411</v>
      </c>
      <c r="E712" s="19" t="s">
        <v>72</v>
      </c>
      <c r="F712" s="19" t="s">
        <v>1748</v>
      </c>
      <c r="G712" s="19" t="s">
        <v>74</v>
      </c>
      <c r="H712" s="17"/>
    </row>
    <row r="713">
      <c r="A713" s="15" t="s">
        <v>1749</v>
      </c>
      <c r="B713" s="15" t="s">
        <v>1750</v>
      </c>
      <c r="C713" s="15" t="s">
        <v>34</v>
      </c>
      <c r="D713" s="15" t="s">
        <v>411</v>
      </c>
      <c r="E713" s="19" t="s">
        <v>72</v>
      </c>
      <c r="F713" s="24" t="s">
        <v>1751</v>
      </c>
      <c r="G713" s="24" t="s">
        <v>74</v>
      </c>
      <c r="H713" s="17"/>
    </row>
    <row r="714">
      <c r="A714" s="15" t="s">
        <v>1752</v>
      </c>
      <c r="B714" s="15" t="s">
        <v>1753</v>
      </c>
      <c r="C714" s="15" t="s">
        <v>34</v>
      </c>
      <c r="D714" s="15" t="s">
        <v>411</v>
      </c>
      <c r="E714" s="19" t="s">
        <v>72</v>
      </c>
      <c r="F714" s="24" t="s">
        <v>1754</v>
      </c>
      <c r="G714" s="24" t="s">
        <v>74</v>
      </c>
      <c r="H714" s="17"/>
    </row>
    <row r="715">
      <c r="A715" s="15" t="s">
        <v>1755</v>
      </c>
      <c r="B715" s="15" t="s">
        <v>1756</v>
      </c>
      <c r="C715" s="15" t="s">
        <v>34</v>
      </c>
      <c r="D715" s="15" t="s">
        <v>411</v>
      </c>
      <c r="E715" s="19" t="s">
        <v>72</v>
      </c>
      <c r="F715" s="24" t="s">
        <v>1757</v>
      </c>
      <c r="G715" s="24" t="s">
        <v>74</v>
      </c>
      <c r="H715" s="17"/>
    </row>
    <row r="716">
      <c r="A716" s="15" t="s">
        <v>1758</v>
      </c>
      <c r="B716" s="15" t="s">
        <v>1759</v>
      </c>
      <c r="C716" s="15" t="s">
        <v>34</v>
      </c>
      <c r="D716" s="15" t="s">
        <v>411</v>
      </c>
      <c r="E716" s="19" t="s">
        <v>72</v>
      </c>
      <c r="F716" s="24" t="s">
        <v>1760</v>
      </c>
      <c r="G716" s="24" t="s">
        <v>74</v>
      </c>
      <c r="H716" s="17"/>
    </row>
    <row r="717">
      <c r="A717" s="15" t="s">
        <v>1761</v>
      </c>
      <c r="B717" s="15" t="s">
        <v>1762</v>
      </c>
      <c r="C717" s="15" t="s">
        <v>34</v>
      </c>
      <c r="D717" s="15" t="s">
        <v>411</v>
      </c>
      <c r="E717" s="19" t="s">
        <v>72</v>
      </c>
      <c r="F717" s="24" t="s">
        <v>1763</v>
      </c>
      <c r="G717" s="24" t="s">
        <v>74</v>
      </c>
      <c r="H717" s="17"/>
    </row>
    <row r="718">
      <c r="A718" s="15" t="s">
        <v>1764</v>
      </c>
      <c r="B718" s="15" t="s">
        <v>1765</v>
      </c>
      <c r="C718" s="15" t="s">
        <v>34</v>
      </c>
      <c r="D718" s="15" t="s">
        <v>411</v>
      </c>
      <c r="E718" s="19" t="s">
        <v>72</v>
      </c>
      <c r="F718" s="24" t="s">
        <v>1766</v>
      </c>
      <c r="G718" s="24" t="s">
        <v>74</v>
      </c>
      <c r="H718" s="17"/>
    </row>
    <row r="719">
      <c r="A719" s="15" t="s">
        <v>1767</v>
      </c>
      <c r="B719" s="15" t="s">
        <v>1768</v>
      </c>
      <c r="C719" s="15" t="s">
        <v>34</v>
      </c>
      <c r="D719" s="15" t="s">
        <v>411</v>
      </c>
      <c r="E719" s="19" t="s">
        <v>72</v>
      </c>
      <c r="F719" s="24" t="s">
        <v>1769</v>
      </c>
      <c r="G719" s="24" t="s">
        <v>74</v>
      </c>
      <c r="H719" s="17"/>
    </row>
    <row r="720">
      <c r="A720" s="15" t="s">
        <v>1770</v>
      </c>
      <c r="B720" s="15" t="s">
        <v>1771</v>
      </c>
      <c r="C720" s="15" t="s">
        <v>34</v>
      </c>
      <c r="D720" s="15" t="s">
        <v>411</v>
      </c>
      <c r="E720" s="19" t="s">
        <v>72</v>
      </c>
      <c r="F720" s="24" t="s">
        <v>1772</v>
      </c>
      <c r="G720" s="24" t="s">
        <v>74</v>
      </c>
      <c r="H720" s="17"/>
    </row>
    <row r="721">
      <c r="A721" s="15" t="s">
        <v>1773</v>
      </c>
      <c r="B721" s="15" t="s">
        <v>1774</v>
      </c>
      <c r="C721" s="15" t="s">
        <v>34</v>
      </c>
      <c r="D721" s="15" t="s">
        <v>411</v>
      </c>
      <c r="E721" s="19" t="s">
        <v>72</v>
      </c>
      <c r="F721" s="24" t="s">
        <v>1775</v>
      </c>
      <c r="G721" s="24" t="s">
        <v>74</v>
      </c>
      <c r="H721" s="17"/>
    </row>
    <row r="722">
      <c r="A722" s="15" t="s">
        <v>1776</v>
      </c>
      <c r="B722" s="15" t="s">
        <v>1777</v>
      </c>
      <c r="C722" s="15" t="s">
        <v>34</v>
      </c>
      <c r="D722" s="15" t="s">
        <v>411</v>
      </c>
      <c r="E722" s="19" t="s">
        <v>72</v>
      </c>
      <c r="F722" s="24" t="s">
        <v>1778</v>
      </c>
      <c r="G722" s="24" t="s">
        <v>74</v>
      </c>
      <c r="H722" s="17"/>
    </row>
    <row r="723">
      <c r="A723" s="15" t="s">
        <v>1779</v>
      </c>
      <c r="B723" s="15" t="s">
        <v>1780</v>
      </c>
      <c r="C723" s="15" t="s">
        <v>34</v>
      </c>
      <c r="D723" s="15" t="s">
        <v>411</v>
      </c>
      <c r="E723" s="19" t="s">
        <v>72</v>
      </c>
      <c r="F723" s="24" t="s">
        <v>1781</v>
      </c>
      <c r="G723" s="24" t="s">
        <v>74</v>
      </c>
      <c r="H723" s="17"/>
    </row>
    <row r="724">
      <c r="A724" s="15" t="s">
        <v>1782</v>
      </c>
      <c r="B724" s="15" t="s">
        <v>1783</v>
      </c>
      <c r="C724" s="15" t="s">
        <v>34</v>
      </c>
      <c r="D724" s="15" t="s">
        <v>411</v>
      </c>
      <c r="E724" s="19" t="s">
        <v>72</v>
      </c>
      <c r="F724" s="24" t="s">
        <v>1784</v>
      </c>
      <c r="G724" s="24" t="s">
        <v>74</v>
      </c>
      <c r="H724" s="17"/>
    </row>
    <row r="725">
      <c r="A725" s="15" t="s">
        <v>1785</v>
      </c>
      <c r="B725" s="15" t="s">
        <v>1786</v>
      </c>
      <c r="C725" s="15" t="s">
        <v>34</v>
      </c>
      <c r="D725" s="15" t="s">
        <v>411</v>
      </c>
      <c r="E725" s="19" t="s">
        <v>72</v>
      </c>
      <c r="F725" s="24" t="s">
        <v>1787</v>
      </c>
      <c r="G725" s="24" t="s">
        <v>74</v>
      </c>
      <c r="H725" s="17"/>
    </row>
    <row r="726">
      <c r="A726" s="15" t="s">
        <v>1788</v>
      </c>
      <c r="B726" s="15" t="s">
        <v>1789</v>
      </c>
      <c r="C726" s="15" t="s">
        <v>34</v>
      </c>
      <c r="D726" s="15" t="s">
        <v>411</v>
      </c>
      <c r="E726" s="19" t="s">
        <v>72</v>
      </c>
      <c r="F726" s="24" t="s">
        <v>1790</v>
      </c>
      <c r="G726" s="24" t="s">
        <v>74</v>
      </c>
      <c r="H726" s="17"/>
    </row>
    <row r="727">
      <c r="A727" s="15" t="s">
        <v>1791</v>
      </c>
      <c r="B727" s="15" t="s">
        <v>1792</v>
      </c>
      <c r="C727" s="15" t="s">
        <v>34</v>
      </c>
      <c r="D727" s="15" t="s">
        <v>411</v>
      </c>
      <c r="E727" s="19" t="s">
        <v>72</v>
      </c>
      <c r="F727" s="24" t="s">
        <v>1793</v>
      </c>
      <c r="G727" s="24" t="s">
        <v>74</v>
      </c>
      <c r="H727" s="17"/>
    </row>
    <row r="728">
      <c r="A728" s="15" t="s">
        <v>1794</v>
      </c>
      <c r="B728" s="15" t="s">
        <v>1795</v>
      </c>
      <c r="C728" s="15" t="s">
        <v>34</v>
      </c>
      <c r="D728" s="15" t="s">
        <v>411</v>
      </c>
      <c r="E728" s="19" t="s">
        <v>72</v>
      </c>
      <c r="F728" s="19" t="s">
        <v>1796</v>
      </c>
      <c r="G728" s="19" t="s">
        <v>74</v>
      </c>
      <c r="H728" s="17"/>
    </row>
    <row r="729">
      <c r="A729" s="15" t="s">
        <v>1797</v>
      </c>
      <c r="B729" s="15" t="s">
        <v>1798</v>
      </c>
      <c r="C729" s="15" t="s">
        <v>34</v>
      </c>
      <c r="D729" s="15" t="s">
        <v>411</v>
      </c>
      <c r="E729" s="19" t="s">
        <v>72</v>
      </c>
      <c r="F729" s="24" t="s">
        <v>1799</v>
      </c>
      <c r="G729" s="24" t="s">
        <v>74</v>
      </c>
      <c r="H729" s="17"/>
    </row>
    <row r="730">
      <c r="A730" s="15" t="s">
        <v>1800</v>
      </c>
      <c r="B730" s="15" t="s">
        <v>1801</v>
      </c>
      <c r="C730" s="15" t="s">
        <v>34</v>
      </c>
      <c r="D730" s="15" t="s">
        <v>411</v>
      </c>
      <c r="E730" s="19" t="s">
        <v>72</v>
      </c>
      <c r="F730" s="24" t="s">
        <v>1802</v>
      </c>
      <c r="G730" s="24" t="s">
        <v>74</v>
      </c>
      <c r="H730" s="17"/>
    </row>
    <row r="731">
      <c r="A731" s="15" t="s">
        <v>1803</v>
      </c>
      <c r="B731" s="15" t="s">
        <v>1804</v>
      </c>
      <c r="C731" s="15" t="s">
        <v>34</v>
      </c>
      <c r="D731" s="15" t="s">
        <v>411</v>
      </c>
      <c r="E731" s="19" t="s">
        <v>72</v>
      </c>
      <c r="F731" s="24" t="s">
        <v>1805</v>
      </c>
      <c r="G731" s="24" t="s">
        <v>74</v>
      </c>
      <c r="H731" s="17"/>
    </row>
    <row r="732">
      <c r="A732" s="15" t="s">
        <v>1806</v>
      </c>
      <c r="B732" s="15" t="s">
        <v>1807</v>
      </c>
      <c r="C732" s="15" t="s">
        <v>34</v>
      </c>
      <c r="D732" s="15" t="s">
        <v>411</v>
      </c>
      <c r="E732" s="19" t="s">
        <v>72</v>
      </c>
      <c r="F732" s="24" t="s">
        <v>1808</v>
      </c>
      <c r="G732" s="24" t="s">
        <v>74</v>
      </c>
      <c r="H732" s="17"/>
    </row>
    <row r="733">
      <c r="A733" s="15" t="s">
        <v>1809</v>
      </c>
      <c r="B733" s="15" t="s">
        <v>1810</v>
      </c>
      <c r="C733" s="15" t="s">
        <v>34</v>
      </c>
      <c r="D733" s="15" t="s">
        <v>411</v>
      </c>
      <c r="E733" s="19" t="s">
        <v>72</v>
      </c>
      <c r="F733" s="24" t="s">
        <v>1811</v>
      </c>
      <c r="G733" s="24" t="s">
        <v>74</v>
      </c>
      <c r="H733" s="17"/>
    </row>
    <row r="734">
      <c r="A734" s="15" t="s">
        <v>1812</v>
      </c>
      <c r="B734" s="15" t="s">
        <v>1813</v>
      </c>
      <c r="C734" s="15" t="s">
        <v>34</v>
      </c>
      <c r="D734" s="15" t="s">
        <v>411</v>
      </c>
      <c r="E734" s="19" t="s">
        <v>72</v>
      </c>
      <c r="F734" s="24" t="s">
        <v>1814</v>
      </c>
      <c r="G734" s="24" t="s">
        <v>74</v>
      </c>
      <c r="H734" s="17"/>
    </row>
    <row r="735">
      <c r="A735" s="15" t="s">
        <v>1815</v>
      </c>
      <c r="B735" s="15" t="s">
        <v>1816</v>
      </c>
      <c r="C735" s="15" t="s">
        <v>34</v>
      </c>
      <c r="D735" s="15" t="s">
        <v>411</v>
      </c>
      <c r="E735" s="19" t="s">
        <v>72</v>
      </c>
      <c r="F735" s="24" t="s">
        <v>1817</v>
      </c>
      <c r="G735" s="24" t="s">
        <v>74</v>
      </c>
      <c r="H735" s="17"/>
    </row>
    <row r="736">
      <c r="A736" s="15" t="s">
        <v>1818</v>
      </c>
      <c r="B736" s="15" t="s">
        <v>1819</v>
      </c>
      <c r="C736" s="15" t="s">
        <v>34</v>
      </c>
      <c r="D736" s="15" t="s">
        <v>411</v>
      </c>
      <c r="E736" s="19" t="s">
        <v>72</v>
      </c>
      <c r="F736" s="24" t="s">
        <v>1820</v>
      </c>
      <c r="G736" s="24" t="s">
        <v>74</v>
      </c>
      <c r="H736" s="17"/>
    </row>
    <row r="737">
      <c r="A737" s="15" t="s">
        <v>1821</v>
      </c>
      <c r="B737" s="15" t="s">
        <v>1822</v>
      </c>
      <c r="C737" s="15" t="s">
        <v>34</v>
      </c>
      <c r="D737" s="15" t="s">
        <v>411</v>
      </c>
      <c r="E737" s="19" t="s">
        <v>72</v>
      </c>
      <c r="F737" s="24" t="s">
        <v>1823</v>
      </c>
      <c r="G737" s="24" t="s">
        <v>74</v>
      </c>
      <c r="H737" s="17"/>
    </row>
    <row r="738">
      <c r="A738" s="15" t="s">
        <v>1824</v>
      </c>
      <c r="B738" s="15" t="s">
        <v>1825</v>
      </c>
      <c r="C738" s="15" t="s">
        <v>34</v>
      </c>
      <c r="D738" s="15" t="s">
        <v>411</v>
      </c>
      <c r="E738" s="19" t="s">
        <v>72</v>
      </c>
      <c r="F738" s="24" t="s">
        <v>1826</v>
      </c>
      <c r="G738" s="24" t="s">
        <v>74</v>
      </c>
      <c r="H738" s="17"/>
    </row>
    <row r="739">
      <c r="A739" s="15" t="s">
        <v>1827</v>
      </c>
      <c r="B739" s="15" t="s">
        <v>1828</v>
      </c>
      <c r="C739" s="15" t="s">
        <v>34</v>
      </c>
      <c r="D739" s="15" t="s">
        <v>411</v>
      </c>
      <c r="E739" s="19" t="s">
        <v>72</v>
      </c>
      <c r="F739" s="24" t="s">
        <v>1829</v>
      </c>
      <c r="G739" s="24" t="s">
        <v>74</v>
      </c>
      <c r="H739" s="17"/>
    </row>
    <row r="740">
      <c r="A740" s="15" t="s">
        <v>1830</v>
      </c>
      <c r="B740" s="15" t="s">
        <v>1831</v>
      </c>
      <c r="C740" s="15" t="s">
        <v>34</v>
      </c>
      <c r="D740" s="15" t="s">
        <v>411</v>
      </c>
      <c r="E740" s="19" t="s">
        <v>72</v>
      </c>
      <c r="F740" s="24" t="s">
        <v>1832</v>
      </c>
      <c r="G740" s="24" t="s">
        <v>74</v>
      </c>
      <c r="H740" s="17"/>
    </row>
    <row r="741">
      <c r="A741" s="15" t="s">
        <v>1833</v>
      </c>
      <c r="B741" s="15" t="s">
        <v>1834</v>
      </c>
      <c r="C741" s="15" t="s">
        <v>34</v>
      </c>
      <c r="D741" s="15" t="s">
        <v>411</v>
      </c>
      <c r="E741" s="19" t="s">
        <v>72</v>
      </c>
      <c r="F741" s="24" t="s">
        <v>1835</v>
      </c>
      <c r="G741" s="24" t="s">
        <v>74</v>
      </c>
      <c r="H741" s="17"/>
    </row>
    <row r="742">
      <c r="A742" s="15" t="s">
        <v>1836</v>
      </c>
      <c r="B742" s="15" t="s">
        <v>1837</v>
      </c>
      <c r="C742" s="15" t="s">
        <v>34</v>
      </c>
      <c r="D742" s="15" t="s">
        <v>411</v>
      </c>
      <c r="E742" s="19" t="s">
        <v>72</v>
      </c>
      <c r="F742" s="24" t="s">
        <v>1838</v>
      </c>
      <c r="G742" s="24" t="s">
        <v>74</v>
      </c>
      <c r="H742" s="17"/>
    </row>
    <row r="743">
      <c r="A743" s="15" t="s">
        <v>1839</v>
      </c>
      <c r="B743" s="15" t="s">
        <v>1840</v>
      </c>
      <c r="C743" s="15" t="s">
        <v>34</v>
      </c>
      <c r="D743" s="15" t="s">
        <v>411</v>
      </c>
      <c r="E743" s="19" t="s">
        <v>72</v>
      </c>
      <c r="F743" s="19" t="s">
        <v>1841</v>
      </c>
      <c r="G743" s="19" t="s">
        <v>74</v>
      </c>
      <c r="H743" s="17"/>
    </row>
    <row r="744">
      <c r="A744" s="15" t="s">
        <v>1842</v>
      </c>
      <c r="B744" s="15" t="s">
        <v>1843</v>
      </c>
      <c r="C744" s="15" t="s">
        <v>34</v>
      </c>
      <c r="D744" s="15" t="s">
        <v>411</v>
      </c>
      <c r="E744" s="19" t="s">
        <v>72</v>
      </c>
      <c r="F744" s="24" t="s">
        <v>1844</v>
      </c>
      <c r="G744" s="24" t="s">
        <v>74</v>
      </c>
      <c r="H744" s="17"/>
    </row>
    <row r="745">
      <c r="A745" s="15" t="s">
        <v>1845</v>
      </c>
      <c r="B745" s="15" t="s">
        <v>1846</v>
      </c>
      <c r="C745" s="15" t="s">
        <v>34</v>
      </c>
      <c r="D745" s="15" t="s">
        <v>411</v>
      </c>
      <c r="E745" s="19" t="s">
        <v>72</v>
      </c>
      <c r="F745" s="24" t="s">
        <v>1847</v>
      </c>
      <c r="G745" s="24" t="s">
        <v>74</v>
      </c>
      <c r="H745" s="17"/>
    </row>
    <row r="746">
      <c r="A746" s="15" t="s">
        <v>1848</v>
      </c>
      <c r="B746" s="15" t="s">
        <v>1849</v>
      </c>
      <c r="C746" s="15" t="s">
        <v>34</v>
      </c>
      <c r="D746" s="15" t="s">
        <v>411</v>
      </c>
      <c r="E746" s="19" t="s">
        <v>72</v>
      </c>
      <c r="F746" s="24" t="s">
        <v>1850</v>
      </c>
      <c r="G746" s="24" t="s">
        <v>74</v>
      </c>
      <c r="H746" s="17"/>
    </row>
    <row r="747">
      <c r="A747" s="15" t="s">
        <v>1851</v>
      </c>
      <c r="B747" s="15" t="s">
        <v>1852</v>
      </c>
      <c r="C747" s="15" t="s">
        <v>34</v>
      </c>
      <c r="D747" s="15" t="s">
        <v>411</v>
      </c>
      <c r="E747" s="19" t="s">
        <v>72</v>
      </c>
      <c r="F747" s="24" t="s">
        <v>1853</v>
      </c>
      <c r="G747" s="24" t="s">
        <v>74</v>
      </c>
      <c r="H747" s="17"/>
    </row>
    <row r="748">
      <c r="A748" s="15" t="s">
        <v>1854</v>
      </c>
      <c r="B748" s="15" t="s">
        <v>1855</v>
      </c>
      <c r="C748" s="15" t="s">
        <v>34</v>
      </c>
      <c r="D748" s="15" t="s">
        <v>411</v>
      </c>
      <c r="E748" s="19" t="s">
        <v>72</v>
      </c>
      <c r="F748" s="19" t="s">
        <v>1856</v>
      </c>
      <c r="G748" s="19" t="s">
        <v>74</v>
      </c>
      <c r="H748" s="17"/>
    </row>
    <row r="749">
      <c r="A749" s="15" t="s">
        <v>1857</v>
      </c>
      <c r="B749" s="15" t="s">
        <v>1858</v>
      </c>
      <c r="C749" s="15" t="s">
        <v>34</v>
      </c>
      <c r="D749" s="15" t="s">
        <v>411</v>
      </c>
      <c r="E749" s="19" t="s">
        <v>72</v>
      </c>
      <c r="F749" s="24" t="s">
        <v>1859</v>
      </c>
      <c r="G749" s="24" t="s">
        <v>74</v>
      </c>
      <c r="H749" s="17"/>
    </row>
    <row r="750">
      <c r="A750" s="15" t="s">
        <v>1860</v>
      </c>
      <c r="B750" s="15" t="s">
        <v>1861</v>
      </c>
      <c r="C750" s="15" t="s">
        <v>34</v>
      </c>
      <c r="D750" s="15" t="s">
        <v>411</v>
      </c>
      <c r="E750" s="19" t="s">
        <v>72</v>
      </c>
      <c r="F750" s="24" t="s">
        <v>1862</v>
      </c>
      <c r="G750" s="24" t="s">
        <v>74</v>
      </c>
      <c r="H750" s="17"/>
    </row>
    <row r="751">
      <c r="A751" s="15" t="s">
        <v>1863</v>
      </c>
      <c r="B751" s="15" t="s">
        <v>1864</v>
      </c>
      <c r="C751" s="15" t="s">
        <v>34</v>
      </c>
      <c r="D751" s="15" t="s">
        <v>411</v>
      </c>
      <c r="E751" s="19" t="s">
        <v>72</v>
      </c>
      <c r="F751" s="24" t="s">
        <v>1865</v>
      </c>
      <c r="G751" s="24" t="s">
        <v>74</v>
      </c>
      <c r="H751" s="17"/>
    </row>
    <row r="752">
      <c r="A752" s="15" t="s">
        <v>1866</v>
      </c>
      <c r="B752" s="15" t="s">
        <v>1867</v>
      </c>
      <c r="C752" s="15" t="s">
        <v>34</v>
      </c>
      <c r="D752" s="15" t="s">
        <v>411</v>
      </c>
      <c r="E752" s="19" t="s">
        <v>72</v>
      </c>
      <c r="F752" s="24" t="s">
        <v>1868</v>
      </c>
      <c r="G752" s="24" t="s">
        <v>74</v>
      </c>
      <c r="H752" s="17"/>
    </row>
    <row r="753">
      <c r="A753" s="15" t="s">
        <v>1869</v>
      </c>
      <c r="B753" s="15" t="s">
        <v>1870</v>
      </c>
      <c r="C753" s="15" t="s">
        <v>34</v>
      </c>
      <c r="D753" s="15" t="s">
        <v>411</v>
      </c>
      <c r="E753" s="19" t="s">
        <v>72</v>
      </c>
      <c r="F753" s="24" t="s">
        <v>1871</v>
      </c>
      <c r="G753" s="24" t="s">
        <v>74</v>
      </c>
      <c r="H753" s="17"/>
    </row>
    <row r="754">
      <c r="A754" s="15" t="s">
        <v>1872</v>
      </c>
      <c r="B754" s="15" t="s">
        <v>1873</v>
      </c>
      <c r="C754" s="15" t="s">
        <v>34</v>
      </c>
      <c r="D754" s="15" t="s">
        <v>411</v>
      </c>
      <c r="E754" s="19" t="s">
        <v>72</v>
      </c>
      <c r="F754" s="24" t="s">
        <v>1874</v>
      </c>
      <c r="G754" s="24" t="s">
        <v>74</v>
      </c>
      <c r="H754" s="17"/>
    </row>
    <row r="755">
      <c r="A755" s="15" t="s">
        <v>1875</v>
      </c>
      <c r="B755" s="15" t="s">
        <v>1876</v>
      </c>
      <c r="C755" s="15" t="s">
        <v>34</v>
      </c>
      <c r="D755" s="15" t="s">
        <v>411</v>
      </c>
      <c r="E755" s="19" t="s">
        <v>72</v>
      </c>
      <c r="F755" s="24" t="s">
        <v>1877</v>
      </c>
      <c r="G755" s="24" t="s">
        <v>74</v>
      </c>
      <c r="H755" s="17"/>
    </row>
    <row r="756">
      <c r="A756" s="15" t="s">
        <v>1878</v>
      </c>
      <c r="B756" s="15" t="s">
        <v>1879</v>
      </c>
      <c r="C756" s="15" t="s">
        <v>34</v>
      </c>
      <c r="D756" s="15" t="s">
        <v>411</v>
      </c>
      <c r="E756" s="19" t="s">
        <v>72</v>
      </c>
      <c r="F756" s="24" t="s">
        <v>1880</v>
      </c>
      <c r="G756" s="24" t="s">
        <v>74</v>
      </c>
      <c r="H756" s="17"/>
    </row>
    <row r="757">
      <c r="A757" s="15" t="s">
        <v>1881</v>
      </c>
      <c r="B757" s="15" t="s">
        <v>1882</v>
      </c>
      <c r="C757" s="15" t="s">
        <v>34</v>
      </c>
      <c r="D757" s="15" t="s">
        <v>411</v>
      </c>
      <c r="E757" s="19" t="s">
        <v>72</v>
      </c>
      <c r="F757" s="24" t="s">
        <v>1883</v>
      </c>
      <c r="G757" s="24" t="s">
        <v>74</v>
      </c>
      <c r="H757" s="17"/>
    </row>
    <row r="758">
      <c r="A758" s="15" t="s">
        <v>1884</v>
      </c>
      <c r="B758" s="15" t="s">
        <v>1885</v>
      </c>
      <c r="C758" s="15" t="s">
        <v>34</v>
      </c>
      <c r="D758" s="15" t="s">
        <v>411</v>
      </c>
      <c r="E758" s="24" t="s">
        <v>72</v>
      </c>
      <c r="F758" s="24" t="s">
        <v>1883</v>
      </c>
      <c r="G758" s="24" t="s">
        <v>74</v>
      </c>
      <c r="H758" s="26"/>
    </row>
    <row r="759">
      <c r="A759" s="15" t="s">
        <v>1886</v>
      </c>
      <c r="B759" s="15" t="s">
        <v>1887</v>
      </c>
      <c r="C759" s="15" t="s">
        <v>34</v>
      </c>
      <c r="D759" s="15" t="s">
        <v>411</v>
      </c>
      <c r="E759" s="24" t="s">
        <v>72</v>
      </c>
      <c r="F759" s="19" t="s">
        <v>1888</v>
      </c>
      <c r="G759" s="24" t="s">
        <v>74</v>
      </c>
      <c r="H759" s="26"/>
    </row>
    <row r="760">
      <c r="A760" s="15" t="s">
        <v>1889</v>
      </c>
      <c r="B760" s="15" t="s">
        <v>1890</v>
      </c>
      <c r="C760" s="15" t="s">
        <v>34</v>
      </c>
      <c r="D760" s="15" t="s">
        <v>411</v>
      </c>
      <c r="E760" s="24" t="s">
        <v>72</v>
      </c>
      <c r="F760" s="19" t="s">
        <v>1891</v>
      </c>
      <c r="G760" s="24" t="s">
        <v>74</v>
      </c>
      <c r="H760" s="26"/>
    </row>
    <row r="761">
      <c r="A761" s="15" t="s">
        <v>1892</v>
      </c>
      <c r="B761" s="15" t="s">
        <v>1893</v>
      </c>
      <c r="C761" s="15" t="s">
        <v>34</v>
      </c>
      <c r="D761" s="15" t="s">
        <v>411</v>
      </c>
      <c r="E761" s="24" t="s">
        <v>72</v>
      </c>
      <c r="F761" s="19" t="s">
        <v>1894</v>
      </c>
      <c r="G761" s="24" t="s">
        <v>74</v>
      </c>
      <c r="H761" s="26"/>
    </row>
    <row r="762">
      <c r="A762" s="15" t="s">
        <v>1895</v>
      </c>
      <c r="B762" s="15" t="s">
        <v>1896</v>
      </c>
      <c r="C762" s="15" t="s">
        <v>34</v>
      </c>
      <c r="D762" s="15" t="s">
        <v>411</v>
      </c>
      <c r="E762" s="24" t="s">
        <v>72</v>
      </c>
      <c r="F762" s="19" t="s">
        <v>1897</v>
      </c>
      <c r="G762" s="24" t="s">
        <v>74</v>
      </c>
      <c r="H762" s="26"/>
    </row>
    <row r="763">
      <c r="A763" s="15" t="s">
        <v>1898</v>
      </c>
      <c r="B763" s="15" t="s">
        <v>1899</v>
      </c>
      <c r="C763" s="15" t="s">
        <v>34</v>
      </c>
      <c r="D763" s="15" t="s">
        <v>411</v>
      </c>
      <c r="E763" s="24" t="s">
        <v>72</v>
      </c>
      <c r="F763" s="19" t="s">
        <v>1900</v>
      </c>
      <c r="G763" s="24" t="s">
        <v>74</v>
      </c>
      <c r="H763" s="26"/>
    </row>
    <row r="764">
      <c r="A764" s="15" t="s">
        <v>1901</v>
      </c>
      <c r="B764" s="15" t="s">
        <v>1902</v>
      </c>
      <c r="C764" s="15" t="s">
        <v>34</v>
      </c>
      <c r="D764" s="15" t="s">
        <v>411</v>
      </c>
      <c r="E764" s="19" t="s">
        <v>72</v>
      </c>
      <c r="F764" s="19" t="s">
        <v>1903</v>
      </c>
      <c r="G764" s="19" t="s">
        <v>74</v>
      </c>
      <c r="H764" s="26"/>
    </row>
    <row r="765">
      <c r="A765" s="15" t="s">
        <v>1904</v>
      </c>
      <c r="B765" s="15" t="s">
        <v>1905</v>
      </c>
      <c r="C765" s="15" t="s">
        <v>34</v>
      </c>
      <c r="D765" s="15" t="s">
        <v>411</v>
      </c>
      <c r="E765" s="24" t="s">
        <v>72</v>
      </c>
      <c r="F765" s="19" t="s">
        <v>1906</v>
      </c>
      <c r="G765" s="24" t="s">
        <v>74</v>
      </c>
      <c r="H765" s="26"/>
    </row>
    <row r="766">
      <c r="A766" s="15" t="s">
        <v>1907</v>
      </c>
      <c r="B766" s="15" t="s">
        <v>1908</v>
      </c>
      <c r="C766" s="15" t="s">
        <v>34</v>
      </c>
      <c r="D766" s="15" t="s">
        <v>411</v>
      </c>
      <c r="E766" s="24" t="s">
        <v>72</v>
      </c>
      <c r="F766" s="24" t="s">
        <v>1909</v>
      </c>
      <c r="G766" s="24" t="s">
        <v>74</v>
      </c>
      <c r="H766" s="26"/>
    </row>
    <row r="767">
      <c r="A767" s="15" t="s">
        <v>1910</v>
      </c>
      <c r="B767" s="15" t="s">
        <v>1911</v>
      </c>
      <c r="C767" s="15" t="s">
        <v>34</v>
      </c>
      <c r="D767" s="15" t="s">
        <v>411</v>
      </c>
      <c r="E767" s="24" t="s">
        <v>72</v>
      </c>
      <c r="F767" s="24" t="s">
        <v>1912</v>
      </c>
      <c r="G767" s="24" t="s">
        <v>74</v>
      </c>
      <c r="H767" s="26"/>
    </row>
    <row r="768">
      <c r="A768" s="15" t="s">
        <v>1913</v>
      </c>
      <c r="B768" s="15" t="s">
        <v>1914</v>
      </c>
      <c r="C768" s="15" t="s">
        <v>34</v>
      </c>
      <c r="D768" s="15" t="s">
        <v>411</v>
      </c>
      <c r="E768" s="24" t="s">
        <v>72</v>
      </c>
      <c r="F768" s="24" t="s">
        <v>1915</v>
      </c>
      <c r="G768" s="24" t="s">
        <v>74</v>
      </c>
      <c r="H768" s="26"/>
    </row>
    <row r="769">
      <c r="A769" s="15" t="s">
        <v>1916</v>
      </c>
      <c r="B769" s="15" t="s">
        <v>1917</v>
      </c>
      <c r="C769" s="15" t="s">
        <v>34</v>
      </c>
      <c r="D769" s="15" t="s">
        <v>411</v>
      </c>
      <c r="E769" s="24" t="s">
        <v>72</v>
      </c>
      <c r="F769" s="24" t="s">
        <v>1918</v>
      </c>
      <c r="G769" s="24" t="s">
        <v>74</v>
      </c>
      <c r="H769" s="26"/>
    </row>
    <row r="770">
      <c r="A770" s="15" t="s">
        <v>1919</v>
      </c>
      <c r="B770" s="15" t="s">
        <v>1920</v>
      </c>
      <c r="C770" s="15" t="s">
        <v>34</v>
      </c>
      <c r="D770" s="15" t="s">
        <v>411</v>
      </c>
      <c r="E770" s="24" t="s">
        <v>72</v>
      </c>
      <c r="F770" s="24" t="s">
        <v>1921</v>
      </c>
      <c r="G770" s="24" t="s">
        <v>74</v>
      </c>
      <c r="H770" s="26"/>
    </row>
    <row r="771">
      <c r="A771" s="15" t="s">
        <v>1922</v>
      </c>
      <c r="B771" s="15" t="s">
        <v>1923</v>
      </c>
      <c r="C771" s="15" t="s">
        <v>34</v>
      </c>
      <c r="D771" s="15" t="s">
        <v>411</v>
      </c>
      <c r="E771" s="24" t="s">
        <v>72</v>
      </c>
      <c r="F771" s="24" t="s">
        <v>1924</v>
      </c>
      <c r="G771" s="24" t="s">
        <v>74</v>
      </c>
      <c r="H771" s="26"/>
    </row>
    <row r="772">
      <c r="A772" s="15" t="s">
        <v>1925</v>
      </c>
      <c r="B772" s="15" t="s">
        <v>1926</v>
      </c>
      <c r="C772" s="15" t="s">
        <v>34</v>
      </c>
      <c r="D772" s="15" t="s">
        <v>411</v>
      </c>
      <c r="E772" s="24" t="s">
        <v>72</v>
      </c>
      <c r="F772" s="24" t="s">
        <v>1927</v>
      </c>
      <c r="G772" s="24" t="s">
        <v>74</v>
      </c>
      <c r="H772" s="26"/>
    </row>
    <row r="773">
      <c r="A773" s="15" t="s">
        <v>1928</v>
      </c>
      <c r="B773" s="15" t="s">
        <v>1929</v>
      </c>
      <c r="C773" s="15" t="s">
        <v>34</v>
      </c>
      <c r="D773" s="15" t="s">
        <v>411</v>
      </c>
      <c r="E773" s="19" t="s">
        <v>72</v>
      </c>
      <c r="F773" s="19" t="s">
        <v>1930</v>
      </c>
      <c r="G773" s="19" t="s">
        <v>74</v>
      </c>
      <c r="H773" s="26"/>
    </row>
    <row r="774">
      <c r="A774" s="15" t="s">
        <v>1931</v>
      </c>
      <c r="B774" s="15" t="s">
        <v>1932</v>
      </c>
      <c r="C774" s="15" t="s">
        <v>34</v>
      </c>
      <c r="D774" s="15" t="s">
        <v>411</v>
      </c>
      <c r="E774" s="24" t="s">
        <v>72</v>
      </c>
      <c r="F774" s="24" t="s">
        <v>1933</v>
      </c>
      <c r="G774" s="24" t="s">
        <v>74</v>
      </c>
      <c r="H774" s="26"/>
    </row>
    <row r="775">
      <c r="A775" s="15" t="s">
        <v>1934</v>
      </c>
      <c r="B775" s="15" t="s">
        <v>1935</v>
      </c>
      <c r="C775" s="15" t="s">
        <v>34</v>
      </c>
      <c r="D775" s="15" t="s">
        <v>411</v>
      </c>
      <c r="E775" s="24" t="s">
        <v>72</v>
      </c>
      <c r="F775" s="24" t="s">
        <v>1936</v>
      </c>
      <c r="G775" s="24" t="s">
        <v>74</v>
      </c>
      <c r="H775" s="26"/>
    </row>
    <row r="776">
      <c r="A776" s="15" t="s">
        <v>1937</v>
      </c>
      <c r="B776" s="15" t="s">
        <v>1938</v>
      </c>
      <c r="C776" s="15" t="s">
        <v>34</v>
      </c>
      <c r="D776" s="15" t="s">
        <v>411</v>
      </c>
      <c r="E776" s="24" t="s">
        <v>72</v>
      </c>
      <c r="F776" s="24" t="s">
        <v>1939</v>
      </c>
      <c r="G776" s="24" t="s">
        <v>74</v>
      </c>
      <c r="H776" s="26"/>
    </row>
    <row r="777">
      <c r="A777" s="15" t="s">
        <v>1940</v>
      </c>
      <c r="B777" s="15" t="s">
        <v>1941</v>
      </c>
      <c r="C777" s="15" t="s">
        <v>34</v>
      </c>
      <c r="D777" s="15" t="s">
        <v>411</v>
      </c>
      <c r="E777" s="19" t="s">
        <v>72</v>
      </c>
      <c r="F777" s="19" t="s">
        <v>1942</v>
      </c>
      <c r="G777" s="19" t="s">
        <v>211</v>
      </c>
      <c r="H777" s="26"/>
    </row>
    <row r="778">
      <c r="A778" s="15" t="s">
        <v>1943</v>
      </c>
      <c r="B778" s="15" t="s">
        <v>1944</v>
      </c>
      <c r="C778" s="15" t="s">
        <v>34</v>
      </c>
      <c r="D778" s="15" t="s">
        <v>411</v>
      </c>
      <c r="E778" s="24" t="s">
        <v>72</v>
      </c>
      <c r="F778" s="24" t="s">
        <v>1945</v>
      </c>
      <c r="G778" s="24" t="s">
        <v>74</v>
      </c>
      <c r="H778" s="26"/>
    </row>
    <row r="779">
      <c r="A779" s="15" t="s">
        <v>1946</v>
      </c>
      <c r="B779" s="15" t="s">
        <v>1947</v>
      </c>
      <c r="C779" s="15" t="s">
        <v>34</v>
      </c>
      <c r="D779" s="15" t="s">
        <v>411</v>
      </c>
      <c r="E779" s="24" t="s">
        <v>72</v>
      </c>
      <c r="F779" s="24" t="s">
        <v>1948</v>
      </c>
      <c r="G779" s="24" t="s">
        <v>74</v>
      </c>
      <c r="H779" s="26"/>
    </row>
    <row r="780">
      <c r="A780" s="15" t="s">
        <v>1949</v>
      </c>
      <c r="B780" s="15" t="s">
        <v>1950</v>
      </c>
      <c r="C780" s="15" t="s">
        <v>34</v>
      </c>
      <c r="D780" s="15" t="s">
        <v>411</v>
      </c>
      <c r="E780" s="24" t="s">
        <v>72</v>
      </c>
      <c r="F780" s="24" t="s">
        <v>1951</v>
      </c>
      <c r="G780" s="24" t="s">
        <v>74</v>
      </c>
      <c r="H780" s="26"/>
    </row>
    <row r="781">
      <c r="A781" s="15" t="s">
        <v>1952</v>
      </c>
      <c r="B781" s="15" t="s">
        <v>1953</v>
      </c>
      <c r="C781" s="15" t="s">
        <v>34</v>
      </c>
      <c r="D781" s="15" t="s">
        <v>411</v>
      </c>
      <c r="E781" s="24" t="s">
        <v>72</v>
      </c>
      <c r="F781" s="24" t="s">
        <v>1954</v>
      </c>
      <c r="G781" s="24" t="s">
        <v>74</v>
      </c>
      <c r="H781" s="26"/>
    </row>
    <row r="782">
      <c r="A782" s="15" t="s">
        <v>1955</v>
      </c>
      <c r="B782" s="15" t="s">
        <v>1956</v>
      </c>
      <c r="C782" s="15" t="s">
        <v>34</v>
      </c>
      <c r="D782" s="15" t="s">
        <v>411</v>
      </c>
      <c r="E782" s="24" t="s">
        <v>72</v>
      </c>
      <c r="F782" s="24" t="s">
        <v>1957</v>
      </c>
      <c r="G782" s="24" t="s">
        <v>74</v>
      </c>
      <c r="H782" s="26"/>
    </row>
    <row r="783">
      <c r="A783" s="15" t="s">
        <v>1958</v>
      </c>
      <c r="B783" s="15" t="s">
        <v>1959</v>
      </c>
      <c r="C783" s="15" t="s">
        <v>34</v>
      </c>
      <c r="D783" s="15" t="s">
        <v>411</v>
      </c>
      <c r="E783" s="24" t="s">
        <v>72</v>
      </c>
      <c r="F783" s="24" t="s">
        <v>1960</v>
      </c>
      <c r="G783" s="24" t="s">
        <v>74</v>
      </c>
      <c r="H783" s="26"/>
    </row>
    <row r="784">
      <c r="A784" s="15" t="s">
        <v>1961</v>
      </c>
      <c r="B784" s="15" t="s">
        <v>1962</v>
      </c>
      <c r="C784" s="15" t="s">
        <v>34</v>
      </c>
      <c r="D784" s="15" t="s">
        <v>411</v>
      </c>
      <c r="E784" s="24" t="s">
        <v>72</v>
      </c>
      <c r="F784" s="24" t="s">
        <v>1963</v>
      </c>
      <c r="G784" s="24" t="s">
        <v>74</v>
      </c>
      <c r="H784" s="26"/>
    </row>
    <row r="785">
      <c r="A785" s="15" t="s">
        <v>1964</v>
      </c>
      <c r="B785" s="15" t="s">
        <v>1965</v>
      </c>
      <c r="C785" s="15" t="s">
        <v>34</v>
      </c>
      <c r="D785" s="15" t="s">
        <v>411</v>
      </c>
      <c r="E785" s="24" t="s">
        <v>72</v>
      </c>
      <c r="F785" s="24" t="s">
        <v>1966</v>
      </c>
      <c r="G785" s="24" t="s">
        <v>74</v>
      </c>
      <c r="H785" s="26"/>
    </row>
    <row r="786">
      <c r="A786" s="15" t="s">
        <v>1967</v>
      </c>
      <c r="B786" s="15" t="s">
        <v>1968</v>
      </c>
      <c r="C786" s="15" t="s">
        <v>34</v>
      </c>
      <c r="D786" s="15" t="s">
        <v>411</v>
      </c>
      <c r="E786" s="24" t="s">
        <v>72</v>
      </c>
      <c r="F786" s="24" t="s">
        <v>1969</v>
      </c>
      <c r="G786" s="24" t="s">
        <v>74</v>
      </c>
      <c r="H786" s="26"/>
    </row>
    <row r="787">
      <c r="A787" s="15" t="s">
        <v>1970</v>
      </c>
      <c r="B787" s="15" t="s">
        <v>1971</v>
      </c>
      <c r="C787" s="15" t="s">
        <v>34</v>
      </c>
      <c r="D787" s="15" t="s">
        <v>411</v>
      </c>
      <c r="E787" s="24" t="s">
        <v>72</v>
      </c>
      <c r="F787" s="24" t="s">
        <v>1972</v>
      </c>
      <c r="G787" s="24" t="s">
        <v>74</v>
      </c>
      <c r="H787" s="26"/>
    </row>
    <row r="788">
      <c r="A788" s="15" t="s">
        <v>1973</v>
      </c>
      <c r="B788" s="15" t="s">
        <v>1974</v>
      </c>
      <c r="C788" s="15" t="s">
        <v>34</v>
      </c>
      <c r="D788" s="15" t="s">
        <v>411</v>
      </c>
      <c r="E788" s="24" t="s">
        <v>72</v>
      </c>
      <c r="F788" s="24" t="s">
        <v>1975</v>
      </c>
      <c r="G788" s="24" t="s">
        <v>74</v>
      </c>
      <c r="H788" s="26"/>
    </row>
    <row r="789">
      <c r="A789" s="15" t="s">
        <v>1976</v>
      </c>
      <c r="B789" s="15" t="s">
        <v>1977</v>
      </c>
      <c r="C789" s="15" t="s">
        <v>34</v>
      </c>
      <c r="D789" s="15" t="s">
        <v>411</v>
      </c>
      <c r="E789" s="24" t="s">
        <v>72</v>
      </c>
      <c r="F789" s="24" t="s">
        <v>1978</v>
      </c>
      <c r="G789" s="24" t="s">
        <v>74</v>
      </c>
      <c r="H789" s="26"/>
    </row>
    <row r="790">
      <c r="A790" s="15" t="s">
        <v>1979</v>
      </c>
      <c r="B790" s="15" t="s">
        <v>1980</v>
      </c>
      <c r="C790" s="15" t="s">
        <v>34</v>
      </c>
      <c r="D790" s="15" t="s">
        <v>411</v>
      </c>
      <c r="E790" s="24" t="s">
        <v>72</v>
      </c>
      <c r="F790" s="24" t="s">
        <v>1981</v>
      </c>
      <c r="G790" s="24" t="s">
        <v>74</v>
      </c>
      <c r="H790" s="26"/>
    </row>
    <row r="791">
      <c r="A791" s="15" t="s">
        <v>1982</v>
      </c>
      <c r="B791" s="15" t="s">
        <v>1983</v>
      </c>
      <c r="C791" s="15" t="s">
        <v>34</v>
      </c>
      <c r="D791" s="15" t="s">
        <v>411</v>
      </c>
      <c r="E791" s="24" t="s">
        <v>72</v>
      </c>
      <c r="F791" s="24" t="s">
        <v>1984</v>
      </c>
      <c r="G791" s="24" t="s">
        <v>74</v>
      </c>
      <c r="H791" s="26"/>
    </row>
    <row r="792">
      <c r="A792" s="15" t="s">
        <v>1985</v>
      </c>
      <c r="B792" s="15" t="s">
        <v>1986</v>
      </c>
      <c r="C792" s="15" t="s">
        <v>34</v>
      </c>
      <c r="D792" s="15" t="s">
        <v>411</v>
      </c>
      <c r="E792" s="24" t="s">
        <v>72</v>
      </c>
      <c r="F792" s="24" t="s">
        <v>1987</v>
      </c>
      <c r="G792" s="24" t="s">
        <v>74</v>
      </c>
      <c r="H792" s="26"/>
    </row>
    <row r="793">
      <c r="A793" s="15" t="s">
        <v>1988</v>
      </c>
      <c r="B793" s="15" t="s">
        <v>1989</v>
      </c>
      <c r="C793" s="15" t="s">
        <v>34</v>
      </c>
      <c r="D793" s="15" t="s">
        <v>411</v>
      </c>
      <c r="E793" s="24" t="s">
        <v>72</v>
      </c>
      <c r="F793" s="24" t="s">
        <v>1990</v>
      </c>
      <c r="G793" s="24" t="s">
        <v>74</v>
      </c>
      <c r="H793" s="26"/>
    </row>
    <row r="794">
      <c r="A794" s="15" t="s">
        <v>1991</v>
      </c>
      <c r="B794" s="15" t="s">
        <v>1992</v>
      </c>
      <c r="C794" s="15" t="s">
        <v>34</v>
      </c>
      <c r="D794" s="15" t="s">
        <v>411</v>
      </c>
      <c r="E794" s="24" t="s">
        <v>72</v>
      </c>
      <c r="F794" s="24" t="s">
        <v>1993</v>
      </c>
      <c r="G794" s="24" t="s">
        <v>74</v>
      </c>
      <c r="H794" s="26"/>
    </row>
    <row r="795">
      <c r="A795" s="15" t="s">
        <v>1994</v>
      </c>
      <c r="B795" s="15" t="s">
        <v>1995</v>
      </c>
      <c r="C795" s="15" t="s">
        <v>34</v>
      </c>
      <c r="D795" s="15" t="s">
        <v>411</v>
      </c>
      <c r="E795" s="24" t="s">
        <v>72</v>
      </c>
      <c r="F795" s="24" t="s">
        <v>1996</v>
      </c>
      <c r="G795" s="24" t="s">
        <v>74</v>
      </c>
      <c r="H795" s="26"/>
    </row>
    <row r="796">
      <c r="A796" s="15" t="s">
        <v>1997</v>
      </c>
      <c r="B796" s="15" t="s">
        <v>1998</v>
      </c>
      <c r="C796" s="15" t="s">
        <v>34</v>
      </c>
      <c r="D796" s="15" t="s">
        <v>411</v>
      </c>
      <c r="E796" s="24" t="s">
        <v>72</v>
      </c>
      <c r="F796" s="24" t="s">
        <v>1999</v>
      </c>
      <c r="G796" s="24" t="s">
        <v>74</v>
      </c>
      <c r="H796" s="26"/>
    </row>
    <row r="797">
      <c r="A797" s="15" t="s">
        <v>2000</v>
      </c>
      <c r="B797" s="15" t="s">
        <v>2001</v>
      </c>
      <c r="C797" s="15" t="s">
        <v>34</v>
      </c>
      <c r="D797" s="15" t="s">
        <v>411</v>
      </c>
      <c r="E797" s="24" t="s">
        <v>72</v>
      </c>
      <c r="F797" s="24" t="s">
        <v>2002</v>
      </c>
      <c r="G797" s="24" t="s">
        <v>74</v>
      </c>
      <c r="H797" s="26"/>
    </row>
    <row r="798">
      <c r="A798" s="15" t="s">
        <v>2003</v>
      </c>
      <c r="B798" s="15" t="s">
        <v>2004</v>
      </c>
      <c r="C798" s="15" t="s">
        <v>34</v>
      </c>
      <c r="D798" s="15" t="s">
        <v>411</v>
      </c>
      <c r="E798" s="24" t="s">
        <v>72</v>
      </c>
      <c r="F798" s="24" t="s">
        <v>2005</v>
      </c>
      <c r="G798" s="24" t="s">
        <v>74</v>
      </c>
      <c r="H798" s="26"/>
    </row>
    <row r="799">
      <c r="A799" s="15" t="s">
        <v>2006</v>
      </c>
      <c r="B799" s="15" t="s">
        <v>2007</v>
      </c>
      <c r="C799" s="15" t="s">
        <v>34</v>
      </c>
      <c r="D799" s="15" t="s">
        <v>411</v>
      </c>
      <c r="E799" s="24" t="s">
        <v>72</v>
      </c>
      <c r="F799" s="24" t="s">
        <v>2008</v>
      </c>
      <c r="G799" s="24" t="s">
        <v>74</v>
      </c>
      <c r="H799" s="26"/>
    </row>
    <row r="800">
      <c r="A800" s="15" t="s">
        <v>2009</v>
      </c>
      <c r="B800" s="15" t="s">
        <v>2010</v>
      </c>
      <c r="C800" s="15" t="s">
        <v>34</v>
      </c>
      <c r="D800" s="15" t="s">
        <v>411</v>
      </c>
      <c r="E800" s="24" t="s">
        <v>72</v>
      </c>
      <c r="F800" s="24" t="s">
        <v>2011</v>
      </c>
      <c r="G800" s="24" t="s">
        <v>74</v>
      </c>
      <c r="H800" s="26"/>
    </row>
    <row r="801">
      <c r="A801" s="15" t="s">
        <v>2012</v>
      </c>
      <c r="B801" s="15" t="s">
        <v>2013</v>
      </c>
      <c r="C801" s="15" t="s">
        <v>34</v>
      </c>
      <c r="D801" s="15" t="s">
        <v>411</v>
      </c>
      <c r="E801" s="24" t="s">
        <v>72</v>
      </c>
      <c r="F801" s="24" t="s">
        <v>2014</v>
      </c>
      <c r="G801" s="24" t="s">
        <v>74</v>
      </c>
      <c r="H801" s="26"/>
    </row>
    <row r="802">
      <c r="A802" s="15" t="s">
        <v>2015</v>
      </c>
      <c r="B802" s="15" t="s">
        <v>2016</v>
      </c>
      <c r="C802" s="15" t="s">
        <v>34</v>
      </c>
      <c r="D802" s="15" t="s">
        <v>411</v>
      </c>
      <c r="E802" s="24" t="s">
        <v>72</v>
      </c>
      <c r="F802" s="24" t="s">
        <v>2017</v>
      </c>
      <c r="G802" s="24" t="s">
        <v>74</v>
      </c>
      <c r="H802" s="26"/>
    </row>
    <row r="803">
      <c r="A803" s="15" t="s">
        <v>2018</v>
      </c>
      <c r="B803" s="15" t="s">
        <v>2019</v>
      </c>
      <c r="C803" s="15" t="s">
        <v>34</v>
      </c>
      <c r="D803" s="15" t="s">
        <v>411</v>
      </c>
      <c r="E803" s="24" t="s">
        <v>72</v>
      </c>
      <c r="F803" s="24" t="s">
        <v>2020</v>
      </c>
      <c r="G803" s="24" t="s">
        <v>74</v>
      </c>
      <c r="H803" s="26"/>
    </row>
    <row r="804">
      <c r="A804" s="15" t="s">
        <v>2021</v>
      </c>
      <c r="B804" s="15" t="s">
        <v>2022</v>
      </c>
      <c r="C804" s="15" t="s">
        <v>34</v>
      </c>
      <c r="D804" s="15" t="s">
        <v>411</v>
      </c>
      <c r="E804" s="24" t="s">
        <v>72</v>
      </c>
      <c r="F804" s="24" t="s">
        <v>2023</v>
      </c>
      <c r="G804" s="24" t="s">
        <v>74</v>
      </c>
      <c r="H804" s="26"/>
    </row>
    <row r="805">
      <c r="A805" s="15" t="s">
        <v>2024</v>
      </c>
      <c r="B805" s="15" t="s">
        <v>2025</v>
      </c>
      <c r="C805" s="15" t="s">
        <v>34</v>
      </c>
      <c r="D805" s="15" t="s">
        <v>411</v>
      </c>
      <c r="E805" s="24" t="s">
        <v>72</v>
      </c>
      <c r="F805" s="24" t="s">
        <v>2026</v>
      </c>
      <c r="G805" s="24" t="s">
        <v>74</v>
      </c>
      <c r="H805" s="26"/>
    </row>
    <row r="806">
      <c r="A806" s="15" t="s">
        <v>2027</v>
      </c>
      <c r="B806" s="15" t="s">
        <v>2028</v>
      </c>
      <c r="C806" s="15" t="s">
        <v>34</v>
      </c>
      <c r="D806" s="15" t="s">
        <v>411</v>
      </c>
      <c r="E806" s="24" t="s">
        <v>72</v>
      </c>
      <c r="F806" s="24" t="s">
        <v>2029</v>
      </c>
      <c r="G806" s="24" t="s">
        <v>74</v>
      </c>
      <c r="H806" s="26"/>
    </row>
    <row r="807">
      <c r="A807" s="15" t="s">
        <v>2030</v>
      </c>
      <c r="B807" s="15" t="s">
        <v>2031</v>
      </c>
      <c r="C807" s="15" t="s">
        <v>34</v>
      </c>
      <c r="D807" s="15" t="s">
        <v>411</v>
      </c>
      <c r="E807" s="19" t="s">
        <v>72</v>
      </c>
      <c r="F807" s="19" t="s">
        <v>2032</v>
      </c>
      <c r="G807" s="19" t="s">
        <v>74</v>
      </c>
      <c r="H807" s="26"/>
    </row>
    <row r="808">
      <c r="A808" s="15" t="s">
        <v>2033</v>
      </c>
      <c r="B808" s="15" t="s">
        <v>2034</v>
      </c>
      <c r="C808" s="15" t="s">
        <v>34</v>
      </c>
      <c r="D808" s="15" t="s">
        <v>411</v>
      </c>
      <c r="E808" s="19" t="s">
        <v>72</v>
      </c>
      <c r="F808" s="19" t="s">
        <v>2035</v>
      </c>
      <c r="G808" s="19" t="s">
        <v>74</v>
      </c>
      <c r="H808" s="26"/>
    </row>
    <row r="809">
      <c r="A809" s="15" t="s">
        <v>2036</v>
      </c>
      <c r="B809" s="15" t="s">
        <v>2037</v>
      </c>
      <c r="C809" s="15" t="s">
        <v>34</v>
      </c>
      <c r="D809" s="15" t="s">
        <v>411</v>
      </c>
      <c r="E809" s="24" t="s">
        <v>72</v>
      </c>
      <c r="F809" s="24" t="s">
        <v>2038</v>
      </c>
      <c r="G809" s="24" t="s">
        <v>74</v>
      </c>
      <c r="H809" s="26"/>
    </row>
    <row r="810">
      <c r="A810" s="15" t="s">
        <v>2039</v>
      </c>
      <c r="B810" s="15" t="s">
        <v>2040</v>
      </c>
      <c r="C810" s="15" t="s">
        <v>34</v>
      </c>
      <c r="D810" s="15" t="s">
        <v>411</v>
      </c>
      <c r="E810" s="24" t="s">
        <v>72</v>
      </c>
      <c r="F810" s="24" t="s">
        <v>2041</v>
      </c>
      <c r="G810" s="24" t="s">
        <v>74</v>
      </c>
      <c r="H810" s="26"/>
    </row>
    <row r="811">
      <c r="A811" s="15" t="s">
        <v>2042</v>
      </c>
      <c r="B811" s="15" t="s">
        <v>2043</v>
      </c>
      <c r="C811" s="15" t="s">
        <v>34</v>
      </c>
      <c r="D811" s="15" t="s">
        <v>411</v>
      </c>
      <c r="E811" s="24" t="s">
        <v>72</v>
      </c>
      <c r="F811" s="24" t="s">
        <v>2044</v>
      </c>
      <c r="G811" s="24" t="s">
        <v>74</v>
      </c>
      <c r="H811" s="26"/>
    </row>
    <row r="812">
      <c r="A812" s="15" t="s">
        <v>2045</v>
      </c>
      <c r="B812" s="15" t="s">
        <v>2046</v>
      </c>
      <c r="C812" s="15" t="s">
        <v>34</v>
      </c>
      <c r="D812" s="15" t="s">
        <v>411</v>
      </c>
      <c r="E812" s="24" t="s">
        <v>72</v>
      </c>
      <c r="F812" s="24" t="s">
        <v>2047</v>
      </c>
      <c r="G812" s="24" t="s">
        <v>74</v>
      </c>
      <c r="H812" s="26"/>
    </row>
    <row r="813">
      <c r="A813" s="15" t="s">
        <v>2048</v>
      </c>
      <c r="B813" s="15" t="s">
        <v>2049</v>
      </c>
      <c r="C813" s="15" t="s">
        <v>34</v>
      </c>
      <c r="D813" s="15" t="s">
        <v>411</v>
      </c>
      <c r="E813" s="24" t="s">
        <v>72</v>
      </c>
      <c r="F813" s="24" t="s">
        <v>2050</v>
      </c>
      <c r="G813" s="24" t="s">
        <v>74</v>
      </c>
      <c r="H813" s="26"/>
    </row>
    <row r="814">
      <c r="A814" s="15" t="s">
        <v>2051</v>
      </c>
      <c r="B814" s="15" t="s">
        <v>2052</v>
      </c>
      <c r="C814" s="15" t="s">
        <v>34</v>
      </c>
      <c r="D814" s="15" t="s">
        <v>411</v>
      </c>
      <c r="E814" s="24" t="s">
        <v>72</v>
      </c>
      <c r="F814" s="24" t="s">
        <v>2053</v>
      </c>
      <c r="G814" s="24" t="s">
        <v>74</v>
      </c>
      <c r="H814" s="26"/>
    </row>
    <row r="815">
      <c r="A815" s="15" t="s">
        <v>2054</v>
      </c>
      <c r="B815" s="15" t="s">
        <v>2055</v>
      </c>
      <c r="C815" s="15" t="s">
        <v>34</v>
      </c>
      <c r="D815" s="15" t="s">
        <v>411</v>
      </c>
      <c r="E815" s="24" t="s">
        <v>72</v>
      </c>
      <c r="F815" s="24" t="s">
        <v>2056</v>
      </c>
      <c r="G815" s="24" t="s">
        <v>74</v>
      </c>
      <c r="H815" s="26"/>
    </row>
    <row r="816">
      <c r="A816" s="15" t="s">
        <v>2057</v>
      </c>
      <c r="B816" s="15" t="s">
        <v>2058</v>
      </c>
      <c r="C816" s="15" t="s">
        <v>34</v>
      </c>
      <c r="D816" s="15" t="s">
        <v>411</v>
      </c>
      <c r="E816" s="24" t="s">
        <v>72</v>
      </c>
      <c r="F816" s="24" t="s">
        <v>2059</v>
      </c>
      <c r="G816" s="24" t="s">
        <v>74</v>
      </c>
      <c r="H816" s="26"/>
    </row>
    <row r="817">
      <c r="A817" s="15" t="s">
        <v>2060</v>
      </c>
      <c r="B817" s="15" t="s">
        <v>2061</v>
      </c>
      <c r="C817" s="15" t="s">
        <v>34</v>
      </c>
      <c r="D817" s="15" t="s">
        <v>411</v>
      </c>
      <c r="E817" s="24" t="s">
        <v>72</v>
      </c>
      <c r="F817" s="24" t="s">
        <v>2062</v>
      </c>
      <c r="G817" s="24" t="s">
        <v>74</v>
      </c>
      <c r="H817" s="26"/>
    </row>
    <row r="818">
      <c r="A818" s="15" t="s">
        <v>2063</v>
      </c>
      <c r="B818" s="15" t="s">
        <v>2064</v>
      </c>
      <c r="C818" s="15" t="s">
        <v>34</v>
      </c>
      <c r="D818" s="15" t="s">
        <v>411</v>
      </c>
      <c r="E818" s="24" t="s">
        <v>72</v>
      </c>
      <c r="F818" s="24" t="s">
        <v>2065</v>
      </c>
      <c r="G818" s="24" t="s">
        <v>74</v>
      </c>
      <c r="H818" s="26"/>
    </row>
    <row r="819">
      <c r="A819" s="15" t="s">
        <v>2066</v>
      </c>
      <c r="B819" s="15" t="s">
        <v>2067</v>
      </c>
      <c r="C819" s="15" t="s">
        <v>34</v>
      </c>
      <c r="D819" s="15" t="s">
        <v>411</v>
      </c>
      <c r="E819" s="24" t="s">
        <v>72</v>
      </c>
      <c r="F819" s="24" t="s">
        <v>2068</v>
      </c>
      <c r="G819" s="24" t="s">
        <v>74</v>
      </c>
      <c r="H819" s="26"/>
    </row>
    <row r="820">
      <c r="A820" s="15" t="s">
        <v>2069</v>
      </c>
      <c r="B820" s="15" t="s">
        <v>2070</v>
      </c>
      <c r="C820" s="15" t="s">
        <v>34</v>
      </c>
      <c r="D820" s="15" t="s">
        <v>411</v>
      </c>
      <c r="E820" s="24" t="s">
        <v>72</v>
      </c>
      <c r="F820" s="24" t="s">
        <v>2071</v>
      </c>
      <c r="G820" s="24" t="s">
        <v>74</v>
      </c>
      <c r="H820" s="26"/>
    </row>
    <row r="821">
      <c r="A821" s="15" t="s">
        <v>2072</v>
      </c>
      <c r="B821" s="15" t="s">
        <v>2073</v>
      </c>
      <c r="C821" s="15" t="s">
        <v>34</v>
      </c>
      <c r="D821" s="15" t="s">
        <v>411</v>
      </c>
      <c r="E821" s="24" t="s">
        <v>72</v>
      </c>
      <c r="F821" s="24" t="s">
        <v>2074</v>
      </c>
      <c r="G821" s="24" t="s">
        <v>74</v>
      </c>
      <c r="H821" s="26"/>
    </row>
    <row r="822">
      <c r="A822" s="15" t="s">
        <v>2075</v>
      </c>
      <c r="B822" s="15" t="s">
        <v>2076</v>
      </c>
      <c r="C822" s="15" t="s">
        <v>34</v>
      </c>
      <c r="D822" s="15" t="s">
        <v>411</v>
      </c>
      <c r="E822" s="24" t="s">
        <v>72</v>
      </c>
      <c r="F822" s="24" t="s">
        <v>2077</v>
      </c>
      <c r="G822" s="24" t="s">
        <v>74</v>
      </c>
      <c r="H822" s="26"/>
    </row>
    <row r="823">
      <c r="A823" s="15" t="s">
        <v>2078</v>
      </c>
      <c r="B823" s="15" t="s">
        <v>2079</v>
      </c>
      <c r="C823" s="15" t="s">
        <v>34</v>
      </c>
      <c r="D823" s="15" t="s">
        <v>411</v>
      </c>
      <c r="E823" s="24" t="s">
        <v>72</v>
      </c>
      <c r="F823" s="24" t="s">
        <v>2080</v>
      </c>
      <c r="G823" s="24" t="s">
        <v>74</v>
      </c>
      <c r="H823" s="26"/>
    </row>
    <row r="824">
      <c r="A824" s="15" t="s">
        <v>2081</v>
      </c>
      <c r="B824" s="15" t="s">
        <v>2082</v>
      </c>
      <c r="C824" s="15" t="s">
        <v>34</v>
      </c>
      <c r="D824" s="15" t="s">
        <v>411</v>
      </c>
      <c r="E824" s="24" t="s">
        <v>72</v>
      </c>
      <c r="F824" s="24" t="s">
        <v>2083</v>
      </c>
      <c r="G824" s="24" t="s">
        <v>74</v>
      </c>
      <c r="H824" s="26"/>
    </row>
    <row r="825">
      <c r="A825" s="15" t="s">
        <v>2084</v>
      </c>
      <c r="B825" s="15" t="s">
        <v>2085</v>
      </c>
      <c r="C825" s="15" t="s">
        <v>34</v>
      </c>
      <c r="D825" s="15" t="s">
        <v>411</v>
      </c>
      <c r="E825" s="24" t="s">
        <v>72</v>
      </c>
      <c r="F825" s="24" t="s">
        <v>2086</v>
      </c>
      <c r="G825" s="24" t="s">
        <v>74</v>
      </c>
      <c r="H825" s="26"/>
    </row>
    <row r="826">
      <c r="A826" s="15" t="s">
        <v>2087</v>
      </c>
      <c r="B826" s="15" t="s">
        <v>2088</v>
      </c>
      <c r="C826" s="15" t="s">
        <v>34</v>
      </c>
      <c r="D826" s="15" t="s">
        <v>411</v>
      </c>
      <c r="E826" s="24" t="s">
        <v>72</v>
      </c>
      <c r="F826" s="24" t="s">
        <v>2089</v>
      </c>
      <c r="G826" s="24" t="s">
        <v>74</v>
      </c>
      <c r="H826" s="26"/>
    </row>
    <row r="827">
      <c r="A827" s="15" t="s">
        <v>2090</v>
      </c>
      <c r="B827" s="15" t="s">
        <v>2091</v>
      </c>
      <c r="C827" s="15" t="s">
        <v>34</v>
      </c>
      <c r="D827" s="15" t="s">
        <v>411</v>
      </c>
      <c r="E827" s="24" t="s">
        <v>72</v>
      </c>
      <c r="F827" s="24" t="s">
        <v>2092</v>
      </c>
      <c r="G827" s="24" t="s">
        <v>74</v>
      </c>
      <c r="H827" s="26"/>
    </row>
    <row r="828">
      <c r="A828" s="15" t="s">
        <v>2093</v>
      </c>
      <c r="B828" s="15" t="s">
        <v>2094</v>
      </c>
      <c r="C828" s="15" t="s">
        <v>34</v>
      </c>
      <c r="D828" s="15" t="s">
        <v>411</v>
      </c>
      <c r="E828" s="24" t="s">
        <v>72</v>
      </c>
      <c r="F828" s="24" t="s">
        <v>2095</v>
      </c>
      <c r="G828" s="24" t="s">
        <v>74</v>
      </c>
      <c r="H828" s="26"/>
    </row>
    <row r="829">
      <c r="A829" s="15" t="s">
        <v>2096</v>
      </c>
      <c r="B829" s="15" t="s">
        <v>2097</v>
      </c>
      <c r="C829" s="15" t="s">
        <v>34</v>
      </c>
      <c r="D829" s="15" t="s">
        <v>411</v>
      </c>
      <c r="E829" s="19" t="s">
        <v>72</v>
      </c>
      <c r="F829" s="19" t="s">
        <v>2098</v>
      </c>
      <c r="G829" s="19" t="s">
        <v>74</v>
      </c>
      <c r="H829" s="26"/>
    </row>
    <row r="830">
      <c r="A830" s="15" t="s">
        <v>2099</v>
      </c>
      <c r="B830" s="15" t="s">
        <v>2100</v>
      </c>
      <c r="C830" s="15" t="s">
        <v>34</v>
      </c>
      <c r="D830" s="15" t="s">
        <v>411</v>
      </c>
      <c r="E830" s="24" t="s">
        <v>72</v>
      </c>
      <c r="F830" s="24" t="s">
        <v>2101</v>
      </c>
      <c r="G830" s="24" t="s">
        <v>74</v>
      </c>
      <c r="H830" s="26"/>
    </row>
    <row r="831">
      <c r="A831" s="15" t="s">
        <v>2102</v>
      </c>
      <c r="B831" s="15" t="s">
        <v>2103</v>
      </c>
      <c r="C831" s="15" t="s">
        <v>34</v>
      </c>
      <c r="D831" s="15" t="s">
        <v>411</v>
      </c>
      <c r="E831" s="19" t="s">
        <v>195</v>
      </c>
      <c r="F831" s="19">
        <v>7420087.0</v>
      </c>
      <c r="G831" s="19" t="s">
        <v>2104</v>
      </c>
      <c r="H831" s="26"/>
    </row>
    <row r="832">
      <c r="A832" s="15" t="s">
        <v>2105</v>
      </c>
      <c r="B832" s="15" t="s">
        <v>2106</v>
      </c>
      <c r="C832" s="15" t="s">
        <v>34</v>
      </c>
      <c r="D832" s="15" t="s">
        <v>411</v>
      </c>
      <c r="E832" s="24" t="s">
        <v>72</v>
      </c>
      <c r="F832" s="24" t="s">
        <v>2107</v>
      </c>
      <c r="G832" s="24" t="s">
        <v>74</v>
      </c>
      <c r="H832" s="26"/>
    </row>
    <row r="833">
      <c r="A833" s="15" t="s">
        <v>2108</v>
      </c>
      <c r="B833" s="15" t="s">
        <v>2109</v>
      </c>
      <c r="C833" s="15" t="s">
        <v>34</v>
      </c>
      <c r="D833" s="15" t="s">
        <v>411</v>
      </c>
      <c r="E833" s="24" t="s">
        <v>72</v>
      </c>
      <c r="F833" s="24" t="s">
        <v>2110</v>
      </c>
      <c r="G833" s="24" t="s">
        <v>74</v>
      </c>
      <c r="H833" s="26"/>
    </row>
    <row r="834">
      <c r="A834" s="15" t="s">
        <v>2111</v>
      </c>
      <c r="B834" s="15" t="s">
        <v>2112</v>
      </c>
      <c r="C834" s="15" t="s">
        <v>34</v>
      </c>
      <c r="D834" s="15" t="s">
        <v>411</v>
      </c>
      <c r="E834" s="24" t="s">
        <v>72</v>
      </c>
      <c r="F834" s="24" t="s">
        <v>2113</v>
      </c>
      <c r="G834" s="24" t="s">
        <v>74</v>
      </c>
      <c r="H834" s="26"/>
    </row>
    <row r="835">
      <c r="A835" s="15" t="s">
        <v>2114</v>
      </c>
      <c r="B835" s="15" t="s">
        <v>2115</v>
      </c>
      <c r="C835" s="15" t="s">
        <v>34</v>
      </c>
      <c r="D835" s="15" t="s">
        <v>411</v>
      </c>
      <c r="E835" s="24" t="s">
        <v>72</v>
      </c>
      <c r="F835" s="24" t="s">
        <v>2116</v>
      </c>
      <c r="G835" s="24" t="s">
        <v>74</v>
      </c>
      <c r="H835" s="26"/>
    </row>
    <row r="836">
      <c r="A836" s="15" t="s">
        <v>2117</v>
      </c>
      <c r="B836" s="15" t="s">
        <v>2118</v>
      </c>
      <c r="C836" s="15" t="s">
        <v>34</v>
      </c>
      <c r="D836" s="15" t="s">
        <v>411</v>
      </c>
      <c r="E836" s="19" t="s">
        <v>72</v>
      </c>
      <c r="F836" s="19" t="s">
        <v>2119</v>
      </c>
      <c r="G836" s="19" t="s">
        <v>74</v>
      </c>
      <c r="H836" s="26"/>
    </row>
    <row r="837">
      <c r="A837" s="15" t="s">
        <v>2120</v>
      </c>
      <c r="B837" s="15" t="s">
        <v>2121</v>
      </c>
      <c r="C837" s="15" t="s">
        <v>34</v>
      </c>
      <c r="D837" s="15" t="s">
        <v>411</v>
      </c>
      <c r="E837" s="24" t="s">
        <v>72</v>
      </c>
      <c r="F837" s="24" t="s">
        <v>2122</v>
      </c>
      <c r="G837" s="24" t="s">
        <v>74</v>
      </c>
      <c r="H837" s="26"/>
    </row>
    <row r="838">
      <c r="A838" s="15" t="s">
        <v>2123</v>
      </c>
      <c r="B838" s="15" t="s">
        <v>2124</v>
      </c>
      <c r="C838" s="15" t="s">
        <v>34</v>
      </c>
      <c r="D838" s="15" t="s">
        <v>411</v>
      </c>
      <c r="E838" s="24" t="s">
        <v>72</v>
      </c>
      <c r="F838" s="24" t="s">
        <v>2125</v>
      </c>
      <c r="G838" s="24" t="s">
        <v>74</v>
      </c>
      <c r="H838" s="26"/>
    </row>
    <row r="839">
      <c r="A839" s="15" t="s">
        <v>2126</v>
      </c>
      <c r="B839" s="15" t="s">
        <v>2127</v>
      </c>
      <c r="C839" s="15" t="s">
        <v>34</v>
      </c>
      <c r="D839" s="15" t="s">
        <v>411</v>
      </c>
      <c r="E839" s="24" t="s">
        <v>72</v>
      </c>
      <c r="F839" s="24" t="s">
        <v>2128</v>
      </c>
      <c r="G839" s="24" t="s">
        <v>74</v>
      </c>
      <c r="H839" s="26"/>
    </row>
    <row r="840">
      <c r="A840" s="15" t="s">
        <v>2129</v>
      </c>
      <c r="B840" s="15" t="s">
        <v>2130</v>
      </c>
      <c r="C840" s="15" t="s">
        <v>34</v>
      </c>
      <c r="D840" s="15" t="s">
        <v>411</v>
      </c>
      <c r="E840" s="24" t="s">
        <v>72</v>
      </c>
      <c r="F840" s="24" t="s">
        <v>2131</v>
      </c>
      <c r="G840" s="24" t="s">
        <v>74</v>
      </c>
      <c r="H840" s="26"/>
    </row>
    <row r="841">
      <c r="A841" s="15" t="s">
        <v>2132</v>
      </c>
      <c r="B841" s="15" t="s">
        <v>2133</v>
      </c>
      <c r="C841" s="15" t="s">
        <v>34</v>
      </c>
      <c r="D841" s="15" t="s">
        <v>411</v>
      </c>
      <c r="E841" s="24" t="s">
        <v>72</v>
      </c>
      <c r="F841" s="24" t="s">
        <v>2134</v>
      </c>
      <c r="G841" s="24" t="s">
        <v>74</v>
      </c>
      <c r="H841" s="26"/>
    </row>
    <row r="842">
      <c r="A842" s="15" t="s">
        <v>2135</v>
      </c>
      <c r="B842" s="15" t="s">
        <v>2136</v>
      </c>
      <c r="C842" s="15" t="s">
        <v>34</v>
      </c>
      <c r="D842" s="15" t="s">
        <v>411</v>
      </c>
      <c r="E842" s="24" t="s">
        <v>72</v>
      </c>
      <c r="F842" s="24" t="s">
        <v>2137</v>
      </c>
      <c r="G842" s="24" t="s">
        <v>74</v>
      </c>
      <c r="H842" s="26"/>
    </row>
    <row r="843">
      <c r="A843" s="15" t="s">
        <v>2138</v>
      </c>
      <c r="B843" s="15" t="s">
        <v>2139</v>
      </c>
      <c r="C843" s="15" t="s">
        <v>34</v>
      </c>
      <c r="D843" s="15" t="s">
        <v>411</v>
      </c>
      <c r="E843" s="24" t="s">
        <v>72</v>
      </c>
      <c r="F843" s="24" t="s">
        <v>2140</v>
      </c>
      <c r="G843" s="24" t="s">
        <v>74</v>
      </c>
      <c r="H843" s="26"/>
    </row>
    <row r="844">
      <c r="A844" s="15" t="s">
        <v>2141</v>
      </c>
      <c r="B844" s="15" t="s">
        <v>2142</v>
      </c>
      <c r="C844" s="15" t="s">
        <v>34</v>
      </c>
      <c r="D844" s="15" t="s">
        <v>411</v>
      </c>
      <c r="E844" s="24" t="s">
        <v>72</v>
      </c>
      <c r="F844" s="24" t="s">
        <v>2143</v>
      </c>
      <c r="G844" s="24" t="s">
        <v>74</v>
      </c>
      <c r="H844" s="26"/>
    </row>
    <row r="845">
      <c r="A845" s="15" t="s">
        <v>2144</v>
      </c>
      <c r="B845" s="15" t="s">
        <v>2145</v>
      </c>
      <c r="C845" s="15" t="s">
        <v>34</v>
      </c>
      <c r="D845" s="15" t="s">
        <v>411</v>
      </c>
      <c r="E845" s="24" t="s">
        <v>72</v>
      </c>
      <c r="F845" s="24" t="s">
        <v>2146</v>
      </c>
      <c r="G845" s="24" t="s">
        <v>74</v>
      </c>
      <c r="H845" s="26"/>
    </row>
    <row r="846">
      <c r="A846" s="15" t="s">
        <v>2147</v>
      </c>
      <c r="B846" s="15" t="s">
        <v>2148</v>
      </c>
      <c r="C846" s="15" t="s">
        <v>34</v>
      </c>
      <c r="D846" s="15" t="s">
        <v>411</v>
      </c>
      <c r="E846" s="24" t="s">
        <v>72</v>
      </c>
      <c r="F846" s="24" t="s">
        <v>2149</v>
      </c>
      <c r="G846" s="24" t="s">
        <v>74</v>
      </c>
      <c r="H846" s="26"/>
    </row>
    <row r="847">
      <c r="A847" s="15" t="s">
        <v>2150</v>
      </c>
      <c r="B847" s="15" t="s">
        <v>2151</v>
      </c>
      <c r="C847" s="15" t="s">
        <v>34</v>
      </c>
      <c r="D847" s="15" t="s">
        <v>411</v>
      </c>
      <c r="E847" s="24" t="s">
        <v>72</v>
      </c>
      <c r="F847" s="24" t="s">
        <v>2152</v>
      </c>
      <c r="G847" s="24" t="s">
        <v>74</v>
      </c>
      <c r="H847" s="26"/>
    </row>
    <row r="848">
      <c r="A848" s="15" t="s">
        <v>2153</v>
      </c>
      <c r="B848" s="15" t="s">
        <v>2154</v>
      </c>
      <c r="C848" s="15" t="s">
        <v>34</v>
      </c>
      <c r="D848" s="15" t="s">
        <v>411</v>
      </c>
      <c r="E848" s="24" t="s">
        <v>72</v>
      </c>
      <c r="F848" s="24" t="s">
        <v>2155</v>
      </c>
      <c r="G848" s="24" t="s">
        <v>74</v>
      </c>
      <c r="H848" s="26"/>
    </row>
    <row r="849">
      <c r="A849" s="15" t="s">
        <v>2156</v>
      </c>
      <c r="B849" s="15" t="s">
        <v>2157</v>
      </c>
      <c r="C849" s="15" t="s">
        <v>34</v>
      </c>
      <c r="D849" s="15" t="s">
        <v>411</v>
      </c>
      <c r="E849" s="24" t="s">
        <v>72</v>
      </c>
      <c r="F849" s="24" t="s">
        <v>2158</v>
      </c>
      <c r="G849" s="24" t="s">
        <v>74</v>
      </c>
      <c r="H849" s="26"/>
    </row>
    <row r="850">
      <c r="A850" s="15" t="s">
        <v>2159</v>
      </c>
      <c r="B850" s="15" t="s">
        <v>2160</v>
      </c>
      <c r="C850" s="15" t="s">
        <v>34</v>
      </c>
      <c r="D850" s="15" t="s">
        <v>411</v>
      </c>
      <c r="E850" s="24" t="s">
        <v>72</v>
      </c>
      <c r="F850" s="24" t="s">
        <v>2161</v>
      </c>
      <c r="G850" s="24" t="s">
        <v>74</v>
      </c>
      <c r="H850" s="26"/>
    </row>
    <row r="851">
      <c r="A851" s="15" t="s">
        <v>2162</v>
      </c>
      <c r="B851" s="15" t="s">
        <v>2163</v>
      </c>
      <c r="C851" s="15" t="s">
        <v>34</v>
      </c>
      <c r="D851" s="15" t="s">
        <v>411</v>
      </c>
      <c r="E851" s="19" t="s">
        <v>72</v>
      </c>
      <c r="F851" s="19">
        <v>7425642.0</v>
      </c>
      <c r="G851" s="19" t="s">
        <v>74</v>
      </c>
      <c r="H851" s="26"/>
    </row>
    <row r="852">
      <c r="A852" s="15" t="s">
        <v>2164</v>
      </c>
      <c r="B852" s="15" t="s">
        <v>2165</v>
      </c>
      <c r="C852" s="15" t="s">
        <v>34</v>
      </c>
      <c r="D852" s="15" t="s">
        <v>411</v>
      </c>
      <c r="E852" s="24" t="s">
        <v>72</v>
      </c>
      <c r="F852" s="24" t="s">
        <v>2166</v>
      </c>
      <c r="G852" s="24" t="s">
        <v>74</v>
      </c>
      <c r="H852" s="26"/>
    </row>
    <row r="853">
      <c r="A853" s="15" t="s">
        <v>2167</v>
      </c>
      <c r="B853" s="15" t="s">
        <v>2168</v>
      </c>
      <c r="C853" s="15" t="s">
        <v>34</v>
      </c>
      <c r="D853" s="15" t="s">
        <v>411</v>
      </c>
      <c r="E853" s="24" t="s">
        <v>72</v>
      </c>
      <c r="F853" s="24" t="s">
        <v>2169</v>
      </c>
      <c r="G853" s="24" t="s">
        <v>74</v>
      </c>
      <c r="H853" s="26"/>
    </row>
    <row r="854">
      <c r="A854" s="15" t="s">
        <v>2170</v>
      </c>
      <c r="B854" s="15" t="s">
        <v>2171</v>
      </c>
      <c r="C854" s="15" t="s">
        <v>34</v>
      </c>
      <c r="D854" s="15" t="s">
        <v>411</v>
      </c>
      <c r="E854" s="24" t="s">
        <v>72</v>
      </c>
      <c r="F854" s="24" t="s">
        <v>2172</v>
      </c>
      <c r="G854" s="24" t="s">
        <v>74</v>
      </c>
      <c r="H854" s="26"/>
    </row>
    <row r="855">
      <c r="A855" s="15" t="s">
        <v>2173</v>
      </c>
      <c r="B855" s="15" t="s">
        <v>2174</v>
      </c>
      <c r="C855" s="15" t="s">
        <v>34</v>
      </c>
      <c r="D855" s="15" t="s">
        <v>411</v>
      </c>
      <c r="E855" s="24" t="s">
        <v>72</v>
      </c>
      <c r="F855" s="24" t="s">
        <v>2175</v>
      </c>
      <c r="G855" s="24" t="s">
        <v>74</v>
      </c>
      <c r="H855" s="26"/>
    </row>
    <row r="856">
      <c r="A856" s="15" t="s">
        <v>2176</v>
      </c>
      <c r="B856" s="15" t="s">
        <v>2177</v>
      </c>
      <c r="C856" s="15" t="s">
        <v>34</v>
      </c>
      <c r="D856" s="15" t="s">
        <v>411</v>
      </c>
      <c r="E856" s="24" t="s">
        <v>72</v>
      </c>
      <c r="F856" s="24" t="s">
        <v>2178</v>
      </c>
      <c r="G856" s="24" t="s">
        <v>74</v>
      </c>
      <c r="H856" s="26"/>
    </row>
    <row r="857">
      <c r="A857" s="15" t="s">
        <v>2179</v>
      </c>
      <c r="B857" s="15" t="s">
        <v>2180</v>
      </c>
      <c r="C857" s="15" t="s">
        <v>34</v>
      </c>
      <c r="D857" s="15" t="s">
        <v>411</v>
      </c>
      <c r="E857" s="19" t="s">
        <v>72</v>
      </c>
      <c r="F857" s="19" t="s">
        <v>2181</v>
      </c>
      <c r="G857" s="24" t="s">
        <v>74</v>
      </c>
      <c r="H857" s="26"/>
    </row>
    <row r="858">
      <c r="A858" s="15" t="s">
        <v>2182</v>
      </c>
      <c r="B858" s="15" t="s">
        <v>2183</v>
      </c>
      <c r="C858" s="15" t="s">
        <v>34</v>
      </c>
      <c r="D858" s="15" t="s">
        <v>411</v>
      </c>
      <c r="E858" s="24" t="s">
        <v>72</v>
      </c>
      <c r="F858" s="19" t="s">
        <v>2184</v>
      </c>
      <c r="G858" s="24" t="s">
        <v>74</v>
      </c>
      <c r="H858" s="26"/>
    </row>
    <row r="859">
      <c r="A859" s="15" t="s">
        <v>2185</v>
      </c>
      <c r="B859" s="15" t="s">
        <v>2186</v>
      </c>
      <c r="C859" s="15" t="s">
        <v>34</v>
      </c>
      <c r="D859" s="15" t="s">
        <v>411</v>
      </c>
      <c r="E859" s="24" t="s">
        <v>72</v>
      </c>
      <c r="F859" s="24" t="s">
        <v>2187</v>
      </c>
      <c r="G859" s="24" t="s">
        <v>74</v>
      </c>
      <c r="H859" s="26"/>
    </row>
    <row r="860">
      <c r="A860" s="15" t="s">
        <v>2188</v>
      </c>
      <c r="B860" s="15" t="s">
        <v>2189</v>
      </c>
      <c r="C860" s="15" t="s">
        <v>34</v>
      </c>
      <c r="D860" s="15" t="s">
        <v>411</v>
      </c>
      <c r="E860" s="24" t="s">
        <v>72</v>
      </c>
      <c r="F860" s="24" t="s">
        <v>2190</v>
      </c>
      <c r="G860" s="24" t="s">
        <v>74</v>
      </c>
      <c r="H860" s="26"/>
    </row>
    <row r="861">
      <c r="A861" s="15" t="s">
        <v>2191</v>
      </c>
      <c r="B861" s="15" t="s">
        <v>2192</v>
      </c>
      <c r="C861" s="15" t="s">
        <v>34</v>
      </c>
      <c r="D861" s="15" t="s">
        <v>411</v>
      </c>
      <c r="E861" s="24" t="s">
        <v>72</v>
      </c>
      <c r="F861" s="24" t="s">
        <v>2193</v>
      </c>
      <c r="G861" s="24" t="s">
        <v>74</v>
      </c>
      <c r="H861" s="26"/>
    </row>
    <row r="862">
      <c r="A862" s="15" t="s">
        <v>2194</v>
      </c>
      <c r="B862" s="15" t="s">
        <v>2195</v>
      </c>
      <c r="C862" s="15" t="s">
        <v>34</v>
      </c>
      <c r="D862" s="15" t="s">
        <v>411</v>
      </c>
      <c r="E862" s="24" t="s">
        <v>72</v>
      </c>
      <c r="F862" s="24" t="s">
        <v>2196</v>
      </c>
      <c r="G862" s="24" t="s">
        <v>74</v>
      </c>
      <c r="H862" s="26"/>
    </row>
    <row r="863">
      <c r="A863" s="15" t="s">
        <v>2197</v>
      </c>
      <c r="B863" s="15" t="s">
        <v>2198</v>
      </c>
      <c r="C863" s="15" t="s">
        <v>34</v>
      </c>
      <c r="D863" s="15" t="s">
        <v>411</v>
      </c>
      <c r="E863" s="24" t="s">
        <v>72</v>
      </c>
      <c r="F863" s="24" t="s">
        <v>2199</v>
      </c>
      <c r="G863" s="24" t="s">
        <v>74</v>
      </c>
      <c r="H863" s="26"/>
    </row>
    <row r="864">
      <c r="A864" s="15" t="s">
        <v>2200</v>
      </c>
      <c r="B864" s="15" t="s">
        <v>2201</v>
      </c>
      <c r="C864" s="15" t="s">
        <v>34</v>
      </c>
      <c r="D864" s="15" t="s">
        <v>411</v>
      </c>
      <c r="E864" s="24" t="s">
        <v>72</v>
      </c>
      <c r="F864" s="24" t="s">
        <v>2202</v>
      </c>
      <c r="G864" s="24" t="s">
        <v>74</v>
      </c>
      <c r="H864" s="26"/>
    </row>
    <row r="865">
      <c r="A865" s="15" t="s">
        <v>2203</v>
      </c>
      <c r="B865" s="15" t="s">
        <v>2204</v>
      </c>
      <c r="C865" s="15" t="s">
        <v>34</v>
      </c>
      <c r="D865" s="15" t="s">
        <v>411</v>
      </c>
      <c r="E865" s="24" t="s">
        <v>72</v>
      </c>
      <c r="F865" s="24" t="s">
        <v>2205</v>
      </c>
      <c r="G865" s="24" t="s">
        <v>74</v>
      </c>
      <c r="H865" s="26"/>
    </row>
    <row r="866">
      <c r="A866" s="15" t="s">
        <v>2206</v>
      </c>
      <c r="B866" s="15" t="s">
        <v>2207</v>
      </c>
      <c r="C866" s="15" t="s">
        <v>34</v>
      </c>
      <c r="D866" s="15" t="s">
        <v>411</v>
      </c>
      <c r="E866" s="24" t="s">
        <v>72</v>
      </c>
      <c r="F866" s="24" t="s">
        <v>2208</v>
      </c>
      <c r="G866" s="24" t="s">
        <v>74</v>
      </c>
      <c r="H866" s="26"/>
    </row>
    <row r="867">
      <c r="A867" s="15" t="s">
        <v>2209</v>
      </c>
      <c r="B867" s="15" t="s">
        <v>2210</v>
      </c>
      <c r="C867" s="15" t="s">
        <v>34</v>
      </c>
      <c r="D867" s="15" t="s">
        <v>411</v>
      </c>
      <c r="E867" s="24" t="s">
        <v>72</v>
      </c>
      <c r="F867" s="24" t="s">
        <v>2211</v>
      </c>
      <c r="G867" s="24" t="s">
        <v>74</v>
      </c>
      <c r="H867" s="26"/>
    </row>
    <row r="868">
      <c r="A868" s="15" t="s">
        <v>2212</v>
      </c>
      <c r="B868" s="15" t="s">
        <v>2213</v>
      </c>
      <c r="C868" s="15" t="s">
        <v>34</v>
      </c>
      <c r="D868" s="15" t="s">
        <v>411</v>
      </c>
      <c r="E868" s="24" t="s">
        <v>72</v>
      </c>
      <c r="F868" s="24" t="s">
        <v>2214</v>
      </c>
      <c r="G868" s="24" t="s">
        <v>74</v>
      </c>
      <c r="H868" s="26"/>
    </row>
    <row r="869">
      <c r="A869" s="15" t="s">
        <v>2215</v>
      </c>
      <c r="B869" s="15" t="s">
        <v>2216</v>
      </c>
      <c r="C869" s="15" t="s">
        <v>34</v>
      </c>
      <c r="D869" s="15" t="s">
        <v>411</v>
      </c>
      <c r="E869" s="24" t="s">
        <v>72</v>
      </c>
      <c r="F869" s="24" t="s">
        <v>2217</v>
      </c>
      <c r="G869" s="24" t="s">
        <v>74</v>
      </c>
      <c r="H869" s="26"/>
    </row>
    <row r="870">
      <c r="A870" s="15" t="s">
        <v>2218</v>
      </c>
      <c r="B870" s="15" t="s">
        <v>2219</v>
      </c>
      <c r="C870" s="15" t="s">
        <v>34</v>
      </c>
      <c r="D870" s="15" t="s">
        <v>411</v>
      </c>
      <c r="E870" s="24" t="s">
        <v>72</v>
      </c>
      <c r="F870" s="24" t="s">
        <v>2220</v>
      </c>
      <c r="G870" s="24" t="s">
        <v>74</v>
      </c>
      <c r="H870" s="26"/>
    </row>
    <row r="871">
      <c r="A871" s="15" t="s">
        <v>2221</v>
      </c>
      <c r="B871" s="15" t="s">
        <v>2222</v>
      </c>
      <c r="C871" s="15" t="s">
        <v>34</v>
      </c>
      <c r="D871" s="15" t="s">
        <v>411</v>
      </c>
      <c r="E871" s="24" t="s">
        <v>72</v>
      </c>
      <c r="F871" s="24" t="s">
        <v>2223</v>
      </c>
      <c r="G871" s="24" t="s">
        <v>74</v>
      </c>
      <c r="H871" s="26"/>
    </row>
    <row r="872">
      <c r="A872" s="15" t="s">
        <v>2224</v>
      </c>
      <c r="B872" s="15" t="s">
        <v>2225</v>
      </c>
      <c r="C872" s="15" t="s">
        <v>34</v>
      </c>
      <c r="D872" s="15" t="s">
        <v>411</v>
      </c>
      <c r="E872" s="24" t="s">
        <v>72</v>
      </c>
      <c r="F872" s="24" t="s">
        <v>2226</v>
      </c>
      <c r="G872" s="24" t="s">
        <v>74</v>
      </c>
      <c r="H872" s="26"/>
    </row>
    <row r="873">
      <c r="A873" s="15" t="s">
        <v>2227</v>
      </c>
      <c r="B873" s="15" t="s">
        <v>2228</v>
      </c>
      <c r="C873" s="15" t="s">
        <v>34</v>
      </c>
      <c r="D873" s="15" t="s">
        <v>411</v>
      </c>
      <c r="E873" s="24" t="s">
        <v>72</v>
      </c>
      <c r="F873" s="24" t="s">
        <v>2229</v>
      </c>
      <c r="G873" s="24" t="s">
        <v>74</v>
      </c>
      <c r="H873" s="26"/>
    </row>
    <row r="874">
      <c r="A874" s="15" t="s">
        <v>2230</v>
      </c>
      <c r="B874" s="15" t="s">
        <v>2231</v>
      </c>
      <c r="C874" s="15" t="s">
        <v>34</v>
      </c>
      <c r="D874" s="15" t="s">
        <v>411</v>
      </c>
      <c r="E874" s="24" t="s">
        <v>72</v>
      </c>
      <c r="F874" s="24" t="s">
        <v>2232</v>
      </c>
      <c r="G874" s="24" t="s">
        <v>74</v>
      </c>
      <c r="H874" s="26"/>
    </row>
    <row r="875">
      <c r="A875" s="15" t="s">
        <v>2233</v>
      </c>
      <c r="B875" s="15" t="s">
        <v>2234</v>
      </c>
      <c r="C875" s="15" t="s">
        <v>34</v>
      </c>
      <c r="D875" s="15" t="s">
        <v>411</v>
      </c>
      <c r="E875" s="24" t="s">
        <v>72</v>
      </c>
      <c r="F875" s="24" t="s">
        <v>2235</v>
      </c>
      <c r="G875" s="24" t="s">
        <v>74</v>
      </c>
      <c r="H875" s="26"/>
    </row>
    <row r="876">
      <c r="A876" s="15" t="s">
        <v>2236</v>
      </c>
      <c r="B876" s="15" t="s">
        <v>2237</v>
      </c>
      <c r="C876" s="15" t="s">
        <v>34</v>
      </c>
      <c r="D876" s="15" t="s">
        <v>411</v>
      </c>
      <c r="E876" s="24" t="s">
        <v>72</v>
      </c>
      <c r="F876" s="24" t="s">
        <v>2238</v>
      </c>
      <c r="G876" s="24" t="s">
        <v>74</v>
      </c>
      <c r="H876" s="26"/>
    </row>
    <row r="877">
      <c r="A877" s="15" t="s">
        <v>2239</v>
      </c>
      <c r="B877" s="15" t="s">
        <v>2240</v>
      </c>
      <c r="C877" s="15" t="s">
        <v>34</v>
      </c>
      <c r="D877" s="15" t="s">
        <v>411</v>
      </c>
      <c r="E877" s="24" t="s">
        <v>72</v>
      </c>
      <c r="F877" s="24" t="s">
        <v>2241</v>
      </c>
      <c r="G877" s="24" t="s">
        <v>74</v>
      </c>
      <c r="H877" s="26"/>
    </row>
    <row r="878">
      <c r="A878" s="15" t="s">
        <v>2242</v>
      </c>
      <c r="B878" s="15" t="s">
        <v>2243</v>
      </c>
      <c r="C878" s="15" t="s">
        <v>34</v>
      </c>
      <c r="D878" s="15" t="s">
        <v>411</v>
      </c>
      <c r="E878" s="24" t="s">
        <v>72</v>
      </c>
      <c r="F878" s="24" t="s">
        <v>2244</v>
      </c>
      <c r="G878" s="24" t="s">
        <v>74</v>
      </c>
      <c r="H878" s="26"/>
    </row>
    <row r="879">
      <c r="A879" s="15" t="s">
        <v>2245</v>
      </c>
      <c r="B879" s="15" t="s">
        <v>2246</v>
      </c>
      <c r="C879" s="15" t="s">
        <v>34</v>
      </c>
      <c r="D879" s="15" t="s">
        <v>411</v>
      </c>
      <c r="E879" s="24" t="s">
        <v>72</v>
      </c>
      <c r="F879" s="24" t="s">
        <v>2247</v>
      </c>
      <c r="G879" s="24" t="s">
        <v>74</v>
      </c>
      <c r="H879" s="26"/>
    </row>
    <row r="880">
      <c r="A880" s="15" t="s">
        <v>2248</v>
      </c>
      <c r="B880" s="15" t="s">
        <v>2249</v>
      </c>
      <c r="C880" s="15" t="s">
        <v>34</v>
      </c>
      <c r="D880" s="15" t="s">
        <v>411</v>
      </c>
      <c r="E880" s="24" t="s">
        <v>72</v>
      </c>
      <c r="F880" s="24" t="s">
        <v>2250</v>
      </c>
      <c r="G880" s="24" t="s">
        <v>74</v>
      </c>
      <c r="H880" s="26"/>
    </row>
    <row r="881">
      <c r="A881" s="15" t="s">
        <v>2251</v>
      </c>
      <c r="B881" s="15" t="s">
        <v>2252</v>
      </c>
      <c r="C881" s="15" t="s">
        <v>34</v>
      </c>
      <c r="D881" s="15" t="s">
        <v>411</v>
      </c>
      <c r="E881" s="24" t="s">
        <v>72</v>
      </c>
      <c r="F881" s="24" t="s">
        <v>2253</v>
      </c>
      <c r="G881" s="24" t="s">
        <v>74</v>
      </c>
      <c r="H881" s="26"/>
    </row>
    <row r="882">
      <c r="A882" s="15" t="s">
        <v>2254</v>
      </c>
      <c r="B882" s="15" t="s">
        <v>2255</v>
      </c>
      <c r="C882" s="15" t="s">
        <v>34</v>
      </c>
      <c r="D882" s="15" t="s">
        <v>411</v>
      </c>
      <c r="E882" s="24" t="s">
        <v>72</v>
      </c>
      <c r="F882" s="24" t="s">
        <v>2256</v>
      </c>
      <c r="G882" s="24" t="s">
        <v>74</v>
      </c>
      <c r="H882" s="26"/>
    </row>
    <row r="883">
      <c r="A883" s="15" t="s">
        <v>2257</v>
      </c>
      <c r="B883" s="15" t="s">
        <v>2258</v>
      </c>
      <c r="C883" s="15" t="s">
        <v>34</v>
      </c>
      <c r="D883" s="15" t="s">
        <v>411</v>
      </c>
      <c r="E883" s="24" t="s">
        <v>72</v>
      </c>
      <c r="F883" s="24" t="s">
        <v>2259</v>
      </c>
      <c r="G883" s="24" t="s">
        <v>74</v>
      </c>
      <c r="H883" s="26"/>
    </row>
    <row r="884">
      <c r="A884" s="15" t="s">
        <v>2260</v>
      </c>
      <c r="B884" s="15" t="s">
        <v>2261</v>
      </c>
      <c r="C884" s="15" t="s">
        <v>34</v>
      </c>
      <c r="D884" s="15" t="s">
        <v>411</v>
      </c>
      <c r="E884" s="24" t="s">
        <v>72</v>
      </c>
      <c r="F884" s="24" t="s">
        <v>2262</v>
      </c>
      <c r="G884" s="24" t="s">
        <v>74</v>
      </c>
      <c r="H884" s="26"/>
    </row>
    <row r="885">
      <c r="A885" s="15" t="s">
        <v>2263</v>
      </c>
      <c r="B885" s="15" t="s">
        <v>2264</v>
      </c>
      <c r="C885" s="15" t="s">
        <v>34</v>
      </c>
      <c r="D885" s="15" t="s">
        <v>411</v>
      </c>
      <c r="E885" s="24" t="s">
        <v>72</v>
      </c>
      <c r="F885" s="24" t="s">
        <v>2265</v>
      </c>
      <c r="G885" s="24" t="s">
        <v>74</v>
      </c>
      <c r="H885" s="26"/>
    </row>
    <row r="886">
      <c r="A886" s="15" t="s">
        <v>2266</v>
      </c>
      <c r="B886" s="15" t="s">
        <v>2267</v>
      </c>
      <c r="C886" s="15" t="s">
        <v>34</v>
      </c>
      <c r="D886" s="15" t="s">
        <v>411</v>
      </c>
      <c r="E886" s="24" t="s">
        <v>72</v>
      </c>
      <c r="F886" s="24" t="s">
        <v>2268</v>
      </c>
      <c r="G886" s="24" t="s">
        <v>74</v>
      </c>
      <c r="H886" s="26"/>
    </row>
    <row r="887">
      <c r="A887" s="15" t="s">
        <v>2269</v>
      </c>
      <c r="B887" s="15" t="s">
        <v>2270</v>
      </c>
      <c r="C887" s="15" t="s">
        <v>34</v>
      </c>
      <c r="D887" s="15" t="s">
        <v>411</v>
      </c>
      <c r="E887" s="24" t="s">
        <v>72</v>
      </c>
      <c r="F887" s="24" t="s">
        <v>2271</v>
      </c>
      <c r="G887" s="24" t="s">
        <v>74</v>
      </c>
      <c r="H887" s="26"/>
    </row>
    <row r="888">
      <c r="A888" s="15" t="s">
        <v>2272</v>
      </c>
      <c r="B888" s="15" t="s">
        <v>2273</v>
      </c>
      <c r="C888" s="15" t="s">
        <v>34</v>
      </c>
      <c r="D888" s="15" t="s">
        <v>411</v>
      </c>
      <c r="E888" s="24" t="s">
        <v>72</v>
      </c>
      <c r="F888" s="24" t="s">
        <v>2274</v>
      </c>
      <c r="G888" s="24" t="s">
        <v>74</v>
      </c>
      <c r="H888" s="26"/>
    </row>
    <row r="889">
      <c r="A889" s="15" t="s">
        <v>2275</v>
      </c>
      <c r="B889" s="15" t="s">
        <v>2276</v>
      </c>
      <c r="C889" s="15" t="s">
        <v>34</v>
      </c>
      <c r="D889" s="15" t="s">
        <v>411</v>
      </c>
      <c r="E889" s="24" t="s">
        <v>72</v>
      </c>
      <c r="F889" s="24" t="s">
        <v>2277</v>
      </c>
      <c r="G889" s="24" t="s">
        <v>74</v>
      </c>
      <c r="H889" s="26"/>
    </row>
    <row r="890">
      <c r="A890" s="15" t="s">
        <v>2278</v>
      </c>
      <c r="B890" s="15" t="s">
        <v>2279</v>
      </c>
      <c r="C890" s="15" t="s">
        <v>34</v>
      </c>
      <c r="D890" s="15" t="s">
        <v>411</v>
      </c>
      <c r="E890" s="24" t="s">
        <v>72</v>
      </c>
      <c r="F890" s="24" t="s">
        <v>2280</v>
      </c>
      <c r="G890" s="24" t="s">
        <v>74</v>
      </c>
      <c r="H890" s="26"/>
    </row>
    <row r="891">
      <c r="A891" s="15" t="s">
        <v>2281</v>
      </c>
      <c r="B891" s="15" t="s">
        <v>2282</v>
      </c>
      <c r="C891" s="15" t="s">
        <v>34</v>
      </c>
      <c r="D891" s="15" t="s">
        <v>411</v>
      </c>
      <c r="E891" s="24" t="s">
        <v>72</v>
      </c>
      <c r="F891" s="24" t="s">
        <v>2283</v>
      </c>
      <c r="G891" s="24" t="s">
        <v>74</v>
      </c>
      <c r="H891" s="26"/>
    </row>
    <row r="892">
      <c r="A892" s="15" t="s">
        <v>2284</v>
      </c>
      <c r="B892" s="15" t="s">
        <v>2285</v>
      </c>
      <c r="C892" s="15" t="s">
        <v>34</v>
      </c>
      <c r="D892" s="15" t="s">
        <v>411</v>
      </c>
      <c r="E892" s="19" t="s">
        <v>72</v>
      </c>
      <c r="F892" s="19" t="s">
        <v>2286</v>
      </c>
      <c r="G892" s="19" t="s">
        <v>74</v>
      </c>
      <c r="H892" s="26"/>
    </row>
    <row r="893">
      <c r="A893" s="15" t="s">
        <v>2287</v>
      </c>
      <c r="B893" s="15" t="s">
        <v>2288</v>
      </c>
      <c r="C893" s="15" t="s">
        <v>34</v>
      </c>
      <c r="D893" s="15" t="s">
        <v>411</v>
      </c>
      <c r="E893" s="24" t="s">
        <v>72</v>
      </c>
      <c r="F893" s="24" t="s">
        <v>2289</v>
      </c>
      <c r="G893" s="24" t="s">
        <v>74</v>
      </c>
      <c r="H893" s="26"/>
    </row>
    <row r="894">
      <c r="A894" s="15" t="s">
        <v>2290</v>
      </c>
      <c r="B894" s="15" t="s">
        <v>2291</v>
      </c>
      <c r="C894" s="15" t="s">
        <v>34</v>
      </c>
      <c r="D894" s="15" t="s">
        <v>411</v>
      </c>
      <c r="E894" s="19" t="s">
        <v>72</v>
      </c>
      <c r="F894" s="19" t="s">
        <v>2292</v>
      </c>
      <c r="G894" s="19" t="s">
        <v>74</v>
      </c>
      <c r="H894" s="26"/>
    </row>
    <row r="895">
      <c r="A895" s="15" t="s">
        <v>2293</v>
      </c>
      <c r="B895" s="15" t="s">
        <v>2294</v>
      </c>
      <c r="C895" s="15" t="s">
        <v>34</v>
      </c>
      <c r="D895" s="15" t="s">
        <v>411</v>
      </c>
      <c r="E895" s="24" t="s">
        <v>72</v>
      </c>
      <c r="F895" s="24" t="s">
        <v>2295</v>
      </c>
      <c r="G895" s="24" t="s">
        <v>74</v>
      </c>
      <c r="H895" s="26"/>
    </row>
    <row r="896">
      <c r="A896" s="15" t="s">
        <v>2296</v>
      </c>
      <c r="B896" s="15" t="s">
        <v>2297</v>
      </c>
      <c r="C896" s="15" t="s">
        <v>34</v>
      </c>
      <c r="D896" s="15" t="s">
        <v>411</v>
      </c>
      <c r="E896" s="24" t="s">
        <v>72</v>
      </c>
      <c r="F896" s="24" t="s">
        <v>2298</v>
      </c>
      <c r="G896" s="24" t="s">
        <v>74</v>
      </c>
      <c r="H896" s="26"/>
    </row>
    <row r="897">
      <c r="A897" s="15" t="s">
        <v>2299</v>
      </c>
      <c r="B897" s="15" t="s">
        <v>2300</v>
      </c>
      <c r="C897" s="15" t="s">
        <v>34</v>
      </c>
      <c r="D897" s="15" t="s">
        <v>411</v>
      </c>
      <c r="E897" s="24" t="s">
        <v>72</v>
      </c>
      <c r="F897" s="24" t="s">
        <v>2301</v>
      </c>
      <c r="G897" s="24" t="s">
        <v>74</v>
      </c>
      <c r="H897" s="26"/>
    </row>
    <row r="898">
      <c r="A898" s="15" t="s">
        <v>2302</v>
      </c>
      <c r="B898" s="15" t="s">
        <v>2303</v>
      </c>
      <c r="C898" s="15" t="s">
        <v>34</v>
      </c>
      <c r="D898" s="15" t="s">
        <v>411</v>
      </c>
      <c r="E898" s="19" t="s">
        <v>72</v>
      </c>
      <c r="F898" s="19" t="s">
        <v>2304</v>
      </c>
      <c r="G898" s="19" t="s">
        <v>74</v>
      </c>
      <c r="H898" s="26"/>
    </row>
    <row r="899">
      <c r="A899" s="15" t="s">
        <v>299</v>
      </c>
      <c r="B899" s="15" t="s">
        <v>300</v>
      </c>
      <c r="C899" s="15" t="s">
        <v>34</v>
      </c>
      <c r="D899" s="15" t="s">
        <v>411</v>
      </c>
      <c r="E899" s="24" t="s">
        <v>72</v>
      </c>
      <c r="F899" s="24" t="s">
        <v>2305</v>
      </c>
      <c r="G899" s="24" t="s">
        <v>74</v>
      </c>
      <c r="H899" s="26"/>
    </row>
    <row r="900">
      <c r="A900" s="15" t="s">
        <v>2306</v>
      </c>
      <c r="B900" s="15" t="s">
        <v>2307</v>
      </c>
      <c r="C900" s="15" t="s">
        <v>34</v>
      </c>
      <c r="D900" s="15" t="s">
        <v>411</v>
      </c>
      <c r="E900" s="24" t="s">
        <v>72</v>
      </c>
      <c r="F900" s="24" t="s">
        <v>2308</v>
      </c>
      <c r="G900" s="24" t="s">
        <v>74</v>
      </c>
      <c r="H900" s="26"/>
    </row>
    <row r="901">
      <c r="A901" s="15" t="s">
        <v>2309</v>
      </c>
      <c r="B901" s="15" t="s">
        <v>2310</v>
      </c>
      <c r="C901" s="15" t="s">
        <v>34</v>
      </c>
      <c r="D901" s="15" t="s">
        <v>411</v>
      </c>
      <c r="E901" s="24" t="s">
        <v>72</v>
      </c>
      <c r="F901" s="24" t="s">
        <v>2311</v>
      </c>
      <c r="G901" s="24" t="s">
        <v>74</v>
      </c>
      <c r="H901" s="26"/>
    </row>
    <row r="902">
      <c r="A902" s="15" t="s">
        <v>2312</v>
      </c>
      <c r="B902" s="15" t="s">
        <v>2313</v>
      </c>
      <c r="C902" s="15" t="s">
        <v>34</v>
      </c>
      <c r="D902" s="15" t="s">
        <v>411</v>
      </c>
      <c r="E902" s="24" t="s">
        <v>72</v>
      </c>
      <c r="F902" s="24" t="s">
        <v>2314</v>
      </c>
      <c r="G902" s="24" t="s">
        <v>74</v>
      </c>
      <c r="H902" s="26"/>
    </row>
    <row r="903">
      <c r="A903" s="15" t="s">
        <v>2315</v>
      </c>
      <c r="B903" s="15" t="s">
        <v>2316</v>
      </c>
      <c r="C903" s="15" t="s">
        <v>34</v>
      </c>
      <c r="D903" s="15" t="s">
        <v>411</v>
      </c>
      <c r="E903" s="24" t="s">
        <v>72</v>
      </c>
      <c r="F903" s="24" t="s">
        <v>2317</v>
      </c>
      <c r="G903" s="24" t="s">
        <v>74</v>
      </c>
      <c r="H903" s="26"/>
    </row>
    <row r="904">
      <c r="A904" s="15" t="s">
        <v>2318</v>
      </c>
      <c r="B904" s="15" t="s">
        <v>2319</v>
      </c>
      <c r="C904" s="15" t="s">
        <v>34</v>
      </c>
      <c r="D904" s="15" t="s">
        <v>411</v>
      </c>
      <c r="E904" s="24" t="s">
        <v>72</v>
      </c>
      <c r="F904" s="24" t="s">
        <v>2320</v>
      </c>
      <c r="G904" s="24" t="s">
        <v>74</v>
      </c>
      <c r="H904" s="26"/>
    </row>
    <row r="905">
      <c r="A905" s="15" t="s">
        <v>2321</v>
      </c>
      <c r="B905" s="15" t="s">
        <v>2322</v>
      </c>
      <c r="C905" s="15" t="s">
        <v>34</v>
      </c>
      <c r="D905" s="15" t="s">
        <v>411</v>
      </c>
      <c r="E905" s="24" t="s">
        <v>72</v>
      </c>
      <c r="F905" s="24" t="s">
        <v>2323</v>
      </c>
      <c r="G905" s="24" t="s">
        <v>74</v>
      </c>
      <c r="H905" s="26"/>
    </row>
    <row r="906">
      <c r="A906" s="15" t="s">
        <v>2324</v>
      </c>
      <c r="B906" s="15" t="s">
        <v>2325</v>
      </c>
      <c r="C906" s="15" t="s">
        <v>34</v>
      </c>
      <c r="D906" s="15" t="s">
        <v>411</v>
      </c>
      <c r="E906" s="24" t="s">
        <v>72</v>
      </c>
      <c r="F906" s="24" t="s">
        <v>2326</v>
      </c>
      <c r="G906" s="24" t="s">
        <v>74</v>
      </c>
      <c r="H906" s="26"/>
    </row>
    <row r="907">
      <c r="A907" s="15" t="s">
        <v>2327</v>
      </c>
      <c r="B907" s="15" t="s">
        <v>2328</v>
      </c>
      <c r="C907" s="15" t="s">
        <v>34</v>
      </c>
      <c r="D907" s="15" t="s">
        <v>411</v>
      </c>
      <c r="E907" s="19" t="s">
        <v>72</v>
      </c>
      <c r="F907" s="19" t="s">
        <v>2329</v>
      </c>
      <c r="G907" s="19" t="s">
        <v>74</v>
      </c>
      <c r="H907" s="26"/>
    </row>
    <row r="908">
      <c r="A908" s="15" t="s">
        <v>2330</v>
      </c>
      <c r="B908" s="15" t="s">
        <v>2331</v>
      </c>
      <c r="C908" s="15" t="s">
        <v>34</v>
      </c>
      <c r="D908" s="15" t="s">
        <v>411</v>
      </c>
      <c r="E908" s="24" t="s">
        <v>72</v>
      </c>
      <c r="F908" s="24" t="s">
        <v>2332</v>
      </c>
      <c r="G908" s="24" t="s">
        <v>74</v>
      </c>
      <c r="H908" s="26"/>
    </row>
    <row r="909">
      <c r="A909" s="15" t="s">
        <v>2333</v>
      </c>
      <c r="B909" s="15" t="s">
        <v>2334</v>
      </c>
      <c r="C909" s="15" t="s">
        <v>34</v>
      </c>
      <c r="D909" s="15" t="s">
        <v>411</v>
      </c>
      <c r="E909" s="24" t="s">
        <v>72</v>
      </c>
      <c r="F909" s="24" t="s">
        <v>2335</v>
      </c>
      <c r="G909" s="24" t="s">
        <v>74</v>
      </c>
      <c r="H909" s="26"/>
    </row>
    <row r="910">
      <c r="A910" s="15" t="s">
        <v>2336</v>
      </c>
      <c r="B910" s="15" t="s">
        <v>2337</v>
      </c>
      <c r="C910" s="15" t="s">
        <v>34</v>
      </c>
      <c r="D910" s="15" t="s">
        <v>411</v>
      </c>
      <c r="E910" s="24" t="s">
        <v>72</v>
      </c>
      <c r="F910" s="24" t="s">
        <v>2338</v>
      </c>
      <c r="G910" s="24" t="s">
        <v>74</v>
      </c>
      <c r="H910" s="26"/>
    </row>
    <row r="911">
      <c r="A911" s="15" t="s">
        <v>2339</v>
      </c>
      <c r="B911" s="15" t="s">
        <v>2340</v>
      </c>
      <c r="C911" s="15" t="s">
        <v>34</v>
      </c>
      <c r="D911" s="15" t="s">
        <v>411</v>
      </c>
      <c r="E911" s="24" t="s">
        <v>72</v>
      </c>
      <c r="F911" s="24" t="s">
        <v>2341</v>
      </c>
      <c r="G911" s="24" t="s">
        <v>74</v>
      </c>
      <c r="H911" s="26"/>
    </row>
    <row r="912">
      <c r="A912" s="15" t="s">
        <v>2342</v>
      </c>
      <c r="B912" s="15" t="s">
        <v>2343</v>
      </c>
      <c r="C912" s="15" t="s">
        <v>34</v>
      </c>
      <c r="D912" s="15" t="s">
        <v>411</v>
      </c>
      <c r="E912" s="24" t="s">
        <v>72</v>
      </c>
      <c r="F912" s="24" t="s">
        <v>2344</v>
      </c>
      <c r="G912" s="24" t="s">
        <v>74</v>
      </c>
      <c r="H912" s="26"/>
    </row>
    <row r="913">
      <c r="A913" s="15" t="s">
        <v>2345</v>
      </c>
      <c r="B913" s="15" t="s">
        <v>2346</v>
      </c>
      <c r="C913" s="15" t="s">
        <v>34</v>
      </c>
      <c r="D913" s="15" t="s">
        <v>411</v>
      </c>
      <c r="E913" s="24" t="s">
        <v>72</v>
      </c>
      <c r="F913" s="24" t="s">
        <v>2347</v>
      </c>
      <c r="G913" s="24" t="s">
        <v>74</v>
      </c>
      <c r="H913" s="26"/>
    </row>
    <row r="914">
      <c r="A914" s="15" t="s">
        <v>2348</v>
      </c>
      <c r="B914" s="15" t="s">
        <v>2349</v>
      </c>
      <c r="C914" s="15" t="s">
        <v>34</v>
      </c>
      <c r="D914" s="15" t="s">
        <v>411</v>
      </c>
      <c r="E914" s="24" t="s">
        <v>72</v>
      </c>
      <c r="F914" s="24" t="s">
        <v>2350</v>
      </c>
      <c r="G914" s="24" t="s">
        <v>74</v>
      </c>
      <c r="H914" s="26"/>
    </row>
    <row r="915">
      <c r="A915" s="15" t="s">
        <v>2351</v>
      </c>
      <c r="B915" s="15" t="s">
        <v>2352</v>
      </c>
      <c r="C915" s="15" t="s">
        <v>34</v>
      </c>
      <c r="D915" s="15" t="s">
        <v>411</v>
      </c>
      <c r="E915" s="24" t="s">
        <v>72</v>
      </c>
      <c r="F915" s="24" t="s">
        <v>2353</v>
      </c>
      <c r="G915" s="24" t="s">
        <v>74</v>
      </c>
      <c r="H915" s="26"/>
    </row>
    <row r="916">
      <c r="A916" s="15" t="s">
        <v>2354</v>
      </c>
      <c r="B916" s="15" t="s">
        <v>2355</v>
      </c>
      <c r="C916" s="15" t="s">
        <v>34</v>
      </c>
      <c r="D916" s="15" t="s">
        <v>411</v>
      </c>
      <c r="E916" s="24" t="s">
        <v>72</v>
      </c>
      <c r="F916" s="24" t="s">
        <v>2356</v>
      </c>
      <c r="G916" s="24" t="s">
        <v>74</v>
      </c>
      <c r="H916" s="26"/>
    </row>
    <row r="917">
      <c r="A917" s="15" t="s">
        <v>2357</v>
      </c>
      <c r="B917" s="15" t="s">
        <v>2358</v>
      </c>
      <c r="C917" s="15" t="s">
        <v>34</v>
      </c>
      <c r="D917" s="15" t="s">
        <v>411</v>
      </c>
      <c r="E917" s="24" t="s">
        <v>72</v>
      </c>
      <c r="F917" s="24" t="s">
        <v>2359</v>
      </c>
      <c r="G917" s="24" t="s">
        <v>74</v>
      </c>
      <c r="H917" s="26"/>
    </row>
    <row r="918">
      <c r="A918" s="15" t="s">
        <v>2360</v>
      </c>
      <c r="B918" s="15" t="s">
        <v>2361</v>
      </c>
      <c r="C918" s="15" t="s">
        <v>34</v>
      </c>
      <c r="D918" s="15" t="s">
        <v>411</v>
      </c>
      <c r="E918" s="19" t="s">
        <v>72</v>
      </c>
      <c r="F918" s="19" t="s">
        <v>2362</v>
      </c>
      <c r="G918" s="19" t="s">
        <v>74</v>
      </c>
      <c r="H918" s="26"/>
    </row>
    <row r="919">
      <c r="A919" s="15" t="s">
        <v>2363</v>
      </c>
      <c r="B919" s="15" t="s">
        <v>2364</v>
      </c>
      <c r="C919" s="15" t="s">
        <v>34</v>
      </c>
      <c r="D919" s="15" t="s">
        <v>411</v>
      </c>
      <c r="E919" s="19" t="s">
        <v>72</v>
      </c>
      <c r="F919" s="19" t="s">
        <v>2365</v>
      </c>
      <c r="G919" s="19" t="s">
        <v>74</v>
      </c>
      <c r="H919" s="26"/>
    </row>
    <row r="920">
      <c r="A920" s="15" t="s">
        <v>2366</v>
      </c>
      <c r="B920" s="15" t="s">
        <v>2367</v>
      </c>
      <c r="C920" s="15" t="s">
        <v>34</v>
      </c>
      <c r="D920" s="15" t="s">
        <v>411</v>
      </c>
      <c r="E920" s="24" t="s">
        <v>72</v>
      </c>
      <c r="F920" s="24" t="s">
        <v>2368</v>
      </c>
      <c r="G920" s="24" t="s">
        <v>74</v>
      </c>
      <c r="H920" s="26"/>
    </row>
    <row r="921">
      <c r="A921" s="15" t="s">
        <v>2369</v>
      </c>
      <c r="B921" s="15" t="s">
        <v>2370</v>
      </c>
      <c r="C921" s="15" t="s">
        <v>34</v>
      </c>
      <c r="D921" s="15" t="s">
        <v>411</v>
      </c>
      <c r="E921" s="24" t="s">
        <v>72</v>
      </c>
      <c r="F921" s="24" t="s">
        <v>2371</v>
      </c>
      <c r="G921" s="24" t="s">
        <v>74</v>
      </c>
      <c r="H921" s="26"/>
    </row>
    <row r="922">
      <c r="A922" s="15" t="s">
        <v>2372</v>
      </c>
      <c r="B922" s="15" t="s">
        <v>2373</v>
      </c>
      <c r="C922" s="15" t="s">
        <v>34</v>
      </c>
      <c r="D922" s="15" t="s">
        <v>411</v>
      </c>
      <c r="E922" s="24" t="s">
        <v>72</v>
      </c>
      <c r="F922" s="24" t="s">
        <v>2374</v>
      </c>
      <c r="G922" s="24" t="s">
        <v>74</v>
      </c>
      <c r="H922" s="26"/>
    </row>
    <row r="923">
      <c r="A923" s="15" t="s">
        <v>2375</v>
      </c>
      <c r="B923" s="15" t="s">
        <v>2376</v>
      </c>
      <c r="C923" s="15" t="s">
        <v>34</v>
      </c>
      <c r="D923" s="15" t="s">
        <v>411</v>
      </c>
      <c r="E923" s="24" t="s">
        <v>72</v>
      </c>
      <c r="F923" s="24" t="s">
        <v>2377</v>
      </c>
      <c r="G923" s="24" t="s">
        <v>74</v>
      </c>
      <c r="H923" s="26"/>
    </row>
    <row r="924">
      <c r="A924" s="15" t="s">
        <v>2378</v>
      </c>
      <c r="B924" s="15" t="s">
        <v>2379</v>
      </c>
      <c r="C924" s="15" t="s">
        <v>34</v>
      </c>
      <c r="D924" s="15" t="s">
        <v>411</v>
      </c>
      <c r="E924" s="24" t="s">
        <v>72</v>
      </c>
      <c r="F924" s="24" t="s">
        <v>2380</v>
      </c>
      <c r="G924" s="24" t="s">
        <v>74</v>
      </c>
      <c r="H924" s="26"/>
    </row>
    <row r="925">
      <c r="A925" s="15" t="s">
        <v>2381</v>
      </c>
      <c r="B925" s="15" t="s">
        <v>2382</v>
      </c>
      <c r="C925" s="15" t="s">
        <v>34</v>
      </c>
      <c r="D925" s="15" t="s">
        <v>411</v>
      </c>
      <c r="E925" s="24" t="s">
        <v>72</v>
      </c>
      <c r="F925" s="24" t="s">
        <v>2383</v>
      </c>
      <c r="G925" s="24" t="s">
        <v>74</v>
      </c>
      <c r="H925" s="26"/>
    </row>
    <row r="926">
      <c r="A926" s="15" t="s">
        <v>2384</v>
      </c>
      <c r="B926" s="15" t="s">
        <v>2385</v>
      </c>
      <c r="C926" s="15" t="s">
        <v>34</v>
      </c>
      <c r="D926" s="15" t="s">
        <v>411</v>
      </c>
      <c r="E926" s="24" t="s">
        <v>72</v>
      </c>
      <c r="F926" s="24" t="s">
        <v>2386</v>
      </c>
      <c r="G926" s="24" t="s">
        <v>74</v>
      </c>
      <c r="H926" s="26"/>
    </row>
    <row r="927">
      <c r="A927" s="15" t="s">
        <v>2387</v>
      </c>
      <c r="B927" s="15" t="s">
        <v>2388</v>
      </c>
      <c r="C927" s="15" t="s">
        <v>34</v>
      </c>
      <c r="D927" s="15" t="s">
        <v>411</v>
      </c>
      <c r="E927" s="24" t="s">
        <v>72</v>
      </c>
      <c r="F927" s="24" t="s">
        <v>2389</v>
      </c>
      <c r="G927" s="24" t="s">
        <v>74</v>
      </c>
      <c r="H927" s="26"/>
    </row>
    <row r="928">
      <c r="A928" s="15" t="s">
        <v>2390</v>
      </c>
      <c r="B928" s="15" t="s">
        <v>2391</v>
      </c>
      <c r="C928" s="15" t="s">
        <v>34</v>
      </c>
      <c r="D928" s="15" t="s">
        <v>411</v>
      </c>
      <c r="E928" s="24" t="s">
        <v>72</v>
      </c>
      <c r="F928" s="24" t="s">
        <v>2392</v>
      </c>
      <c r="G928" s="24" t="s">
        <v>74</v>
      </c>
      <c r="H928" s="26"/>
    </row>
    <row r="929">
      <c r="A929" s="15" t="s">
        <v>2393</v>
      </c>
      <c r="B929" s="15" t="s">
        <v>2394</v>
      </c>
      <c r="C929" s="15" t="s">
        <v>34</v>
      </c>
      <c r="D929" s="15" t="s">
        <v>411</v>
      </c>
      <c r="E929" s="24" t="s">
        <v>72</v>
      </c>
      <c r="F929" s="24" t="s">
        <v>2395</v>
      </c>
      <c r="G929" s="24" t="s">
        <v>74</v>
      </c>
      <c r="H929" s="26"/>
    </row>
    <row r="930">
      <c r="A930" s="15" t="s">
        <v>2396</v>
      </c>
      <c r="B930" s="15" t="s">
        <v>2397</v>
      </c>
      <c r="C930" s="15" t="s">
        <v>34</v>
      </c>
      <c r="D930" s="15" t="s">
        <v>411</v>
      </c>
      <c r="E930" s="24" t="s">
        <v>72</v>
      </c>
      <c r="F930" s="24" t="s">
        <v>2398</v>
      </c>
      <c r="G930" s="24" t="s">
        <v>74</v>
      </c>
      <c r="H930" s="26"/>
    </row>
    <row r="931">
      <c r="A931" s="15" t="s">
        <v>2399</v>
      </c>
      <c r="B931" s="15" t="s">
        <v>2400</v>
      </c>
      <c r="C931" s="15" t="s">
        <v>34</v>
      </c>
      <c r="D931" s="15" t="s">
        <v>411</v>
      </c>
      <c r="E931" s="24" t="s">
        <v>72</v>
      </c>
      <c r="F931" s="24" t="s">
        <v>2401</v>
      </c>
      <c r="G931" s="24" t="s">
        <v>74</v>
      </c>
      <c r="H931" s="26"/>
    </row>
    <row r="932">
      <c r="A932" s="15" t="s">
        <v>2402</v>
      </c>
      <c r="B932" s="15" t="s">
        <v>2403</v>
      </c>
      <c r="C932" s="15" t="s">
        <v>34</v>
      </c>
      <c r="D932" s="15" t="s">
        <v>411</v>
      </c>
      <c r="E932" s="24" t="s">
        <v>72</v>
      </c>
      <c r="F932" s="24" t="s">
        <v>2404</v>
      </c>
      <c r="G932" s="24" t="s">
        <v>74</v>
      </c>
      <c r="H932" s="26"/>
    </row>
    <row r="933">
      <c r="A933" s="15" t="s">
        <v>2405</v>
      </c>
      <c r="B933" s="15" t="s">
        <v>2406</v>
      </c>
      <c r="C933" s="15" t="s">
        <v>34</v>
      </c>
      <c r="D933" s="15" t="s">
        <v>411</v>
      </c>
      <c r="E933" s="24" t="s">
        <v>72</v>
      </c>
      <c r="F933" s="24" t="s">
        <v>2407</v>
      </c>
      <c r="G933" s="24" t="s">
        <v>74</v>
      </c>
      <c r="H933" s="26"/>
    </row>
    <row r="934">
      <c r="A934" s="15" t="s">
        <v>2408</v>
      </c>
      <c r="B934" s="15" t="s">
        <v>2409</v>
      </c>
      <c r="C934" s="15" t="s">
        <v>34</v>
      </c>
      <c r="D934" s="15" t="s">
        <v>411</v>
      </c>
      <c r="E934" s="24" t="s">
        <v>72</v>
      </c>
      <c r="F934" s="24" t="s">
        <v>2410</v>
      </c>
      <c r="G934" s="24" t="s">
        <v>74</v>
      </c>
      <c r="H934" s="26"/>
    </row>
    <row r="935">
      <c r="A935" s="15" t="s">
        <v>2411</v>
      </c>
      <c r="B935" s="15" t="s">
        <v>2412</v>
      </c>
      <c r="C935" s="15" t="s">
        <v>34</v>
      </c>
      <c r="D935" s="15" t="s">
        <v>411</v>
      </c>
      <c r="E935" s="24" t="s">
        <v>72</v>
      </c>
      <c r="F935" s="24" t="s">
        <v>2413</v>
      </c>
      <c r="G935" s="24" t="s">
        <v>74</v>
      </c>
      <c r="H935" s="26"/>
    </row>
    <row r="936">
      <c r="A936" s="15" t="s">
        <v>2414</v>
      </c>
      <c r="B936" s="15" t="s">
        <v>2415</v>
      </c>
      <c r="C936" s="15" t="s">
        <v>34</v>
      </c>
      <c r="D936" s="15" t="s">
        <v>411</v>
      </c>
      <c r="E936" s="19" t="s">
        <v>72</v>
      </c>
      <c r="F936" s="19" t="s">
        <v>2416</v>
      </c>
      <c r="G936" s="19" t="s">
        <v>74</v>
      </c>
      <c r="H936" s="26"/>
    </row>
    <row r="937">
      <c r="A937" s="15" t="s">
        <v>2417</v>
      </c>
      <c r="B937" s="15" t="s">
        <v>2418</v>
      </c>
      <c r="C937" s="15" t="s">
        <v>34</v>
      </c>
      <c r="D937" s="15" t="s">
        <v>411</v>
      </c>
      <c r="E937" s="24" t="s">
        <v>72</v>
      </c>
      <c r="F937" s="24" t="s">
        <v>2419</v>
      </c>
      <c r="G937" s="24" t="s">
        <v>74</v>
      </c>
      <c r="H937" s="26"/>
    </row>
    <row r="938">
      <c r="A938" s="15" t="s">
        <v>2420</v>
      </c>
      <c r="B938" s="15" t="s">
        <v>2421</v>
      </c>
      <c r="C938" s="15" t="s">
        <v>34</v>
      </c>
      <c r="D938" s="15" t="s">
        <v>411</v>
      </c>
      <c r="E938" s="24" t="s">
        <v>72</v>
      </c>
      <c r="F938" s="24" t="s">
        <v>2422</v>
      </c>
      <c r="G938" s="24" t="s">
        <v>74</v>
      </c>
      <c r="H938" s="26"/>
    </row>
    <row r="939">
      <c r="A939" s="15" t="s">
        <v>2423</v>
      </c>
      <c r="B939" s="15" t="s">
        <v>2424</v>
      </c>
      <c r="C939" s="15" t="s">
        <v>34</v>
      </c>
      <c r="D939" s="15" t="s">
        <v>411</v>
      </c>
      <c r="E939" s="24" t="s">
        <v>72</v>
      </c>
      <c r="F939" s="24" t="s">
        <v>2425</v>
      </c>
      <c r="G939" s="24" t="s">
        <v>74</v>
      </c>
      <c r="H939" s="26"/>
    </row>
    <row r="940">
      <c r="A940" s="15" t="s">
        <v>2426</v>
      </c>
      <c r="B940" s="15" t="s">
        <v>2427</v>
      </c>
      <c r="C940" s="15" t="s">
        <v>34</v>
      </c>
      <c r="D940" s="15" t="s">
        <v>411</v>
      </c>
      <c r="E940" s="19" t="s">
        <v>72</v>
      </c>
      <c r="F940" s="24" t="s">
        <v>2428</v>
      </c>
      <c r="G940" s="24" t="s">
        <v>74</v>
      </c>
      <c r="H940" s="17"/>
    </row>
    <row r="941">
      <c r="A941" s="15" t="s">
        <v>2429</v>
      </c>
      <c r="B941" s="15" t="s">
        <v>2430</v>
      </c>
      <c r="C941" s="15" t="s">
        <v>34</v>
      </c>
      <c r="D941" s="15" t="s">
        <v>411</v>
      </c>
      <c r="E941" s="19" t="s">
        <v>72</v>
      </c>
      <c r="F941" s="24" t="s">
        <v>2431</v>
      </c>
      <c r="G941" s="24" t="s">
        <v>74</v>
      </c>
      <c r="H941" s="17"/>
    </row>
    <row r="942">
      <c r="A942" s="15" t="s">
        <v>2432</v>
      </c>
      <c r="B942" s="15" t="s">
        <v>2433</v>
      </c>
      <c r="C942" s="15" t="s">
        <v>34</v>
      </c>
      <c r="D942" s="15" t="s">
        <v>411</v>
      </c>
      <c r="E942" s="19" t="s">
        <v>72</v>
      </c>
      <c r="F942" s="24" t="s">
        <v>2434</v>
      </c>
      <c r="G942" s="24" t="s">
        <v>74</v>
      </c>
      <c r="H942" s="17"/>
    </row>
    <row r="943">
      <c r="A943" s="15" t="s">
        <v>2435</v>
      </c>
      <c r="B943" s="15" t="s">
        <v>2436</v>
      </c>
      <c r="C943" s="15" t="s">
        <v>34</v>
      </c>
      <c r="D943" s="15" t="s">
        <v>411</v>
      </c>
      <c r="E943" s="19" t="s">
        <v>72</v>
      </c>
      <c r="F943" s="24" t="s">
        <v>2437</v>
      </c>
      <c r="G943" s="24" t="s">
        <v>74</v>
      </c>
      <c r="H943" s="17"/>
    </row>
    <row r="944">
      <c r="A944" s="15" t="s">
        <v>2438</v>
      </c>
      <c r="B944" s="15" t="s">
        <v>2439</v>
      </c>
      <c r="C944" s="15" t="s">
        <v>34</v>
      </c>
      <c r="D944" s="15" t="s">
        <v>411</v>
      </c>
      <c r="E944" s="19" t="s">
        <v>72</v>
      </c>
      <c r="F944" s="24" t="s">
        <v>2440</v>
      </c>
      <c r="G944" s="24" t="s">
        <v>74</v>
      </c>
      <c r="H944" s="17"/>
    </row>
    <row r="945">
      <c r="A945" s="15" t="s">
        <v>2441</v>
      </c>
      <c r="B945" s="15" t="s">
        <v>2442</v>
      </c>
      <c r="C945" s="15" t="s">
        <v>34</v>
      </c>
      <c r="D945" s="15" t="s">
        <v>411</v>
      </c>
      <c r="E945" s="19" t="s">
        <v>72</v>
      </c>
      <c r="F945" s="24" t="s">
        <v>2443</v>
      </c>
      <c r="G945" s="24" t="s">
        <v>74</v>
      </c>
      <c r="H945" s="17"/>
    </row>
    <row r="946">
      <c r="A946" s="15" t="s">
        <v>2444</v>
      </c>
      <c r="B946" s="15" t="s">
        <v>2445</v>
      </c>
      <c r="C946" s="15" t="s">
        <v>34</v>
      </c>
      <c r="D946" s="15" t="s">
        <v>411</v>
      </c>
      <c r="E946" s="19" t="s">
        <v>72</v>
      </c>
      <c r="F946" s="24" t="s">
        <v>2446</v>
      </c>
      <c r="G946" s="24" t="s">
        <v>74</v>
      </c>
      <c r="H946" s="17"/>
    </row>
    <row r="947">
      <c r="A947" s="15" t="s">
        <v>2447</v>
      </c>
      <c r="B947" s="15" t="s">
        <v>2448</v>
      </c>
      <c r="C947" s="15" t="s">
        <v>34</v>
      </c>
      <c r="D947" s="15" t="s">
        <v>411</v>
      </c>
      <c r="E947" s="19" t="s">
        <v>72</v>
      </c>
      <c r="F947" s="24" t="s">
        <v>2449</v>
      </c>
      <c r="G947" s="24" t="s">
        <v>74</v>
      </c>
      <c r="H947" s="17"/>
    </row>
    <row r="948">
      <c r="A948" s="15" t="s">
        <v>2450</v>
      </c>
      <c r="B948" s="15" t="s">
        <v>2451</v>
      </c>
      <c r="C948" s="15" t="s">
        <v>34</v>
      </c>
      <c r="D948" s="15" t="s">
        <v>411</v>
      </c>
      <c r="E948" s="19" t="s">
        <v>72</v>
      </c>
      <c r="F948" s="19" t="s">
        <v>2452</v>
      </c>
      <c r="G948" s="19" t="s">
        <v>74</v>
      </c>
      <c r="H948" s="17"/>
    </row>
    <row r="949">
      <c r="A949" s="15" t="s">
        <v>2453</v>
      </c>
      <c r="B949" s="15" t="s">
        <v>2454</v>
      </c>
      <c r="C949" s="15" t="s">
        <v>34</v>
      </c>
      <c r="D949" s="15" t="s">
        <v>411</v>
      </c>
      <c r="E949" s="19" t="s">
        <v>72</v>
      </c>
      <c r="F949" s="24" t="s">
        <v>2455</v>
      </c>
      <c r="G949" s="24" t="s">
        <v>74</v>
      </c>
      <c r="H949" s="17"/>
    </row>
    <row r="950">
      <c r="A950" s="15" t="s">
        <v>2456</v>
      </c>
      <c r="B950" s="15" t="s">
        <v>2457</v>
      </c>
      <c r="C950" s="15" t="s">
        <v>34</v>
      </c>
      <c r="D950" s="15" t="s">
        <v>411</v>
      </c>
      <c r="E950" s="19" t="s">
        <v>72</v>
      </c>
      <c r="F950" s="24" t="s">
        <v>2458</v>
      </c>
      <c r="G950" s="24" t="s">
        <v>74</v>
      </c>
      <c r="H950" s="17"/>
    </row>
    <row r="951">
      <c r="A951" s="15" t="s">
        <v>2459</v>
      </c>
      <c r="B951" s="15" t="s">
        <v>2460</v>
      </c>
      <c r="C951" s="15" t="s">
        <v>34</v>
      </c>
      <c r="D951" s="15" t="s">
        <v>411</v>
      </c>
      <c r="E951" s="19" t="s">
        <v>72</v>
      </c>
      <c r="F951" s="24" t="s">
        <v>2461</v>
      </c>
      <c r="G951" s="24" t="s">
        <v>74</v>
      </c>
      <c r="H951" s="17"/>
    </row>
    <row r="952">
      <c r="A952" s="15" t="s">
        <v>2462</v>
      </c>
      <c r="B952" s="15" t="s">
        <v>2463</v>
      </c>
      <c r="C952" s="15" t="s">
        <v>34</v>
      </c>
      <c r="D952" s="15" t="s">
        <v>411</v>
      </c>
      <c r="E952" s="19" t="s">
        <v>72</v>
      </c>
      <c r="F952" s="24" t="s">
        <v>2437</v>
      </c>
      <c r="G952" s="24" t="s">
        <v>74</v>
      </c>
      <c r="H952" s="17"/>
    </row>
    <row r="953">
      <c r="A953" s="15" t="s">
        <v>2464</v>
      </c>
      <c r="B953" s="15" t="s">
        <v>2465</v>
      </c>
      <c r="C953" s="15" t="s">
        <v>34</v>
      </c>
      <c r="D953" s="15" t="s">
        <v>411</v>
      </c>
      <c r="E953" s="19" t="s">
        <v>72</v>
      </c>
      <c r="F953" s="24" t="s">
        <v>2466</v>
      </c>
      <c r="G953" s="24" t="s">
        <v>74</v>
      </c>
      <c r="H953" s="17"/>
    </row>
    <row r="954">
      <c r="A954" s="15" t="s">
        <v>2467</v>
      </c>
      <c r="B954" s="15" t="s">
        <v>2468</v>
      </c>
      <c r="C954" s="15" t="s">
        <v>34</v>
      </c>
      <c r="D954" s="15" t="s">
        <v>411</v>
      </c>
      <c r="E954" s="19" t="s">
        <v>72</v>
      </c>
      <c r="F954" s="27" t="s">
        <v>2469</v>
      </c>
      <c r="G954" s="24" t="s">
        <v>74</v>
      </c>
      <c r="H954" s="17"/>
    </row>
    <row r="955">
      <c r="A955" s="15" t="s">
        <v>2470</v>
      </c>
      <c r="B955" s="15" t="s">
        <v>2471</v>
      </c>
      <c r="C955" s="15" t="s">
        <v>34</v>
      </c>
      <c r="D955" s="15" t="s">
        <v>411</v>
      </c>
      <c r="E955" s="19" t="s">
        <v>72</v>
      </c>
      <c r="F955" s="24" t="s">
        <v>2469</v>
      </c>
      <c r="G955" s="24" t="s">
        <v>74</v>
      </c>
      <c r="H955" s="17"/>
    </row>
    <row r="956">
      <c r="A956" s="15" t="s">
        <v>2472</v>
      </c>
      <c r="B956" s="15" t="s">
        <v>2473</v>
      </c>
      <c r="C956" s="15" t="s">
        <v>34</v>
      </c>
      <c r="D956" s="15" t="s">
        <v>411</v>
      </c>
      <c r="E956" s="19" t="s">
        <v>72</v>
      </c>
      <c r="F956" s="24" t="s">
        <v>2474</v>
      </c>
      <c r="G956" s="24" t="s">
        <v>74</v>
      </c>
      <c r="H956" s="17"/>
    </row>
    <row r="957">
      <c r="A957" s="15" t="s">
        <v>2475</v>
      </c>
      <c r="B957" s="15" t="s">
        <v>2476</v>
      </c>
      <c r="C957" s="15" t="s">
        <v>34</v>
      </c>
      <c r="D957" s="15" t="s">
        <v>411</v>
      </c>
      <c r="E957" s="19" t="s">
        <v>72</v>
      </c>
      <c r="F957" s="24" t="s">
        <v>2477</v>
      </c>
      <c r="G957" s="24" t="s">
        <v>74</v>
      </c>
      <c r="H957" s="17"/>
    </row>
    <row r="958">
      <c r="A958" s="15" t="s">
        <v>2478</v>
      </c>
      <c r="B958" s="15" t="s">
        <v>2479</v>
      </c>
      <c r="C958" s="15" t="s">
        <v>34</v>
      </c>
      <c r="D958" s="15" t="s">
        <v>411</v>
      </c>
      <c r="E958" s="19" t="s">
        <v>72</v>
      </c>
      <c r="F958" s="24" t="s">
        <v>2480</v>
      </c>
      <c r="G958" s="24" t="s">
        <v>74</v>
      </c>
      <c r="H958" s="17"/>
    </row>
    <row r="959">
      <c r="A959" s="15" t="s">
        <v>2481</v>
      </c>
      <c r="B959" s="15" t="s">
        <v>2482</v>
      </c>
      <c r="C959" s="15" t="s">
        <v>34</v>
      </c>
      <c r="D959" s="15" t="s">
        <v>411</v>
      </c>
      <c r="E959" s="19" t="s">
        <v>72</v>
      </c>
      <c r="F959" s="24" t="s">
        <v>2483</v>
      </c>
      <c r="G959" s="24" t="s">
        <v>74</v>
      </c>
      <c r="H959" s="17"/>
    </row>
    <row r="960">
      <c r="A960" s="15" t="s">
        <v>2484</v>
      </c>
      <c r="B960" s="15" t="s">
        <v>2485</v>
      </c>
      <c r="C960" s="15" t="s">
        <v>34</v>
      </c>
      <c r="D960" s="15" t="s">
        <v>411</v>
      </c>
      <c r="E960" s="19" t="s">
        <v>72</v>
      </c>
      <c r="F960" s="24" t="s">
        <v>2486</v>
      </c>
      <c r="G960" s="24" t="s">
        <v>74</v>
      </c>
      <c r="H960" s="17"/>
    </row>
    <row r="961">
      <c r="A961" s="15" t="s">
        <v>2487</v>
      </c>
      <c r="B961" s="15" t="s">
        <v>2488</v>
      </c>
      <c r="C961" s="15" t="s">
        <v>34</v>
      </c>
      <c r="D961" s="15" t="s">
        <v>411</v>
      </c>
      <c r="E961" s="19" t="s">
        <v>72</v>
      </c>
      <c r="F961" s="24" t="s">
        <v>2489</v>
      </c>
      <c r="G961" s="24" t="s">
        <v>74</v>
      </c>
      <c r="H961" s="17"/>
    </row>
    <row r="962">
      <c r="A962" s="15" t="s">
        <v>2490</v>
      </c>
      <c r="B962" s="15" t="s">
        <v>2491</v>
      </c>
      <c r="C962" s="15" t="s">
        <v>34</v>
      </c>
      <c r="D962" s="15" t="s">
        <v>411</v>
      </c>
      <c r="E962" s="19" t="s">
        <v>72</v>
      </c>
      <c r="F962" s="19" t="s">
        <v>2492</v>
      </c>
      <c r="G962" s="19" t="s">
        <v>74</v>
      </c>
      <c r="H962" s="17"/>
    </row>
    <row r="963">
      <c r="A963" s="15" t="s">
        <v>2493</v>
      </c>
      <c r="B963" s="15" t="s">
        <v>2494</v>
      </c>
      <c r="C963" s="15" t="s">
        <v>34</v>
      </c>
      <c r="D963" s="15" t="s">
        <v>411</v>
      </c>
      <c r="E963" s="19" t="s">
        <v>72</v>
      </c>
      <c r="F963" s="24" t="s">
        <v>2495</v>
      </c>
      <c r="G963" s="24" t="s">
        <v>74</v>
      </c>
      <c r="H963" s="17"/>
    </row>
    <row r="964">
      <c r="A964" s="15" t="s">
        <v>2496</v>
      </c>
      <c r="B964" s="15" t="s">
        <v>2497</v>
      </c>
      <c r="C964" s="15" t="s">
        <v>34</v>
      </c>
      <c r="D964" s="15" t="s">
        <v>411</v>
      </c>
      <c r="E964" s="19" t="s">
        <v>72</v>
      </c>
      <c r="F964" s="24" t="s">
        <v>2498</v>
      </c>
      <c r="G964" s="24" t="s">
        <v>74</v>
      </c>
      <c r="H964" s="17"/>
    </row>
    <row r="965">
      <c r="A965" s="15" t="s">
        <v>2499</v>
      </c>
      <c r="B965" s="15" t="s">
        <v>2500</v>
      </c>
      <c r="C965" s="15" t="s">
        <v>34</v>
      </c>
      <c r="D965" s="15" t="s">
        <v>411</v>
      </c>
      <c r="E965" s="19" t="s">
        <v>72</v>
      </c>
      <c r="F965" s="24" t="s">
        <v>2501</v>
      </c>
      <c r="G965" s="24" t="s">
        <v>74</v>
      </c>
      <c r="H965" s="17"/>
    </row>
    <row r="966">
      <c r="A966" s="15" t="s">
        <v>2502</v>
      </c>
      <c r="B966" s="15" t="s">
        <v>2503</v>
      </c>
      <c r="C966" s="15" t="s">
        <v>34</v>
      </c>
      <c r="D966" s="15" t="s">
        <v>411</v>
      </c>
      <c r="E966" s="19" t="s">
        <v>72</v>
      </c>
      <c r="F966" s="24" t="s">
        <v>2504</v>
      </c>
      <c r="G966" s="24" t="s">
        <v>74</v>
      </c>
      <c r="H966" s="17"/>
    </row>
    <row r="967">
      <c r="A967" s="15" t="s">
        <v>2505</v>
      </c>
      <c r="B967" s="15" t="s">
        <v>2506</v>
      </c>
      <c r="C967" s="15" t="s">
        <v>34</v>
      </c>
      <c r="D967" s="15" t="s">
        <v>411</v>
      </c>
      <c r="E967" s="19" t="s">
        <v>72</v>
      </c>
      <c r="F967" s="24" t="s">
        <v>2507</v>
      </c>
      <c r="G967" s="24" t="s">
        <v>74</v>
      </c>
      <c r="H967" s="17"/>
    </row>
    <row r="968">
      <c r="A968" s="15" t="s">
        <v>2508</v>
      </c>
      <c r="B968" s="15" t="s">
        <v>2509</v>
      </c>
      <c r="C968" s="15" t="s">
        <v>34</v>
      </c>
      <c r="D968" s="15" t="s">
        <v>411</v>
      </c>
      <c r="E968" s="19" t="s">
        <v>72</v>
      </c>
      <c r="F968" s="24" t="s">
        <v>2510</v>
      </c>
      <c r="G968" s="24" t="s">
        <v>74</v>
      </c>
      <c r="H968" s="17"/>
    </row>
    <row r="969">
      <c r="A969" s="15" t="s">
        <v>2511</v>
      </c>
      <c r="B969" s="15" t="s">
        <v>2512</v>
      </c>
      <c r="C969" s="15" t="s">
        <v>34</v>
      </c>
      <c r="D969" s="15" t="s">
        <v>411</v>
      </c>
      <c r="E969" s="19" t="s">
        <v>72</v>
      </c>
      <c r="F969" s="24" t="s">
        <v>2513</v>
      </c>
      <c r="G969" s="24" t="s">
        <v>74</v>
      </c>
      <c r="H969" s="17"/>
    </row>
    <row r="970">
      <c r="A970" s="15" t="s">
        <v>2514</v>
      </c>
      <c r="B970" s="15" t="s">
        <v>2515</v>
      </c>
      <c r="C970" s="15" t="s">
        <v>34</v>
      </c>
      <c r="D970" s="15" t="s">
        <v>411</v>
      </c>
      <c r="E970" s="19" t="s">
        <v>72</v>
      </c>
      <c r="F970" s="24" t="s">
        <v>2516</v>
      </c>
      <c r="G970" s="24" t="s">
        <v>74</v>
      </c>
      <c r="H970" s="17"/>
    </row>
    <row r="971">
      <c r="A971" s="15" t="s">
        <v>2517</v>
      </c>
      <c r="B971" s="15" t="s">
        <v>2518</v>
      </c>
      <c r="C971" s="15" t="s">
        <v>34</v>
      </c>
      <c r="D971" s="15" t="s">
        <v>411</v>
      </c>
      <c r="E971" s="19" t="s">
        <v>72</v>
      </c>
      <c r="F971" s="24" t="s">
        <v>2519</v>
      </c>
      <c r="G971" s="24" t="s">
        <v>74</v>
      </c>
      <c r="H971" s="17"/>
    </row>
    <row r="972">
      <c r="A972" s="15" t="s">
        <v>2520</v>
      </c>
      <c r="B972" s="15" t="s">
        <v>2521</v>
      </c>
      <c r="C972" s="15" t="s">
        <v>34</v>
      </c>
      <c r="D972" s="15" t="s">
        <v>411</v>
      </c>
      <c r="E972" s="19" t="s">
        <v>72</v>
      </c>
      <c r="F972" s="19" t="s">
        <v>2522</v>
      </c>
      <c r="G972" s="19" t="s">
        <v>74</v>
      </c>
      <c r="H972" s="17"/>
    </row>
    <row r="973">
      <c r="A973" s="15" t="s">
        <v>2523</v>
      </c>
      <c r="B973" s="15" t="s">
        <v>2524</v>
      </c>
      <c r="C973" s="15" t="s">
        <v>34</v>
      </c>
      <c r="D973" s="15" t="s">
        <v>411</v>
      </c>
      <c r="E973" s="19" t="s">
        <v>72</v>
      </c>
      <c r="F973" s="24" t="s">
        <v>2525</v>
      </c>
      <c r="G973" s="24" t="s">
        <v>74</v>
      </c>
      <c r="H973" s="17"/>
    </row>
    <row r="974">
      <c r="A974" s="15" t="s">
        <v>2526</v>
      </c>
      <c r="B974" s="15" t="s">
        <v>2527</v>
      </c>
      <c r="C974" s="15" t="s">
        <v>34</v>
      </c>
      <c r="D974" s="15" t="s">
        <v>411</v>
      </c>
      <c r="E974" s="19" t="s">
        <v>72</v>
      </c>
      <c r="F974" s="27" t="s">
        <v>2528</v>
      </c>
      <c r="G974" s="24" t="s">
        <v>74</v>
      </c>
      <c r="H974" s="17"/>
    </row>
    <row r="975">
      <c r="A975" s="15" t="s">
        <v>2529</v>
      </c>
      <c r="B975" s="15" t="s">
        <v>2530</v>
      </c>
      <c r="C975" s="15" t="s">
        <v>34</v>
      </c>
      <c r="D975" s="15" t="s">
        <v>411</v>
      </c>
      <c r="E975" s="19" t="s">
        <v>72</v>
      </c>
      <c r="F975" s="24" t="s">
        <v>2531</v>
      </c>
      <c r="G975" s="24" t="s">
        <v>74</v>
      </c>
      <c r="H975" s="17"/>
    </row>
    <row r="976">
      <c r="A976" s="15" t="s">
        <v>2532</v>
      </c>
      <c r="B976" s="15" t="s">
        <v>2533</v>
      </c>
      <c r="C976" s="15" t="s">
        <v>34</v>
      </c>
      <c r="D976" s="15" t="s">
        <v>411</v>
      </c>
      <c r="E976" s="19" t="s">
        <v>72</v>
      </c>
      <c r="F976" s="24" t="s">
        <v>2534</v>
      </c>
      <c r="G976" s="24" t="s">
        <v>74</v>
      </c>
      <c r="H976" s="17"/>
    </row>
    <row r="977">
      <c r="A977" s="15" t="s">
        <v>2535</v>
      </c>
      <c r="B977" s="15" t="s">
        <v>2536</v>
      </c>
      <c r="C977" s="15" t="s">
        <v>34</v>
      </c>
      <c r="D977" s="15" t="s">
        <v>411</v>
      </c>
      <c r="E977" s="19" t="s">
        <v>72</v>
      </c>
      <c r="F977" s="24" t="s">
        <v>2537</v>
      </c>
      <c r="G977" s="24" t="s">
        <v>74</v>
      </c>
      <c r="H977" s="17"/>
    </row>
    <row r="978">
      <c r="A978" s="15" t="s">
        <v>2538</v>
      </c>
      <c r="B978" s="15" t="s">
        <v>2539</v>
      </c>
      <c r="C978" s="15" t="s">
        <v>34</v>
      </c>
      <c r="D978" s="15" t="s">
        <v>411</v>
      </c>
      <c r="E978" s="19" t="s">
        <v>72</v>
      </c>
      <c r="F978" s="24" t="s">
        <v>2540</v>
      </c>
      <c r="G978" s="24" t="s">
        <v>74</v>
      </c>
      <c r="H978" s="17"/>
    </row>
    <row r="979">
      <c r="A979" s="15" t="s">
        <v>2541</v>
      </c>
      <c r="B979" s="15" t="s">
        <v>2542</v>
      </c>
      <c r="C979" s="15" t="s">
        <v>34</v>
      </c>
      <c r="D979" s="15" t="s">
        <v>411</v>
      </c>
      <c r="E979" s="19" t="s">
        <v>72</v>
      </c>
      <c r="F979" s="24" t="s">
        <v>2543</v>
      </c>
      <c r="G979" s="24" t="s">
        <v>74</v>
      </c>
      <c r="H979" s="17"/>
    </row>
    <row r="980">
      <c r="A980" s="15" t="s">
        <v>2544</v>
      </c>
      <c r="B980" s="15" t="s">
        <v>2545</v>
      </c>
      <c r="C980" s="15" t="s">
        <v>34</v>
      </c>
      <c r="D980" s="15" t="s">
        <v>411</v>
      </c>
      <c r="E980" s="19" t="s">
        <v>72</v>
      </c>
      <c r="F980" s="19" t="s">
        <v>2546</v>
      </c>
      <c r="G980" s="19" t="s">
        <v>74</v>
      </c>
      <c r="H980" s="17"/>
    </row>
    <row r="981">
      <c r="A981" s="15" t="s">
        <v>2547</v>
      </c>
      <c r="B981" s="15" t="s">
        <v>2548</v>
      </c>
      <c r="C981" s="15" t="s">
        <v>34</v>
      </c>
      <c r="D981" s="15" t="s">
        <v>411</v>
      </c>
      <c r="E981" s="19" t="s">
        <v>72</v>
      </c>
      <c r="F981" s="24" t="s">
        <v>2549</v>
      </c>
      <c r="G981" s="24" t="s">
        <v>74</v>
      </c>
      <c r="H981" s="17"/>
    </row>
    <row r="982">
      <c r="A982" s="15" t="s">
        <v>2550</v>
      </c>
      <c r="B982" s="15" t="s">
        <v>2551</v>
      </c>
      <c r="C982" s="15" t="s">
        <v>34</v>
      </c>
      <c r="D982" s="15" t="s">
        <v>411</v>
      </c>
      <c r="E982" s="19" t="s">
        <v>72</v>
      </c>
      <c r="F982" s="24" t="s">
        <v>2552</v>
      </c>
      <c r="G982" s="24" t="s">
        <v>74</v>
      </c>
      <c r="H982" s="17"/>
    </row>
    <row r="983">
      <c r="A983" s="15" t="s">
        <v>2553</v>
      </c>
      <c r="B983" s="15" t="s">
        <v>2554</v>
      </c>
      <c r="C983" s="15" t="s">
        <v>34</v>
      </c>
      <c r="D983" s="15" t="s">
        <v>411</v>
      </c>
      <c r="E983" s="19" t="s">
        <v>72</v>
      </c>
      <c r="F983" s="24" t="s">
        <v>2555</v>
      </c>
      <c r="G983" s="24" t="s">
        <v>74</v>
      </c>
      <c r="H983" s="17"/>
    </row>
    <row r="984">
      <c r="A984" s="15" t="s">
        <v>2556</v>
      </c>
      <c r="B984" s="15" t="s">
        <v>2557</v>
      </c>
      <c r="C984" s="15" t="s">
        <v>34</v>
      </c>
      <c r="D984" s="15" t="s">
        <v>411</v>
      </c>
      <c r="E984" s="19" t="s">
        <v>72</v>
      </c>
      <c r="F984" s="24" t="s">
        <v>2558</v>
      </c>
      <c r="G984" s="24" t="s">
        <v>74</v>
      </c>
      <c r="H984" s="17"/>
    </row>
    <row r="985">
      <c r="A985" s="15" t="s">
        <v>313</v>
      </c>
      <c r="B985" s="15" t="s">
        <v>314</v>
      </c>
      <c r="C985" s="15" t="s">
        <v>34</v>
      </c>
      <c r="D985" s="15" t="s">
        <v>411</v>
      </c>
      <c r="E985" s="19" t="s">
        <v>72</v>
      </c>
      <c r="F985" s="24" t="s">
        <v>2559</v>
      </c>
      <c r="G985" s="24" t="s">
        <v>74</v>
      </c>
      <c r="H985" s="17"/>
    </row>
    <row r="986">
      <c r="A986" s="15" t="s">
        <v>2560</v>
      </c>
      <c r="B986" s="15" t="s">
        <v>2561</v>
      </c>
      <c r="C986" s="15" t="s">
        <v>34</v>
      </c>
      <c r="D986" s="15" t="s">
        <v>411</v>
      </c>
      <c r="E986" s="19" t="s">
        <v>72</v>
      </c>
      <c r="F986" s="24" t="s">
        <v>2562</v>
      </c>
      <c r="G986" s="24" t="s">
        <v>74</v>
      </c>
      <c r="H986" s="17"/>
    </row>
    <row r="987">
      <c r="A987" s="15" t="s">
        <v>2563</v>
      </c>
      <c r="B987" s="15" t="s">
        <v>2564</v>
      </c>
      <c r="C987" s="15" t="s">
        <v>34</v>
      </c>
      <c r="D987" s="15" t="s">
        <v>411</v>
      </c>
      <c r="E987" s="19" t="s">
        <v>72</v>
      </c>
      <c r="F987" s="24" t="s">
        <v>2565</v>
      </c>
      <c r="G987" s="24" t="s">
        <v>74</v>
      </c>
      <c r="H987" s="17"/>
    </row>
    <row r="988">
      <c r="A988" s="15" t="s">
        <v>2566</v>
      </c>
      <c r="B988" s="15" t="s">
        <v>2567</v>
      </c>
      <c r="C988" s="15" t="s">
        <v>34</v>
      </c>
      <c r="D988" s="15" t="s">
        <v>411</v>
      </c>
      <c r="E988" s="19" t="s">
        <v>72</v>
      </c>
      <c r="F988" s="24" t="s">
        <v>2568</v>
      </c>
      <c r="G988" s="24" t="s">
        <v>74</v>
      </c>
      <c r="H988" s="17"/>
    </row>
    <row r="989">
      <c r="A989" s="15" t="s">
        <v>2569</v>
      </c>
      <c r="B989" s="15" t="s">
        <v>2570</v>
      </c>
      <c r="C989" s="15" t="s">
        <v>34</v>
      </c>
      <c r="D989" s="15" t="s">
        <v>411</v>
      </c>
      <c r="E989" s="19" t="s">
        <v>72</v>
      </c>
      <c r="F989" s="24" t="s">
        <v>2571</v>
      </c>
      <c r="G989" s="24" t="s">
        <v>74</v>
      </c>
      <c r="H989" s="17"/>
    </row>
    <row r="990">
      <c r="A990" s="15" t="s">
        <v>2572</v>
      </c>
      <c r="B990" s="15" t="s">
        <v>2573</v>
      </c>
      <c r="C990" s="15" t="s">
        <v>34</v>
      </c>
      <c r="D990" s="15" t="s">
        <v>411</v>
      </c>
      <c r="E990" s="19" t="s">
        <v>72</v>
      </c>
      <c r="F990" s="24" t="s">
        <v>2574</v>
      </c>
      <c r="G990" s="24" t="s">
        <v>74</v>
      </c>
      <c r="H990" s="17"/>
    </row>
    <row r="991">
      <c r="A991" s="15" t="s">
        <v>2575</v>
      </c>
      <c r="B991" s="15" t="s">
        <v>2576</v>
      </c>
      <c r="C991" s="15" t="s">
        <v>34</v>
      </c>
      <c r="D991" s="15" t="s">
        <v>411</v>
      </c>
      <c r="E991" s="19" t="s">
        <v>72</v>
      </c>
      <c r="F991" s="24" t="s">
        <v>2577</v>
      </c>
      <c r="G991" s="24" t="s">
        <v>74</v>
      </c>
      <c r="H991" s="17"/>
    </row>
    <row r="992">
      <c r="A992" s="15" t="s">
        <v>2578</v>
      </c>
      <c r="B992" s="15" t="s">
        <v>2579</v>
      </c>
      <c r="C992" s="15" t="s">
        <v>34</v>
      </c>
      <c r="D992" s="15" t="s">
        <v>411</v>
      </c>
      <c r="E992" s="19" t="s">
        <v>72</v>
      </c>
      <c r="F992" s="24" t="s">
        <v>2580</v>
      </c>
      <c r="G992" s="24" t="s">
        <v>74</v>
      </c>
      <c r="H992" s="17"/>
    </row>
    <row r="993">
      <c r="A993" s="15" t="s">
        <v>2581</v>
      </c>
      <c r="B993" s="15" t="s">
        <v>2582</v>
      </c>
      <c r="C993" s="15" t="s">
        <v>34</v>
      </c>
      <c r="D993" s="15" t="s">
        <v>411</v>
      </c>
      <c r="E993" s="19" t="s">
        <v>72</v>
      </c>
      <c r="F993" s="24" t="s">
        <v>2583</v>
      </c>
      <c r="G993" s="24" t="s">
        <v>74</v>
      </c>
      <c r="H993" s="17"/>
    </row>
    <row r="994">
      <c r="A994" s="15" t="s">
        <v>2584</v>
      </c>
      <c r="B994" s="15" t="s">
        <v>2585</v>
      </c>
      <c r="C994" s="15" t="s">
        <v>34</v>
      </c>
      <c r="D994" s="15" t="s">
        <v>411</v>
      </c>
      <c r="E994" s="19" t="s">
        <v>72</v>
      </c>
      <c r="F994" s="24" t="s">
        <v>2586</v>
      </c>
      <c r="G994" s="24" t="s">
        <v>74</v>
      </c>
      <c r="H994" s="17"/>
    </row>
    <row r="995">
      <c r="A995" s="15" t="s">
        <v>2587</v>
      </c>
      <c r="B995" s="15" t="s">
        <v>2588</v>
      </c>
      <c r="C995" s="15" t="s">
        <v>34</v>
      </c>
      <c r="D995" s="15" t="s">
        <v>411</v>
      </c>
      <c r="E995" s="19" t="s">
        <v>72</v>
      </c>
      <c r="F995" s="27" t="s">
        <v>2589</v>
      </c>
      <c r="G995" s="24" t="s">
        <v>74</v>
      </c>
      <c r="H995" s="17"/>
    </row>
    <row r="996">
      <c r="A996" s="15" t="s">
        <v>2590</v>
      </c>
      <c r="B996" s="15" t="s">
        <v>2591</v>
      </c>
      <c r="C996" s="15" t="s">
        <v>34</v>
      </c>
      <c r="D996" s="15" t="s">
        <v>411</v>
      </c>
      <c r="E996" s="19" t="s">
        <v>72</v>
      </c>
      <c r="F996" s="24" t="s">
        <v>2592</v>
      </c>
      <c r="G996" s="24" t="s">
        <v>74</v>
      </c>
      <c r="H996" s="17"/>
    </row>
    <row r="997">
      <c r="A997" s="15" t="s">
        <v>2593</v>
      </c>
      <c r="B997" s="15" t="s">
        <v>2594</v>
      </c>
      <c r="C997" s="15" t="s">
        <v>34</v>
      </c>
      <c r="D997" s="15" t="s">
        <v>411</v>
      </c>
      <c r="E997" s="19" t="s">
        <v>72</v>
      </c>
      <c r="F997" s="24" t="s">
        <v>2595</v>
      </c>
      <c r="G997" s="24" t="s">
        <v>74</v>
      </c>
      <c r="H997" s="17"/>
    </row>
    <row r="998">
      <c r="A998" s="15" t="s">
        <v>2596</v>
      </c>
      <c r="B998" s="15" t="s">
        <v>2597</v>
      </c>
      <c r="C998" s="15" t="s">
        <v>34</v>
      </c>
      <c r="D998" s="15" t="s">
        <v>411</v>
      </c>
      <c r="E998" s="19" t="s">
        <v>72</v>
      </c>
      <c r="F998" s="24" t="s">
        <v>2598</v>
      </c>
      <c r="G998" s="24" t="s">
        <v>74</v>
      </c>
      <c r="H998" s="17"/>
    </row>
    <row r="999">
      <c r="A999" s="15" t="s">
        <v>2599</v>
      </c>
      <c r="B999" s="15" t="s">
        <v>2600</v>
      </c>
      <c r="C999" s="15" t="s">
        <v>34</v>
      </c>
      <c r="D999" s="15" t="s">
        <v>411</v>
      </c>
      <c r="E999" s="19" t="s">
        <v>72</v>
      </c>
      <c r="F999" s="24" t="s">
        <v>2601</v>
      </c>
      <c r="G999" s="24" t="s">
        <v>74</v>
      </c>
      <c r="H999" s="17"/>
    </row>
    <row r="1000">
      <c r="A1000" s="15" t="s">
        <v>2602</v>
      </c>
      <c r="B1000" s="15" t="s">
        <v>2603</v>
      </c>
      <c r="C1000" s="15" t="s">
        <v>34</v>
      </c>
      <c r="D1000" s="15" t="s">
        <v>411</v>
      </c>
      <c r="E1000" s="19" t="s">
        <v>72</v>
      </c>
      <c r="F1000" s="24" t="s">
        <v>2604</v>
      </c>
      <c r="G1000" s="24" t="s">
        <v>74</v>
      </c>
      <c r="H1000" s="17"/>
    </row>
    <row r="1001">
      <c r="A1001" s="15" t="s">
        <v>2605</v>
      </c>
      <c r="B1001" s="15" t="s">
        <v>2606</v>
      </c>
      <c r="C1001" s="15" t="s">
        <v>34</v>
      </c>
      <c r="D1001" s="15" t="s">
        <v>411</v>
      </c>
      <c r="E1001" s="19" t="s">
        <v>72</v>
      </c>
      <c r="F1001" s="24" t="s">
        <v>2607</v>
      </c>
      <c r="G1001" s="24" t="s">
        <v>74</v>
      </c>
      <c r="H1001" s="17"/>
    </row>
    <row r="1002">
      <c r="A1002" s="15" t="s">
        <v>2608</v>
      </c>
      <c r="B1002" s="15" t="s">
        <v>2609</v>
      </c>
      <c r="C1002" s="15" t="s">
        <v>34</v>
      </c>
      <c r="D1002" s="15" t="s">
        <v>411</v>
      </c>
      <c r="E1002" s="19" t="s">
        <v>72</v>
      </c>
      <c r="F1002" s="24" t="s">
        <v>2610</v>
      </c>
      <c r="G1002" s="24" t="s">
        <v>74</v>
      </c>
      <c r="H1002" s="17"/>
    </row>
    <row r="1003">
      <c r="A1003" s="15" t="s">
        <v>2611</v>
      </c>
      <c r="B1003" s="15" t="s">
        <v>2612</v>
      </c>
      <c r="C1003" s="15" t="s">
        <v>34</v>
      </c>
      <c r="D1003" s="15" t="s">
        <v>411</v>
      </c>
      <c r="E1003" s="19" t="s">
        <v>72</v>
      </c>
      <c r="F1003" s="24" t="s">
        <v>2613</v>
      </c>
      <c r="G1003" s="24" t="s">
        <v>74</v>
      </c>
      <c r="H1003" s="17"/>
    </row>
    <row r="1004">
      <c r="A1004" s="15" t="s">
        <v>2614</v>
      </c>
      <c r="B1004" s="15" t="s">
        <v>2615</v>
      </c>
      <c r="C1004" s="15" t="s">
        <v>34</v>
      </c>
      <c r="D1004" s="15" t="s">
        <v>411</v>
      </c>
      <c r="E1004" s="19" t="s">
        <v>72</v>
      </c>
      <c r="F1004" s="24" t="s">
        <v>2616</v>
      </c>
      <c r="G1004" s="24" t="s">
        <v>74</v>
      </c>
      <c r="H1004" s="17"/>
    </row>
    <row r="1005">
      <c r="A1005" s="15" t="s">
        <v>2617</v>
      </c>
      <c r="B1005" s="15" t="s">
        <v>2618</v>
      </c>
      <c r="C1005" s="15" t="s">
        <v>34</v>
      </c>
      <c r="D1005" s="15" t="s">
        <v>411</v>
      </c>
      <c r="E1005" s="19" t="s">
        <v>72</v>
      </c>
      <c r="F1005" s="24" t="s">
        <v>2619</v>
      </c>
      <c r="G1005" s="24" t="s">
        <v>74</v>
      </c>
      <c r="H1005" s="17"/>
    </row>
    <row r="1006">
      <c r="A1006" s="15" t="s">
        <v>2620</v>
      </c>
      <c r="B1006" s="15" t="s">
        <v>2621</v>
      </c>
      <c r="C1006" s="15" t="s">
        <v>34</v>
      </c>
      <c r="D1006" s="15" t="s">
        <v>411</v>
      </c>
      <c r="E1006" s="19" t="s">
        <v>72</v>
      </c>
      <c r="F1006" s="24" t="s">
        <v>2546</v>
      </c>
      <c r="G1006" s="24" t="s">
        <v>74</v>
      </c>
      <c r="H1006" s="17"/>
    </row>
    <row r="1007">
      <c r="A1007" s="15" t="s">
        <v>2622</v>
      </c>
      <c r="B1007" s="15" t="s">
        <v>2623</v>
      </c>
      <c r="C1007" s="15" t="s">
        <v>34</v>
      </c>
      <c r="D1007" s="15" t="s">
        <v>411</v>
      </c>
      <c r="E1007" s="19" t="s">
        <v>72</v>
      </c>
      <c r="F1007" s="24" t="s">
        <v>2624</v>
      </c>
      <c r="G1007" s="24" t="s">
        <v>74</v>
      </c>
      <c r="H1007" s="17"/>
    </row>
    <row r="1008">
      <c r="A1008" s="15" t="s">
        <v>2625</v>
      </c>
      <c r="B1008" s="15" t="s">
        <v>2626</v>
      </c>
      <c r="C1008" s="15" t="s">
        <v>34</v>
      </c>
      <c r="D1008" s="15" t="s">
        <v>411</v>
      </c>
      <c r="E1008" s="19" t="s">
        <v>72</v>
      </c>
      <c r="F1008" s="24" t="s">
        <v>2627</v>
      </c>
      <c r="G1008" s="24" t="s">
        <v>74</v>
      </c>
      <c r="H1008" s="17"/>
    </row>
    <row r="1009">
      <c r="A1009" s="15" t="s">
        <v>2628</v>
      </c>
      <c r="B1009" s="15" t="s">
        <v>2629</v>
      </c>
      <c r="C1009" s="15" t="s">
        <v>34</v>
      </c>
      <c r="D1009" s="15" t="s">
        <v>411</v>
      </c>
      <c r="E1009" s="19" t="s">
        <v>72</v>
      </c>
      <c r="F1009" s="24" t="s">
        <v>2630</v>
      </c>
      <c r="G1009" s="19" t="s">
        <v>74</v>
      </c>
      <c r="H1009" s="17"/>
    </row>
    <row r="1010">
      <c r="A1010" s="15" t="s">
        <v>2631</v>
      </c>
      <c r="B1010" s="15" t="s">
        <v>2632</v>
      </c>
      <c r="C1010" s="15" t="s">
        <v>34</v>
      </c>
      <c r="D1010" s="15" t="s">
        <v>411</v>
      </c>
      <c r="E1010" s="19" t="s">
        <v>72</v>
      </c>
      <c r="F1010" s="24" t="s">
        <v>2633</v>
      </c>
      <c r="G1010" s="24" t="s">
        <v>74</v>
      </c>
      <c r="H1010" s="17"/>
    </row>
    <row r="1011">
      <c r="A1011" s="15" t="s">
        <v>2634</v>
      </c>
      <c r="B1011" s="15" t="s">
        <v>2635</v>
      </c>
      <c r="C1011" s="15" t="s">
        <v>34</v>
      </c>
      <c r="D1011" s="15" t="s">
        <v>411</v>
      </c>
      <c r="E1011" s="19" t="s">
        <v>72</v>
      </c>
      <c r="F1011" s="24" t="s">
        <v>2636</v>
      </c>
      <c r="G1011" s="24" t="s">
        <v>74</v>
      </c>
      <c r="H1011" s="17"/>
    </row>
    <row r="1012">
      <c r="A1012" s="15" t="s">
        <v>2637</v>
      </c>
      <c r="B1012" s="15" t="s">
        <v>2638</v>
      </c>
      <c r="C1012" s="15" t="s">
        <v>34</v>
      </c>
      <c r="D1012" s="15" t="s">
        <v>411</v>
      </c>
      <c r="E1012" s="19" t="s">
        <v>72</v>
      </c>
      <c r="F1012" s="24" t="s">
        <v>2639</v>
      </c>
      <c r="G1012" s="24" t="s">
        <v>74</v>
      </c>
      <c r="H1012" s="17"/>
    </row>
    <row r="1013">
      <c r="A1013" s="15" t="s">
        <v>2640</v>
      </c>
      <c r="B1013" s="15" t="s">
        <v>2641</v>
      </c>
      <c r="C1013" s="15" t="s">
        <v>34</v>
      </c>
      <c r="D1013" s="15" t="s">
        <v>411</v>
      </c>
      <c r="E1013" s="19" t="s">
        <v>72</v>
      </c>
      <c r="F1013" s="24" t="s">
        <v>2642</v>
      </c>
      <c r="G1013" s="24" t="s">
        <v>74</v>
      </c>
      <c r="H1013" s="17"/>
    </row>
    <row r="1014">
      <c r="A1014" s="15" t="s">
        <v>2643</v>
      </c>
      <c r="B1014" s="15" t="s">
        <v>2644</v>
      </c>
      <c r="C1014" s="15" t="s">
        <v>34</v>
      </c>
      <c r="D1014" s="15" t="s">
        <v>411</v>
      </c>
      <c r="E1014" s="19" t="s">
        <v>72</v>
      </c>
      <c r="F1014" s="24" t="s">
        <v>2645</v>
      </c>
      <c r="G1014" s="24" t="s">
        <v>74</v>
      </c>
      <c r="H1014" s="17"/>
    </row>
    <row r="1015">
      <c r="A1015" s="15" t="s">
        <v>2646</v>
      </c>
      <c r="B1015" s="15" t="s">
        <v>2647</v>
      </c>
      <c r="C1015" s="15" t="s">
        <v>34</v>
      </c>
      <c r="D1015" s="15" t="s">
        <v>411</v>
      </c>
      <c r="E1015" s="19" t="s">
        <v>72</v>
      </c>
      <c r="F1015" s="24" t="s">
        <v>2648</v>
      </c>
      <c r="G1015" s="24" t="s">
        <v>74</v>
      </c>
      <c r="H1015" s="17"/>
    </row>
    <row r="1016">
      <c r="A1016" s="15" t="s">
        <v>2649</v>
      </c>
      <c r="B1016" s="15" t="s">
        <v>2650</v>
      </c>
      <c r="C1016" s="15" t="s">
        <v>34</v>
      </c>
      <c r="D1016" s="15" t="s">
        <v>411</v>
      </c>
      <c r="E1016" s="19" t="s">
        <v>72</v>
      </c>
      <c r="F1016" s="24" t="s">
        <v>2651</v>
      </c>
      <c r="G1016" s="24" t="s">
        <v>74</v>
      </c>
      <c r="H1016" s="17"/>
    </row>
    <row r="1017">
      <c r="A1017" s="15" t="s">
        <v>2652</v>
      </c>
      <c r="B1017" s="15" t="s">
        <v>2653</v>
      </c>
      <c r="C1017" s="15" t="s">
        <v>34</v>
      </c>
      <c r="D1017" s="15" t="s">
        <v>411</v>
      </c>
      <c r="E1017" s="19" t="s">
        <v>72</v>
      </c>
      <c r="F1017" s="24" t="s">
        <v>2654</v>
      </c>
      <c r="G1017" s="24" t="s">
        <v>74</v>
      </c>
      <c r="H1017" s="17"/>
    </row>
    <row r="1018">
      <c r="A1018" s="15" t="s">
        <v>2655</v>
      </c>
      <c r="B1018" s="15" t="s">
        <v>2656</v>
      </c>
      <c r="C1018" s="15" t="s">
        <v>34</v>
      </c>
      <c r="D1018" s="15" t="s">
        <v>411</v>
      </c>
      <c r="E1018" s="19" t="s">
        <v>72</v>
      </c>
      <c r="F1018" s="24" t="s">
        <v>2657</v>
      </c>
      <c r="G1018" s="24" t="s">
        <v>74</v>
      </c>
      <c r="H1018" s="17"/>
    </row>
    <row r="1019">
      <c r="A1019" s="15" t="s">
        <v>2658</v>
      </c>
      <c r="B1019" s="15" t="s">
        <v>2659</v>
      </c>
      <c r="C1019" s="15" t="s">
        <v>34</v>
      </c>
      <c r="D1019" s="15" t="s">
        <v>411</v>
      </c>
      <c r="E1019" s="19" t="s">
        <v>72</v>
      </c>
      <c r="F1019" s="24" t="s">
        <v>2660</v>
      </c>
      <c r="G1019" s="24" t="s">
        <v>74</v>
      </c>
      <c r="H1019" s="17"/>
    </row>
    <row r="1020">
      <c r="A1020" s="15" t="s">
        <v>2661</v>
      </c>
      <c r="B1020" s="15" t="s">
        <v>2662</v>
      </c>
      <c r="C1020" s="15" t="s">
        <v>34</v>
      </c>
      <c r="D1020" s="15" t="s">
        <v>411</v>
      </c>
      <c r="E1020" s="19" t="s">
        <v>72</v>
      </c>
      <c r="F1020" s="24" t="s">
        <v>2663</v>
      </c>
      <c r="G1020" s="24" t="s">
        <v>74</v>
      </c>
      <c r="H1020" s="17"/>
    </row>
    <row r="1021">
      <c r="A1021" s="15" t="s">
        <v>2664</v>
      </c>
      <c r="B1021" s="15" t="s">
        <v>2665</v>
      </c>
      <c r="C1021" s="15" t="s">
        <v>34</v>
      </c>
      <c r="D1021" s="15" t="s">
        <v>411</v>
      </c>
      <c r="E1021" s="19" t="s">
        <v>72</v>
      </c>
      <c r="F1021" s="24" t="s">
        <v>2666</v>
      </c>
      <c r="G1021" s="24" t="s">
        <v>74</v>
      </c>
      <c r="H1021" s="17"/>
    </row>
    <row r="1022">
      <c r="A1022" s="15" t="s">
        <v>2667</v>
      </c>
      <c r="B1022" s="15" t="s">
        <v>2668</v>
      </c>
      <c r="C1022" s="15" t="s">
        <v>34</v>
      </c>
      <c r="D1022" s="15" t="s">
        <v>411</v>
      </c>
      <c r="E1022" s="19" t="s">
        <v>72</v>
      </c>
      <c r="F1022" s="27" t="s">
        <v>2669</v>
      </c>
      <c r="G1022" s="24" t="s">
        <v>74</v>
      </c>
      <c r="H1022" s="17"/>
    </row>
    <row r="1023">
      <c r="A1023" s="15" t="s">
        <v>2670</v>
      </c>
      <c r="B1023" s="15" t="s">
        <v>2671</v>
      </c>
      <c r="C1023" s="15" t="s">
        <v>34</v>
      </c>
      <c r="D1023" s="15" t="s">
        <v>411</v>
      </c>
      <c r="E1023" s="19" t="s">
        <v>72</v>
      </c>
      <c r="F1023" s="24" t="s">
        <v>2672</v>
      </c>
      <c r="G1023" s="24" t="s">
        <v>74</v>
      </c>
      <c r="H1023" s="17"/>
    </row>
    <row r="1024">
      <c r="A1024" s="15" t="s">
        <v>2673</v>
      </c>
      <c r="B1024" s="15" t="s">
        <v>2674</v>
      </c>
      <c r="C1024" s="15" t="s">
        <v>34</v>
      </c>
      <c r="D1024" s="15" t="s">
        <v>411</v>
      </c>
      <c r="E1024" s="19" t="s">
        <v>72</v>
      </c>
      <c r="F1024" s="24" t="s">
        <v>2675</v>
      </c>
      <c r="G1024" s="24" t="s">
        <v>74</v>
      </c>
      <c r="H1024" s="17"/>
    </row>
    <row r="1025">
      <c r="A1025" s="15" t="s">
        <v>2676</v>
      </c>
      <c r="B1025" s="15" t="s">
        <v>2677</v>
      </c>
      <c r="C1025" s="15" t="s">
        <v>34</v>
      </c>
      <c r="D1025" s="15" t="s">
        <v>411</v>
      </c>
      <c r="E1025" s="19" t="s">
        <v>72</v>
      </c>
      <c r="F1025" s="24" t="s">
        <v>2678</v>
      </c>
      <c r="G1025" s="24" t="s">
        <v>74</v>
      </c>
      <c r="H1025" s="17"/>
    </row>
    <row r="1026">
      <c r="A1026" s="15" t="s">
        <v>2679</v>
      </c>
      <c r="B1026" s="15" t="s">
        <v>2680</v>
      </c>
      <c r="C1026" s="15" t="s">
        <v>34</v>
      </c>
      <c r="D1026" s="15" t="s">
        <v>411</v>
      </c>
      <c r="E1026" s="19" t="s">
        <v>72</v>
      </c>
      <c r="F1026" s="24" t="s">
        <v>2681</v>
      </c>
      <c r="G1026" s="24" t="s">
        <v>74</v>
      </c>
      <c r="H1026" s="17"/>
    </row>
    <row r="1027">
      <c r="A1027" s="15" t="s">
        <v>2682</v>
      </c>
      <c r="B1027" s="15" t="s">
        <v>2683</v>
      </c>
      <c r="C1027" s="15" t="s">
        <v>34</v>
      </c>
      <c r="D1027" s="15" t="s">
        <v>411</v>
      </c>
      <c r="E1027" s="19" t="s">
        <v>72</v>
      </c>
      <c r="F1027" s="24" t="s">
        <v>2684</v>
      </c>
      <c r="G1027" s="24" t="s">
        <v>74</v>
      </c>
      <c r="H1027" s="17"/>
    </row>
    <row r="1028">
      <c r="A1028" s="15" t="s">
        <v>2685</v>
      </c>
      <c r="B1028" s="15" t="s">
        <v>2686</v>
      </c>
      <c r="C1028" s="15" t="s">
        <v>34</v>
      </c>
      <c r="D1028" s="15" t="s">
        <v>411</v>
      </c>
      <c r="E1028" s="19" t="s">
        <v>72</v>
      </c>
      <c r="F1028" s="24" t="s">
        <v>2687</v>
      </c>
      <c r="G1028" s="24" t="s">
        <v>74</v>
      </c>
      <c r="H1028" s="17"/>
    </row>
    <row r="1029">
      <c r="A1029" s="15" t="s">
        <v>2688</v>
      </c>
      <c r="B1029" s="15" t="s">
        <v>2689</v>
      </c>
      <c r="C1029" s="15" t="s">
        <v>34</v>
      </c>
      <c r="D1029" s="15" t="s">
        <v>411</v>
      </c>
      <c r="E1029" s="19" t="s">
        <v>72</v>
      </c>
      <c r="F1029" s="24" t="s">
        <v>2690</v>
      </c>
      <c r="G1029" s="24" t="s">
        <v>74</v>
      </c>
      <c r="H1029" s="17"/>
    </row>
    <row r="1030">
      <c r="A1030" s="15" t="s">
        <v>2691</v>
      </c>
      <c r="B1030" s="15" t="s">
        <v>2692</v>
      </c>
      <c r="C1030" s="15" t="s">
        <v>34</v>
      </c>
      <c r="D1030" s="15" t="s">
        <v>411</v>
      </c>
      <c r="E1030" s="19" t="s">
        <v>72</v>
      </c>
      <c r="F1030" s="19" t="s">
        <v>2693</v>
      </c>
      <c r="G1030" s="24" t="s">
        <v>74</v>
      </c>
      <c r="H1030" s="17"/>
    </row>
    <row r="1031">
      <c r="A1031" s="15" t="s">
        <v>2694</v>
      </c>
      <c r="B1031" s="15" t="s">
        <v>2695</v>
      </c>
      <c r="C1031" s="15" t="s">
        <v>34</v>
      </c>
      <c r="D1031" s="15" t="s">
        <v>411</v>
      </c>
      <c r="E1031" s="19" t="s">
        <v>72</v>
      </c>
      <c r="F1031" s="19" t="s">
        <v>2696</v>
      </c>
      <c r="G1031" s="24" t="s">
        <v>74</v>
      </c>
      <c r="H1031" s="17"/>
    </row>
    <row r="1032">
      <c r="A1032" s="15" t="s">
        <v>2697</v>
      </c>
      <c r="B1032" s="15" t="s">
        <v>2698</v>
      </c>
      <c r="C1032" s="15" t="s">
        <v>34</v>
      </c>
      <c r="D1032" s="15" t="s">
        <v>411</v>
      </c>
      <c r="E1032" s="19" t="s">
        <v>72</v>
      </c>
      <c r="F1032" s="20" t="s">
        <v>2699</v>
      </c>
      <c r="G1032" s="24" t="s">
        <v>74</v>
      </c>
      <c r="H1032" s="17"/>
    </row>
    <row r="1033">
      <c r="A1033" s="15" t="s">
        <v>2700</v>
      </c>
      <c r="B1033" s="15" t="s">
        <v>2701</v>
      </c>
      <c r="C1033" s="15" t="s">
        <v>34</v>
      </c>
      <c r="D1033" s="15" t="s">
        <v>411</v>
      </c>
      <c r="E1033" s="19" t="s">
        <v>72</v>
      </c>
      <c r="F1033" s="19" t="s">
        <v>2702</v>
      </c>
      <c r="G1033" s="24" t="s">
        <v>74</v>
      </c>
      <c r="H1033" s="17"/>
    </row>
    <row r="1034">
      <c r="A1034" s="15" t="s">
        <v>2703</v>
      </c>
      <c r="B1034" s="15" t="s">
        <v>2704</v>
      </c>
      <c r="C1034" s="15" t="s">
        <v>34</v>
      </c>
      <c r="D1034" s="15" t="s">
        <v>411</v>
      </c>
      <c r="E1034" s="19" t="s">
        <v>72</v>
      </c>
      <c r="F1034" s="19" t="s">
        <v>2705</v>
      </c>
      <c r="G1034" s="24" t="s">
        <v>74</v>
      </c>
      <c r="H1034" s="17"/>
    </row>
    <row r="1035">
      <c r="A1035" s="15" t="s">
        <v>2706</v>
      </c>
      <c r="B1035" s="15" t="s">
        <v>2707</v>
      </c>
      <c r="C1035" s="15" t="s">
        <v>34</v>
      </c>
      <c r="D1035" s="15" t="s">
        <v>411</v>
      </c>
      <c r="E1035" s="19" t="s">
        <v>72</v>
      </c>
      <c r="F1035" s="19" t="s">
        <v>2708</v>
      </c>
      <c r="G1035" s="24" t="s">
        <v>74</v>
      </c>
      <c r="H1035" s="17"/>
    </row>
    <row r="1036">
      <c r="A1036" s="15" t="s">
        <v>2709</v>
      </c>
      <c r="B1036" s="15" t="s">
        <v>2710</v>
      </c>
      <c r="C1036" s="15" t="s">
        <v>34</v>
      </c>
      <c r="D1036" s="15" t="s">
        <v>411</v>
      </c>
      <c r="E1036" s="19" t="s">
        <v>72</v>
      </c>
      <c r="F1036" s="27" t="s">
        <v>2711</v>
      </c>
      <c r="G1036" s="24" t="s">
        <v>74</v>
      </c>
      <c r="H1036" s="17"/>
    </row>
    <row r="1037">
      <c r="A1037" s="15" t="s">
        <v>2712</v>
      </c>
      <c r="B1037" s="15" t="s">
        <v>2713</v>
      </c>
      <c r="C1037" s="15" t="s">
        <v>34</v>
      </c>
      <c r="D1037" s="15" t="s">
        <v>411</v>
      </c>
      <c r="E1037" s="19" t="s">
        <v>72</v>
      </c>
      <c r="F1037" s="19" t="s">
        <v>2714</v>
      </c>
      <c r="G1037" s="19" t="s">
        <v>74</v>
      </c>
      <c r="H1037" s="17"/>
    </row>
    <row r="1038">
      <c r="A1038" s="15" t="s">
        <v>2715</v>
      </c>
      <c r="B1038" s="15" t="s">
        <v>2716</v>
      </c>
      <c r="C1038" s="15" t="s">
        <v>34</v>
      </c>
      <c r="D1038" s="15" t="s">
        <v>411</v>
      </c>
      <c r="E1038" s="19" t="s">
        <v>72</v>
      </c>
      <c r="F1038" s="27" t="s">
        <v>2717</v>
      </c>
      <c r="G1038" s="24" t="s">
        <v>74</v>
      </c>
      <c r="H1038" s="17"/>
    </row>
    <row r="1039">
      <c r="A1039" s="15" t="s">
        <v>2718</v>
      </c>
      <c r="B1039" s="15" t="s">
        <v>2719</v>
      </c>
      <c r="C1039" s="15" t="s">
        <v>34</v>
      </c>
      <c r="D1039" s="15" t="s">
        <v>411</v>
      </c>
      <c r="E1039" s="19" t="s">
        <v>72</v>
      </c>
      <c r="F1039" s="27" t="s">
        <v>2720</v>
      </c>
      <c r="G1039" s="24" t="s">
        <v>74</v>
      </c>
      <c r="H1039" s="17"/>
    </row>
    <row r="1040">
      <c r="A1040" s="15" t="s">
        <v>2721</v>
      </c>
      <c r="B1040" s="15" t="s">
        <v>2722</v>
      </c>
      <c r="C1040" s="15" t="s">
        <v>34</v>
      </c>
      <c r="D1040" s="15" t="s">
        <v>411</v>
      </c>
      <c r="E1040" s="19" t="s">
        <v>72</v>
      </c>
      <c r="F1040" s="24" t="s">
        <v>2723</v>
      </c>
      <c r="G1040" s="24" t="s">
        <v>74</v>
      </c>
      <c r="H1040" s="17"/>
    </row>
    <row r="1041">
      <c r="A1041" s="15" t="s">
        <v>2724</v>
      </c>
      <c r="B1041" s="15" t="s">
        <v>2725</v>
      </c>
      <c r="C1041" s="15" t="s">
        <v>34</v>
      </c>
      <c r="D1041" s="15" t="s">
        <v>411</v>
      </c>
      <c r="E1041" s="19" t="s">
        <v>72</v>
      </c>
      <c r="F1041" s="19" t="s">
        <v>2726</v>
      </c>
      <c r="G1041" s="24" t="s">
        <v>74</v>
      </c>
      <c r="H1041" s="17"/>
    </row>
    <row r="1042">
      <c r="A1042" s="15" t="s">
        <v>2727</v>
      </c>
      <c r="B1042" s="15" t="s">
        <v>2728</v>
      </c>
      <c r="C1042" s="15" t="s">
        <v>34</v>
      </c>
      <c r="D1042" s="15" t="s">
        <v>411</v>
      </c>
      <c r="E1042" s="19" t="s">
        <v>72</v>
      </c>
      <c r="F1042" s="19" t="s">
        <v>2729</v>
      </c>
      <c r="G1042" s="24" t="s">
        <v>74</v>
      </c>
      <c r="H1042" s="17"/>
    </row>
    <row r="1043">
      <c r="A1043" s="15" t="s">
        <v>2730</v>
      </c>
      <c r="B1043" s="15" t="s">
        <v>2731</v>
      </c>
      <c r="C1043" s="15" t="s">
        <v>34</v>
      </c>
      <c r="D1043" s="15" t="s">
        <v>411</v>
      </c>
      <c r="E1043" s="19" t="s">
        <v>72</v>
      </c>
      <c r="F1043" s="24" t="s">
        <v>2732</v>
      </c>
      <c r="G1043" s="24" t="s">
        <v>74</v>
      </c>
      <c r="H1043" s="17"/>
    </row>
    <row r="1044">
      <c r="A1044" s="15" t="s">
        <v>2733</v>
      </c>
      <c r="B1044" s="15" t="s">
        <v>2734</v>
      </c>
      <c r="C1044" s="15" t="s">
        <v>34</v>
      </c>
      <c r="D1044" s="15" t="s">
        <v>411</v>
      </c>
      <c r="E1044" s="19" t="s">
        <v>72</v>
      </c>
      <c r="F1044" s="24" t="s">
        <v>2735</v>
      </c>
      <c r="G1044" s="24" t="s">
        <v>74</v>
      </c>
      <c r="H1044" s="17"/>
    </row>
    <row r="1045">
      <c r="A1045" s="15" t="s">
        <v>2736</v>
      </c>
      <c r="B1045" s="15" t="s">
        <v>2737</v>
      </c>
      <c r="C1045" s="15" t="s">
        <v>34</v>
      </c>
      <c r="D1045" s="15" t="s">
        <v>411</v>
      </c>
      <c r="E1045" s="19" t="s">
        <v>72</v>
      </c>
      <c r="F1045" s="28" t="s">
        <v>2738</v>
      </c>
      <c r="G1045" s="24" t="s">
        <v>74</v>
      </c>
      <c r="H1045" s="17"/>
    </row>
    <row r="1046">
      <c r="A1046" s="15" t="s">
        <v>2739</v>
      </c>
      <c r="B1046" s="15" t="s">
        <v>2740</v>
      </c>
      <c r="C1046" s="15" t="s">
        <v>34</v>
      </c>
      <c r="D1046" s="15" t="s">
        <v>411</v>
      </c>
      <c r="E1046" s="19" t="s">
        <v>72</v>
      </c>
      <c r="F1046" s="19" t="s">
        <v>2741</v>
      </c>
      <c r="G1046" s="24" t="s">
        <v>74</v>
      </c>
      <c r="H1046" s="17"/>
    </row>
    <row r="1047">
      <c r="A1047" s="15" t="s">
        <v>2742</v>
      </c>
      <c r="B1047" s="15" t="s">
        <v>2743</v>
      </c>
      <c r="C1047" s="15" t="s">
        <v>34</v>
      </c>
      <c r="D1047" s="15" t="s">
        <v>411</v>
      </c>
      <c r="E1047" s="19" t="s">
        <v>72</v>
      </c>
      <c r="F1047" s="29" t="s">
        <v>2744</v>
      </c>
      <c r="G1047" s="24" t="s">
        <v>74</v>
      </c>
      <c r="H1047" s="17"/>
    </row>
    <row r="1048">
      <c r="A1048" s="15" t="s">
        <v>2745</v>
      </c>
      <c r="B1048" s="15" t="s">
        <v>2746</v>
      </c>
      <c r="C1048" s="15" t="s">
        <v>34</v>
      </c>
      <c r="D1048" s="15" t="s">
        <v>411</v>
      </c>
      <c r="E1048" s="19" t="s">
        <v>72</v>
      </c>
      <c r="F1048" s="19" t="s">
        <v>2747</v>
      </c>
      <c r="G1048" s="24" t="s">
        <v>74</v>
      </c>
      <c r="H1048" s="17"/>
    </row>
    <row r="1049">
      <c r="A1049" s="15" t="s">
        <v>2748</v>
      </c>
      <c r="B1049" s="15" t="s">
        <v>2749</v>
      </c>
      <c r="C1049" s="15" t="s">
        <v>34</v>
      </c>
      <c r="D1049" s="15" t="s">
        <v>411</v>
      </c>
      <c r="E1049" s="19" t="s">
        <v>72</v>
      </c>
      <c r="F1049" s="19" t="s">
        <v>2750</v>
      </c>
      <c r="G1049" s="24" t="s">
        <v>74</v>
      </c>
      <c r="H1049" s="17"/>
    </row>
    <row r="1050">
      <c r="A1050" s="15" t="s">
        <v>2751</v>
      </c>
      <c r="B1050" s="15" t="s">
        <v>2752</v>
      </c>
      <c r="C1050" s="15" t="s">
        <v>34</v>
      </c>
      <c r="D1050" s="15" t="s">
        <v>411</v>
      </c>
      <c r="E1050" s="19" t="s">
        <v>72</v>
      </c>
      <c r="F1050" s="19" t="s">
        <v>2753</v>
      </c>
      <c r="G1050" s="24" t="s">
        <v>74</v>
      </c>
      <c r="H1050" s="17"/>
    </row>
    <row r="1051">
      <c r="A1051" s="15" t="s">
        <v>2754</v>
      </c>
      <c r="B1051" s="15" t="s">
        <v>2755</v>
      </c>
      <c r="C1051" s="15" t="s">
        <v>34</v>
      </c>
      <c r="D1051" s="15" t="s">
        <v>411</v>
      </c>
      <c r="E1051" s="19" t="s">
        <v>72</v>
      </c>
      <c r="F1051" s="19" t="s">
        <v>2756</v>
      </c>
      <c r="G1051" s="24" t="s">
        <v>74</v>
      </c>
      <c r="H1051" s="17"/>
    </row>
    <row r="1052">
      <c r="A1052" s="15" t="s">
        <v>2757</v>
      </c>
      <c r="B1052" s="15" t="s">
        <v>2758</v>
      </c>
      <c r="C1052" s="15" t="s">
        <v>34</v>
      </c>
      <c r="D1052" s="15" t="s">
        <v>411</v>
      </c>
      <c r="E1052" s="19" t="s">
        <v>72</v>
      </c>
      <c r="F1052" s="19" t="s">
        <v>2759</v>
      </c>
      <c r="G1052" s="24" t="s">
        <v>74</v>
      </c>
      <c r="H1052" s="17"/>
    </row>
    <row r="1053">
      <c r="A1053" s="15" t="s">
        <v>2760</v>
      </c>
      <c r="B1053" s="15" t="s">
        <v>2761</v>
      </c>
      <c r="C1053" s="15" t="s">
        <v>34</v>
      </c>
      <c r="D1053" s="15" t="s">
        <v>411</v>
      </c>
      <c r="E1053" s="19" t="s">
        <v>72</v>
      </c>
      <c r="F1053" s="19" t="s">
        <v>2762</v>
      </c>
      <c r="G1053" s="19" t="s">
        <v>74</v>
      </c>
      <c r="H1053" s="17"/>
    </row>
    <row r="1054">
      <c r="A1054" s="15" t="s">
        <v>2763</v>
      </c>
      <c r="B1054" s="15" t="s">
        <v>2764</v>
      </c>
      <c r="C1054" s="15" t="s">
        <v>34</v>
      </c>
      <c r="D1054" s="15" t="s">
        <v>411</v>
      </c>
      <c r="E1054" s="19" t="s">
        <v>72</v>
      </c>
      <c r="F1054" s="19" t="s">
        <v>2765</v>
      </c>
      <c r="G1054" s="24" t="s">
        <v>74</v>
      </c>
      <c r="H1054" s="17"/>
    </row>
    <row r="1055">
      <c r="A1055" s="15" t="s">
        <v>2766</v>
      </c>
      <c r="B1055" s="15" t="s">
        <v>2767</v>
      </c>
      <c r="C1055" s="15" t="s">
        <v>34</v>
      </c>
      <c r="D1055" s="15" t="s">
        <v>411</v>
      </c>
      <c r="E1055" s="19" t="s">
        <v>72</v>
      </c>
      <c r="F1055" s="19" t="s">
        <v>2768</v>
      </c>
      <c r="G1055" s="24" t="s">
        <v>74</v>
      </c>
      <c r="H1055" s="17"/>
    </row>
    <row r="1056">
      <c r="A1056" s="15" t="s">
        <v>2769</v>
      </c>
      <c r="B1056" s="15" t="s">
        <v>2770</v>
      </c>
      <c r="C1056" s="15" t="s">
        <v>34</v>
      </c>
      <c r="D1056" s="15" t="s">
        <v>411</v>
      </c>
      <c r="E1056" s="19" t="s">
        <v>72</v>
      </c>
      <c r="F1056" s="19" t="s">
        <v>2771</v>
      </c>
      <c r="G1056" s="24" t="s">
        <v>74</v>
      </c>
      <c r="H1056" s="17"/>
    </row>
    <row r="1057">
      <c r="A1057" s="15" t="s">
        <v>2772</v>
      </c>
      <c r="B1057" s="15" t="s">
        <v>2773</v>
      </c>
      <c r="C1057" s="15" t="s">
        <v>34</v>
      </c>
      <c r="D1057" s="15" t="s">
        <v>411</v>
      </c>
      <c r="E1057" s="19" t="s">
        <v>72</v>
      </c>
      <c r="F1057" s="19" t="s">
        <v>2774</v>
      </c>
      <c r="G1057" s="24" t="s">
        <v>74</v>
      </c>
      <c r="H1057" s="17"/>
    </row>
    <row r="1058">
      <c r="A1058" s="15" t="s">
        <v>2775</v>
      </c>
      <c r="B1058" s="15" t="s">
        <v>2776</v>
      </c>
      <c r="C1058" s="15" t="s">
        <v>34</v>
      </c>
      <c r="D1058" s="15" t="s">
        <v>411</v>
      </c>
      <c r="E1058" s="19" t="s">
        <v>72</v>
      </c>
      <c r="F1058" s="19" t="s">
        <v>2777</v>
      </c>
      <c r="G1058" s="24" t="s">
        <v>74</v>
      </c>
      <c r="H1058" s="17"/>
    </row>
    <row r="1059">
      <c r="A1059" s="15" t="s">
        <v>2778</v>
      </c>
      <c r="B1059" s="15" t="s">
        <v>2779</v>
      </c>
      <c r="C1059" s="15" t="s">
        <v>34</v>
      </c>
      <c r="D1059" s="15" t="s">
        <v>411</v>
      </c>
      <c r="E1059" s="19" t="s">
        <v>72</v>
      </c>
      <c r="F1059" s="19" t="s">
        <v>2780</v>
      </c>
      <c r="G1059" s="24" t="s">
        <v>74</v>
      </c>
      <c r="H1059" s="17"/>
    </row>
    <row r="1060">
      <c r="A1060" s="15" t="s">
        <v>2781</v>
      </c>
      <c r="B1060" s="15" t="s">
        <v>2782</v>
      </c>
      <c r="C1060" s="15" t="s">
        <v>34</v>
      </c>
      <c r="D1060" s="15" t="s">
        <v>411</v>
      </c>
      <c r="E1060" s="19" t="s">
        <v>72</v>
      </c>
      <c r="F1060" s="19" t="s">
        <v>2783</v>
      </c>
      <c r="G1060" s="19" t="s">
        <v>74</v>
      </c>
      <c r="H1060" s="17"/>
    </row>
    <row r="1061">
      <c r="A1061" s="15" t="s">
        <v>2784</v>
      </c>
      <c r="B1061" s="15" t="s">
        <v>2785</v>
      </c>
      <c r="C1061" s="15" t="s">
        <v>34</v>
      </c>
      <c r="D1061" s="15" t="s">
        <v>411</v>
      </c>
      <c r="E1061" s="19" t="s">
        <v>72</v>
      </c>
      <c r="F1061" s="19" t="s">
        <v>2786</v>
      </c>
      <c r="G1061" s="24" t="s">
        <v>74</v>
      </c>
      <c r="H1061" s="17"/>
    </row>
    <row r="1062">
      <c r="A1062" s="15" t="s">
        <v>2787</v>
      </c>
      <c r="B1062" s="15" t="s">
        <v>2788</v>
      </c>
      <c r="C1062" s="15" t="s">
        <v>34</v>
      </c>
      <c r="D1062" s="15" t="s">
        <v>411</v>
      </c>
      <c r="E1062" s="19" t="s">
        <v>72</v>
      </c>
      <c r="F1062" s="19" t="s">
        <v>2789</v>
      </c>
      <c r="G1062" s="24" t="s">
        <v>74</v>
      </c>
      <c r="H1062" s="17"/>
    </row>
    <row r="1063">
      <c r="A1063" s="15" t="s">
        <v>2790</v>
      </c>
      <c r="B1063" s="15" t="s">
        <v>2791</v>
      </c>
      <c r="C1063" s="15" t="s">
        <v>34</v>
      </c>
      <c r="D1063" s="15" t="s">
        <v>411</v>
      </c>
      <c r="E1063" s="19" t="s">
        <v>72</v>
      </c>
      <c r="F1063" s="19" t="s">
        <v>2792</v>
      </c>
      <c r="G1063" s="24" t="s">
        <v>74</v>
      </c>
      <c r="H1063" s="17"/>
    </row>
    <row r="1064">
      <c r="A1064" s="15" t="s">
        <v>2793</v>
      </c>
      <c r="B1064" s="15" t="s">
        <v>2794</v>
      </c>
      <c r="C1064" s="15" t="s">
        <v>34</v>
      </c>
      <c r="D1064" s="15" t="s">
        <v>411</v>
      </c>
      <c r="E1064" s="19" t="s">
        <v>72</v>
      </c>
      <c r="F1064" s="19" t="s">
        <v>2795</v>
      </c>
      <c r="G1064" s="24" t="s">
        <v>74</v>
      </c>
      <c r="H1064" s="17"/>
    </row>
    <row r="1065">
      <c r="A1065" s="15" t="s">
        <v>2796</v>
      </c>
      <c r="B1065" s="15" t="s">
        <v>2797</v>
      </c>
      <c r="C1065" s="15" t="s">
        <v>34</v>
      </c>
      <c r="D1065" s="15" t="s">
        <v>411</v>
      </c>
      <c r="E1065" s="19" t="s">
        <v>72</v>
      </c>
      <c r="F1065" s="19" t="s">
        <v>2798</v>
      </c>
      <c r="G1065" s="24" t="s">
        <v>74</v>
      </c>
      <c r="H1065" s="17"/>
    </row>
    <row r="1066">
      <c r="A1066" s="15" t="s">
        <v>2799</v>
      </c>
      <c r="B1066" s="15" t="s">
        <v>2800</v>
      </c>
      <c r="C1066" s="15" t="s">
        <v>34</v>
      </c>
      <c r="D1066" s="15" t="s">
        <v>411</v>
      </c>
      <c r="E1066" s="19" t="s">
        <v>72</v>
      </c>
      <c r="F1066" s="30" t="s">
        <v>2801</v>
      </c>
      <c r="G1066" s="24" t="s">
        <v>74</v>
      </c>
      <c r="H1066" s="17"/>
    </row>
    <row r="1067">
      <c r="A1067" s="15" t="s">
        <v>2802</v>
      </c>
      <c r="B1067" s="15" t="s">
        <v>2803</v>
      </c>
      <c r="C1067" s="15" t="s">
        <v>34</v>
      </c>
      <c r="D1067" s="15" t="s">
        <v>411</v>
      </c>
      <c r="E1067" s="19" t="s">
        <v>72</v>
      </c>
      <c r="F1067" s="19" t="s">
        <v>2804</v>
      </c>
      <c r="G1067" s="24" t="s">
        <v>74</v>
      </c>
      <c r="H1067" s="17"/>
    </row>
    <row r="1068">
      <c r="A1068" s="15" t="s">
        <v>2805</v>
      </c>
      <c r="B1068" s="15" t="s">
        <v>2806</v>
      </c>
      <c r="C1068" s="15" t="s">
        <v>34</v>
      </c>
      <c r="D1068" s="15" t="s">
        <v>411</v>
      </c>
      <c r="E1068" s="19" t="s">
        <v>72</v>
      </c>
      <c r="F1068" s="19" t="s">
        <v>2807</v>
      </c>
      <c r="G1068" s="24" t="s">
        <v>74</v>
      </c>
      <c r="H1068" s="17"/>
    </row>
    <row r="1069">
      <c r="A1069" s="15" t="s">
        <v>2808</v>
      </c>
      <c r="B1069" s="15" t="s">
        <v>2809</v>
      </c>
      <c r="C1069" s="15" t="s">
        <v>34</v>
      </c>
      <c r="D1069" s="15" t="s">
        <v>411</v>
      </c>
      <c r="E1069" s="19" t="s">
        <v>72</v>
      </c>
      <c r="F1069" s="19" t="s">
        <v>2810</v>
      </c>
      <c r="G1069" s="24" t="s">
        <v>74</v>
      </c>
      <c r="H1069" s="17"/>
    </row>
    <row r="1070">
      <c r="A1070" s="15" t="s">
        <v>2811</v>
      </c>
      <c r="B1070" s="15" t="s">
        <v>2812</v>
      </c>
      <c r="C1070" s="15" t="s">
        <v>34</v>
      </c>
      <c r="D1070" s="15" t="s">
        <v>411</v>
      </c>
      <c r="E1070" s="19" t="s">
        <v>72</v>
      </c>
      <c r="F1070" s="19" t="s">
        <v>2813</v>
      </c>
      <c r="G1070" s="24" t="s">
        <v>74</v>
      </c>
      <c r="H1070" s="17"/>
    </row>
    <row r="1071">
      <c r="A1071" s="15" t="s">
        <v>2814</v>
      </c>
      <c r="B1071" s="15" t="s">
        <v>2815</v>
      </c>
      <c r="C1071" s="15" t="s">
        <v>34</v>
      </c>
      <c r="D1071" s="15" t="s">
        <v>411</v>
      </c>
      <c r="E1071" s="19" t="s">
        <v>72</v>
      </c>
      <c r="F1071" s="27" t="s">
        <v>2816</v>
      </c>
      <c r="G1071" s="24" t="s">
        <v>74</v>
      </c>
      <c r="H1071" s="17"/>
    </row>
    <row r="1072">
      <c r="A1072" s="15" t="s">
        <v>2817</v>
      </c>
      <c r="B1072" s="15" t="s">
        <v>2818</v>
      </c>
      <c r="C1072" s="15" t="s">
        <v>34</v>
      </c>
      <c r="D1072" s="15" t="s">
        <v>411</v>
      </c>
      <c r="E1072" s="19" t="s">
        <v>72</v>
      </c>
      <c r="F1072" s="27" t="s">
        <v>2819</v>
      </c>
      <c r="G1072" s="24" t="s">
        <v>74</v>
      </c>
      <c r="H1072" s="17"/>
    </row>
    <row r="1073">
      <c r="A1073" s="15" t="s">
        <v>2820</v>
      </c>
      <c r="B1073" s="15" t="s">
        <v>2821</v>
      </c>
      <c r="C1073" s="15" t="s">
        <v>34</v>
      </c>
      <c r="D1073" s="15" t="s">
        <v>411</v>
      </c>
      <c r="E1073" s="19" t="s">
        <v>72</v>
      </c>
      <c r="F1073" s="19" t="s">
        <v>2822</v>
      </c>
      <c r="G1073" s="24" t="s">
        <v>74</v>
      </c>
      <c r="H1073" s="17"/>
    </row>
    <row r="1074">
      <c r="A1074" s="15" t="s">
        <v>2823</v>
      </c>
      <c r="B1074" s="15" t="s">
        <v>2824</v>
      </c>
      <c r="C1074" s="15" t="s">
        <v>34</v>
      </c>
      <c r="D1074" s="15" t="s">
        <v>411</v>
      </c>
      <c r="E1074" s="19" t="s">
        <v>72</v>
      </c>
      <c r="F1074" s="19" t="s">
        <v>2825</v>
      </c>
      <c r="G1074" s="24" t="s">
        <v>74</v>
      </c>
      <c r="H1074" s="17"/>
    </row>
    <row r="1075">
      <c r="A1075" s="15" t="s">
        <v>2826</v>
      </c>
      <c r="B1075" s="15" t="s">
        <v>2827</v>
      </c>
      <c r="C1075" s="15" t="s">
        <v>34</v>
      </c>
      <c r="D1075" s="15" t="s">
        <v>411</v>
      </c>
      <c r="E1075" s="19" t="s">
        <v>72</v>
      </c>
      <c r="F1075" s="19" t="s">
        <v>2828</v>
      </c>
      <c r="G1075" s="24" t="s">
        <v>74</v>
      </c>
      <c r="H1075" s="17"/>
    </row>
    <row r="1076">
      <c r="A1076" s="15" t="s">
        <v>2829</v>
      </c>
      <c r="B1076" s="15" t="s">
        <v>2830</v>
      </c>
      <c r="C1076" s="15" t="s">
        <v>34</v>
      </c>
      <c r="D1076" s="15" t="s">
        <v>411</v>
      </c>
      <c r="E1076" s="19" t="s">
        <v>72</v>
      </c>
      <c r="F1076" s="19" t="s">
        <v>2831</v>
      </c>
      <c r="G1076" s="24" t="s">
        <v>74</v>
      </c>
      <c r="H1076" s="17"/>
    </row>
    <row r="1077">
      <c r="A1077" s="15" t="s">
        <v>2832</v>
      </c>
      <c r="B1077" s="15" t="s">
        <v>2833</v>
      </c>
      <c r="C1077" s="15" t="s">
        <v>34</v>
      </c>
      <c r="D1077" s="15" t="s">
        <v>411</v>
      </c>
      <c r="E1077" s="19" t="s">
        <v>72</v>
      </c>
      <c r="F1077" s="19" t="s">
        <v>2834</v>
      </c>
      <c r="G1077" s="24" t="s">
        <v>74</v>
      </c>
      <c r="H1077" s="17"/>
    </row>
    <row r="1078">
      <c r="A1078" s="15" t="s">
        <v>2835</v>
      </c>
      <c r="B1078" s="15" t="s">
        <v>2836</v>
      </c>
      <c r="C1078" s="15" t="s">
        <v>34</v>
      </c>
      <c r="D1078" s="15" t="s">
        <v>411</v>
      </c>
      <c r="E1078" s="19" t="s">
        <v>72</v>
      </c>
      <c r="F1078" s="19" t="s">
        <v>2837</v>
      </c>
      <c r="G1078" s="24" t="s">
        <v>74</v>
      </c>
      <c r="H1078" s="17"/>
    </row>
    <row r="1079">
      <c r="A1079" s="15" t="s">
        <v>2838</v>
      </c>
      <c r="B1079" s="15" t="s">
        <v>2839</v>
      </c>
      <c r="C1079" s="15" t="s">
        <v>34</v>
      </c>
      <c r="D1079" s="15" t="s">
        <v>411</v>
      </c>
      <c r="E1079" s="19" t="s">
        <v>72</v>
      </c>
      <c r="F1079" s="19" t="s">
        <v>2840</v>
      </c>
      <c r="G1079" s="24" t="s">
        <v>74</v>
      </c>
      <c r="H1079" s="17"/>
    </row>
    <row r="1080">
      <c r="A1080" s="15" t="s">
        <v>2841</v>
      </c>
      <c r="B1080" s="15" t="s">
        <v>2842</v>
      </c>
      <c r="C1080" s="15" t="s">
        <v>34</v>
      </c>
      <c r="D1080" s="15" t="s">
        <v>411</v>
      </c>
      <c r="E1080" s="19" t="s">
        <v>72</v>
      </c>
      <c r="F1080" s="19" t="s">
        <v>2843</v>
      </c>
      <c r="G1080" s="24" t="s">
        <v>74</v>
      </c>
      <c r="H1080" s="17"/>
    </row>
    <row r="1081">
      <c r="A1081" s="15" t="s">
        <v>2844</v>
      </c>
      <c r="B1081" s="15" t="s">
        <v>2845</v>
      </c>
      <c r="C1081" s="15" t="s">
        <v>34</v>
      </c>
      <c r="D1081" s="15" t="s">
        <v>411</v>
      </c>
      <c r="E1081" s="19" t="s">
        <v>72</v>
      </c>
      <c r="F1081" s="19" t="s">
        <v>2846</v>
      </c>
      <c r="G1081" s="24" t="s">
        <v>74</v>
      </c>
      <c r="H1081" s="17"/>
    </row>
    <row r="1082">
      <c r="A1082" s="15" t="s">
        <v>2847</v>
      </c>
      <c r="B1082" s="15" t="s">
        <v>2848</v>
      </c>
      <c r="C1082" s="15" t="s">
        <v>34</v>
      </c>
      <c r="D1082" s="15" t="s">
        <v>411</v>
      </c>
      <c r="E1082" s="19" t="s">
        <v>72</v>
      </c>
      <c r="F1082" s="19" t="s">
        <v>2849</v>
      </c>
      <c r="G1082" s="24" t="s">
        <v>74</v>
      </c>
      <c r="H1082" s="17"/>
    </row>
    <row r="1083">
      <c r="A1083" s="15" t="s">
        <v>2850</v>
      </c>
      <c r="B1083" s="15" t="s">
        <v>2851</v>
      </c>
      <c r="C1083" s="15" t="s">
        <v>34</v>
      </c>
      <c r="D1083" s="15" t="s">
        <v>411</v>
      </c>
      <c r="E1083" s="19" t="s">
        <v>72</v>
      </c>
      <c r="F1083" s="19" t="s">
        <v>2852</v>
      </c>
      <c r="G1083" s="24" t="s">
        <v>74</v>
      </c>
      <c r="H1083" s="17"/>
    </row>
    <row r="1084">
      <c r="A1084" s="15" t="s">
        <v>2853</v>
      </c>
      <c r="B1084" s="15" t="s">
        <v>2854</v>
      </c>
      <c r="C1084" s="15" t="s">
        <v>34</v>
      </c>
      <c r="D1084" s="15" t="s">
        <v>411</v>
      </c>
      <c r="E1084" s="19" t="s">
        <v>72</v>
      </c>
      <c r="F1084" s="19" t="s">
        <v>2855</v>
      </c>
      <c r="G1084" s="24" t="s">
        <v>74</v>
      </c>
      <c r="H1084" s="17"/>
    </row>
    <row r="1085">
      <c r="A1085" s="15" t="s">
        <v>2856</v>
      </c>
      <c r="B1085" s="15" t="s">
        <v>2857</v>
      </c>
      <c r="C1085" s="15" t="s">
        <v>34</v>
      </c>
      <c r="D1085" s="15" t="s">
        <v>411</v>
      </c>
      <c r="E1085" s="19" t="s">
        <v>72</v>
      </c>
      <c r="F1085" s="19" t="s">
        <v>2858</v>
      </c>
      <c r="G1085" s="24" t="s">
        <v>74</v>
      </c>
      <c r="H1085" s="17"/>
    </row>
    <row r="1086">
      <c r="A1086" s="15" t="s">
        <v>2859</v>
      </c>
      <c r="B1086" s="15" t="s">
        <v>2860</v>
      </c>
      <c r="C1086" s="15" t="s">
        <v>34</v>
      </c>
      <c r="D1086" s="15" t="s">
        <v>411</v>
      </c>
      <c r="E1086" s="19" t="s">
        <v>72</v>
      </c>
      <c r="F1086" s="19" t="s">
        <v>2861</v>
      </c>
      <c r="G1086" s="24" t="s">
        <v>74</v>
      </c>
      <c r="H1086" s="17"/>
    </row>
    <row r="1087">
      <c r="A1087" s="15" t="s">
        <v>2862</v>
      </c>
      <c r="B1087" s="15" t="s">
        <v>2863</v>
      </c>
      <c r="C1087" s="15" t="s">
        <v>34</v>
      </c>
      <c r="D1087" s="15" t="s">
        <v>411</v>
      </c>
      <c r="E1087" s="19" t="s">
        <v>72</v>
      </c>
      <c r="F1087" s="19" t="s">
        <v>2864</v>
      </c>
      <c r="G1087" s="24" t="s">
        <v>74</v>
      </c>
      <c r="H1087" s="17"/>
    </row>
    <row r="1088">
      <c r="A1088" s="15" t="s">
        <v>2865</v>
      </c>
      <c r="B1088" s="15" t="s">
        <v>2866</v>
      </c>
      <c r="C1088" s="15" t="s">
        <v>34</v>
      </c>
      <c r="D1088" s="15" t="s">
        <v>411</v>
      </c>
      <c r="E1088" s="19" t="s">
        <v>72</v>
      </c>
      <c r="F1088" s="19" t="s">
        <v>2867</v>
      </c>
      <c r="G1088" s="24" t="s">
        <v>74</v>
      </c>
      <c r="H1088" s="17"/>
    </row>
    <row r="1089">
      <c r="A1089" s="15" t="s">
        <v>2868</v>
      </c>
      <c r="B1089" s="15" t="s">
        <v>2869</v>
      </c>
      <c r="C1089" s="15" t="s">
        <v>34</v>
      </c>
      <c r="D1089" s="15" t="s">
        <v>411</v>
      </c>
      <c r="E1089" s="19" t="s">
        <v>72</v>
      </c>
      <c r="F1089" s="19" t="s">
        <v>2870</v>
      </c>
      <c r="G1089" s="24" t="s">
        <v>74</v>
      </c>
      <c r="H1089" s="17"/>
    </row>
    <row r="1090">
      <c r="A1090" s="15" t="s">
        <v>2871</v>
      </c>
      <c r="B1090" s="15" t="s">
        <v>2872</v>
      </c>
      <c r="C1090" s="15" t="s">
        <v>34</v>
      </c>
      <c r="D1090" s="15" t="s">
        <v>411</v>
      </c>
      <c r="E1090" s="19" t="s">
        <v>72</v>
      </c>
      <c r="F1090" s="19" t="s">
        <v>2873</v>
      </c>
      <c r="G1090" s="24" t="s">
        <v>74</v>
      </c>
      <c r="H1090" s="17"/>
    </row>
    <row r="1091">
      <c r="A1091" s="15" t="s">
        <v>2874</v>
      </c>
      <c r="B1091" s="15" t="s">
        <v>2875</v>
      </c>
      <c r="C1091" s="15" t="s">
        <v>34</v>
      </c>
      <c r="D1091" s="15" t="s">
        <v>411</v>
      </c>
      <c r="E1091" s="19" t="s">
        <v>72</v>
      </c>
      <c r="F1091" s="19" t="s">
        <v>2876</v>
      </c>
      <c r="G1091" s="24" t="s">
        <v>74</v>
      </c>
      <c r="H1091" s="17"/>
    </row>
    <row r="1092">
      <c r="A1092" s="15" t="s">
        <v>2877</v>
      </c>
      <c r="B1092" s="15" t="s">
        <v>2878</v>
      </c>
      <c r="C1092" s="15" t="s">
        <v>34</v>
      </c>
      <c r="D1092" s="15" t="s">
        <v>411</v>
      </c>
      <c r="E1092" s="19" t="s">
        <v>72</v>
      </c>
      <c r="F1092" s="19" t="s">
        <v>2879</v>
      </c>
      <c r="G1092" s="24" t="s">
        <v>74</v>
      </c>
      <c r="H1092" s="17"/>
    </row>
    <row r="1093">
      <c r="A1093" s="15" t="s">
        <v>2880</v>
      </c>
      <c r="B1093" s="15" t="s">
        <v>2881</v>
      </c>
      <c r="C1093" s="15" t="s">
        <v>34</v>
      </c>
      <c r="D1093" s="15" t="s">
        <v>411</v>
      </c>
      <c r="E1093" s="19" t="s">
        <v>72</v>
      </c>
      <c r="F1093" s="19" t="s">
        <v>2882</v>
      </c>
      <c r="G1093" s="24" t="s">
        <v>74</v>
      </c>
      <c r="H1093" s="17"/>
    </row>
    <row r="1094">
      <c r="A1094" s="15" t="s">
        <v>2883</v>
      </c>
      <c r="B1094" s="15" t="s">
        <v>2884</v>
      </c>
      <c r="C1094" s="15" t="s">
        <v>34</v>
      </c>
      <c r="D1094" s="15" t="s">
        <v>411</v>
      </c>
      <c r="E1094" s="19" t="s">
        <v>72</v>
      </c>
      <c r="F1094" s="24" t="s">
        <v>2885</v>
      </c>
      <c r="G1094" s="24" t="s">
        <v>74</v>
      </c>
      <c r="H1094" s="17"/>
    </row>
    <row r="1095">
      <c r="A1095" s="15" t="s">
        <v>2886</v>
      </c>
      <c r="B1095" s="15" t="s">
        <v>2887</v>
      </c>
      <c r="C1095" s="15" t="s">
        <v>34</v>
      </c>
      <c r="D1095" s="15" t="s">
        <v>411</v>
      </c>
      <c r="E1095" s="19" t="s">
        <v>72</v>
      </c>
      <c r="F1095" s="19" t="s">
        <v>2888</v>
      </c>
      <c r="G1095" s="19" t="s">
        <v>74</v>
      </c>
      <c r="H1095" s="17"/>
    </row>
    <row r="1096">
      <c r="A1096" s="15" t="s">
        <v>2889</v>
      </c>
      <c r="B1096" s="15" t="s">
        <v>2890</v>
      </c>
      <c r="C1096" s="15" t="s">
        <v>34</v>
      </c>
      <c r="D1096" s="15" t="s">
        <v>411</v>
      </c>
      <c r="E1096" s="19" t="s">
        <v>72</v>
      </c>
      <c r="F1096" s="24" t="s">
        <v>2891</v>
      </c>
      <c r="G1096" s="24" t="s">
        <v>74</v>
      </c>
      <c r="H1096" s="17"/>
    </row>
    <row r="1097">
      <c r="A1097" s="15" t="s">
        <v>2892</v>
      </c>
      <c r="B1097" s="15" t="s">
        <v>2893</v>
      </c>
      <c r="C1097" s="15" t="s">
        <v>34</v>
      </c>
      <c r="D1097" s="15" t="s">
        <v>411</v>
      </c>
      <c r="E1097" s="19" t="s">
        <v>72</v>
      </c>
      <c r="F1097" s="24" t="s">
        <v>2894</v>
      </c>
      <c r="G1097" s="24" t="s">
        <v>74</v>
      </c>
      <c r="H1097" s="17"/>
    </row>
    <row r="1098">
      <c r="A1098" s="15" t="s">
        <v>2895</v>
      </c>
      <c r="B1098" s="15" t="s">
        <v>2896</v>
      </c>
      <c r="C1098" s="15" t="s">
        <v>34</v>
      </c>
      <c r="D1098" s="15" t="s">
        <v>411</v>
      </c>
      <c r="E1098" s="19" t="s">
        <v>72</v>
      </c>
      <c r="F1098" s="24" t="s">
        <v>2897</v>
      </c>
      <c r="G1098" s="24" t="s">
        <v>74</v>
      </c>
      <c r="H1098" s="17"/>
    </row>
    <row r="1099">
      <c r="A1099" s="15" t="s">
        <v>2898</v>
      </c>
      <c r="B1099" s="15" t="s">
        <v>2899</v>
      </c>
      <c r="C1099" s="15" t="s">
        <v>34</v>
      </c>
      <c r="D1099" s="15" t="s">
        <v>411</v>
      </c>
      <c r="E1099" s="19" t="s">
        <v>72</v>
      </c>
      <c r="F1099" s="24" t="s">
        <v>2900</v>
      </c>
      <c r="G1099" s="24" t="s">
        <v>74</v>
      </c>
      <c r="H1099" s="17"/>
    </row>
    <row r="1100">
      <c r="A1100" s="15" t="s">
        <v>2901</v>
      </c>
      <c r="B1100" s="15" t="s">
        <v>2902</v>
      </c>
      <c r="C1100" s="15" t="s">
        <v>34</v>
      </c>
      <c r="D1100" s="15" t="s">
        <v>411</v>
      </c>
      <c r="E1100" s="19" t="s">
        <v>72</v>
      </c>
      <c r="F1100" s="24" t="s">
        <v>2903</v>
      </c>
      <c r="G1100" s="24" t="s">
        <v>74</v>
      </c>
      <c r="H1100" s="17"/>
    </row>
    <row r="1101">
      <c r="A1101" s="15" t="s">
        <v>2904</v>
      </c>
      <c r="B1101" s="15" t="s">
        <v>2905</v>
      </c>
      <c r="C1101" s="15" t="s">
        <v>34</v>
      </c>
      <c r="D1101" s="15" t="s">
        <v>411</v>
      </c>
      <c r="E1101" s="19" t="s">
        <v>72</v>
      </c>
      <c r="F1101" s="24" t="s">
        <v>2906</v>
      </c>
      <c r="G1101" s="24" t="s">
        <v>74</v>
      </c>
      <c r="H1101" s="17"/>
    </row>
    <row r="1102">
      <c r="A1102" s="15" t="s">
        <v>2907</v>
      </c>
      <c r="B1102" s="15" t="s">
        <v>2908</v>
      </c>
      <c r="C1102" s="15" t="s">
        <v>34</v>
      </c>
      <c r="D1102" s="15" t="s">
        <v>411</v>
      </c>
      <c r="E1102" s="19" t="s">
        <v>72</v>
      </c>
      <c r="F1102" s="24" t="s">
        <v>2909</v>
      </c>
      <c r="G1102" s="24" t="s">
        <v>74</v>
      </c>
      <c r="H1102" s="17"/>
    </row>
    <row r="1103">
      <c r="A1103" s="15" t="s">
        <v>2910</v>
      </c>
      <c r="B1103" s="15" t="s">
        <v>2911</v>
      </c>
      <c r="C1103" s="15" t="s">
        <v>34</v>
      </c>
      <c r="D1103" s="15" t="s">
        <v>411</v>
      </c>
      <c r="E1103" s="19" t="s">
        <v>72</v>
      </c>
      <c r="F1103" s="24" t="s">
        <v>2912</v>
      </c>
      <c r="G1103" s="24" t="s">
        <v>74</v>
      </c>
      <c r="H1103" s="17"/>
    </row>
    <row r="1104">
      <c r="A1104" s="15" t="s">
        <v>2913</v>
      </c>
      <c r="B1104" s="15" t="s">
        <v>2914</v>
      </c>
      <c r="C1104" s="15" t="s">
        <v>34</v>
      </c>
      <c r="D1104" s="15" t="s">
        <v>411</v>
      </c>
      <c r="E1104" s="19" t="s">
        <v>72</v>
      </c>
      <c r="F1104" s="24" t="s">
        <v>2915</v>
      </c>
      <c r="G1104" s="24" t="s">
        <v>74</v>
      </c>
      <c r="H1104" s="17"/>
    </row>
    <row r="1105">
      <c r="A1105" s="15" t="s">
        <v>2916</v>
      </c>
      <c r="B1105" s="15" t="s">
        <v>2917</v>
      </c>
      <c r="C1105" s="15" t="s">
        <v>34</v>
      </c>
      <c r="D1105" s="15" t="s">
        <v>411</v>
      </c>
      <c r="E1105" s="19" t="s">
        <v>72</v>
      </c>
      <c r="F1105" s="24" t="s">
        <v>2918</v>
      </c>
      <c r="G1105" s="24" t="s">
        <v>74</v>
      </c>
      <c r="H1105" s="17"/>
    </row>
    <row r="1106">
      <c r="A1106" s="15" t="s">
        <v>2919</v>
      </c>
      <c r="B1106" s="15" t="s">
        <v>2920</v>
      </c>
      <c r="C1106" s="15" t="s">
        <v>34</v>
      </c>
      <c r="D1106" s="15" t="s">
        <v>411</v>
      </c>
      <c r="E1106" s="19" t="s">
        <v>72</v>
      </c>
      <c r="F1106" s="24" t="s">
        <v>2921</v>
      </c>
      <c r="G1106" s="24" t="s">
        <v>74</v>
      </c>
      <c r="H1106" s="17"/>
    </row>
    <row r="1107">
      <c r="A1107" s="15" t="s">
        <v>316</v>
      </c>
      <c r="B1107" s="15" t="s">
        <v>317</v>
      </c>
      <c r="C1107" s="15" t="s">
        <v>34</v>
      </c>
      <c r="D1107" s="15" t="s">
        <v>411</v>
      </c>
      <c r="E1107" s="19" t="s">
        <v>72</v>
      </c>
      <c r="F1107" s="24" t="s">
        <v>2922</v>
      </c>
      <c r="G1107" s="24" t="s">
        <v>74</v>
      </c>
      <c r="H1107" s="17"/>
    </row>
    <row r="1108">
      <c r="A1108" s="15" t="s">
        <v>2923</v>
      </c>
      <c r="B1108" s="15" t="s">
        <v>2924</v>
      </c>
      <c r="C1108" s="15" t="s">
        <v>34</v>
      </c>
      <c r="D1108" s="15" t="s">
        <v>411</v>
      </c>
      <c r="E1108" s="19" t="s">
        <v>72</v>
      </c>
      <c r="F1108" s="24" t="s">
        <v>2925</v>
      </c>
      <c r="G1108" s="24" t="s">
        <v>74</v>
      </c>
      <c r="H1108" s="17"/>
    </row>
    <row r="1109">
      <c r="A1109" s="15" t="s">
        <v>2926</v>
      </c>
      <c r="B1109" s="15" t="s">
        <v>2927</v>
      </c>
      <c r="C1109" s="15" t="s">
        <v>34</v>
      </c>
      <c r="D1109" s="15" t="s">
        <v>411</v>
      </c>
      <c r="E1109" s="19" t="s">
        <v>72</v>
      </c>
      <c r="F1109" s="24" t="s">
        <v>2928</v>
      </c>
      <c r="G1109" s="24" t="s">
        <v>74</v>
      </c>
      <c r="H1109" s="17"/>
    </row>
    <row r="1110">
      <c r="A1110" s="15" t="s">
        <v>2929</v>
      </c>
      <c r="B1110" s="15" t="s">
        <v>2930</v>
      </c>
      <c r="C1110" s="15" t="s">
        <v>34</v>
      </c>
      <c r="D1110" s="15" t="s">
        <v>411</v>
      </c>
      <c r="E1110" s="19" t="s">
        <v>72</v>
      </c>
      <c r="F1110" s="24" t="s">
        <v>2931</v>
      </c>
      <c r="G1110" s="24" t="s">
        <v>74</v>
      </c>
      <c r="H1110" s="17"/>
    </row>
    <row r="1111">
      <c r="A1111" s="15" t="s">
        <v>2932</v>
      </c>
      <c r="B1111" s="15" t="s">
        <v>2933</v>
      </c>
      <c r="C1111" s="15" t="s">
        <v>34</v>
      </c>
      <c r="D1111" s="15" t="s">
        <v>411</v>
      </c>
      <c r="E1111" s="19" t="s">
        <v>72</v>
      </c>
      <c r="F1111" s="24" t="s">
        <v>2934</v>
      </c>
      <c r="G1111" s="24" t="s">
        <v>74</v>
      </c>
      <c r="H1111" s="17"/>
    </row>
    <row r="1112">
      <c r="A1112" s="15" t="s">
        <v>2935</v>
      </c>
      <c r="B1112" s="15" t="s">
        <v>2936</v>
      </c>
      <c r="C1112" s="15" t="s">
        <v>34</v>
      </c>
      <c r="D1112" s="15" t="s">
        <v>411</v>
      </c>
      <c r="E1112" s="19" t="s">
        <v>72</v>
      </c>
      <c r="F1112" s="24" t="s">
        <v>2937</v>
      </c>
      <c r="G1112" s="24" t="s">
        <v>74</v>
      </c>
      <c r="H1112" s="17"/>
    </row>
    <row r="1113">
      <c r="A1113" s="15" t="s">
        <v>2938</v>
      </c>
      <c r="B1113" s="15" t="s">
        <v>2939</v>
      </c>
      <c r="C1113" s="15" t="s">
        <v>34</v>
      </c>
      <c r="D1113" s="15" t="s">
        <v>411</v>
      </c>
      <c r="E1113" s="19" t="s">
        <v>72</v>
      </c>
      <c r="F1113" s="24" t="s">
        <v>2940</v>
      </c>
      <c r="G1113" s="24" t="s">
        <v>74</v>
      </c>
      <c r="H1113" s="17"/>
    </row>
    <row r="1114">
      <c r="A1114" s="15" t="s">
        <v>2941</v>
      </c>
      <c r="B1114" s="15" t="s">
        <v>2942</v>
      </c>
      <c r="C1114" s="15" t="s">
        <v>34</v>
      </c>
      <c r="D1114" s="15" t="s">
        <v>411</v>
      </c>
      <c r="E1114" s="19" t="s">
        <v>72</v>
      </c>
      <c r="F1114" s="24" t="s">
        <v>2943</v>
      </c>
      <c r="G1114" s="24" t="s">
        <v>74</v>
      </c>
      <c r="H1114" s="17"/>
    </row>
    <row r="1115">
      <c r="A1115" s="15" t="s">
        <v>2944</v>
      </c>
      <c r="B1115" s="15" t="s">
        <v>2945</v>
      </c>
      <c r="C1115" s="15" t="s">
        <v>34</v>
      </c>
      <c r="D1115" s="15" t="s">
        <v>411</v>
      </c>
      <c r="E1115" s="19" t="s">
        <v>72</v>
      </c>
      <c r="F1115" s="24" t="s">
        <v>2946</v>
      </c>
      <c r="G1115" s="24" t="s">
        <v>74</v>
      </c>
      <c r="H1115" s="17"/>
    </row>
    <row r="1116">
      <c r="A1116" s="15" t="s">
        <v>2947</v>
      </c>
      <c r="B1116" s="15" t="s">
        <v>2948</v>
      </c>
      <c r="C1116" s="15" t="s">
        <v>34</v>
      </c>
      <c r="D1116" s="15" t="s">
        <v>411</v>
      </c>
      <c r="E1116" s="19" t="s">
        <v>72</v>
      </c>
      <c r="F1116" s="24" t="s">
        <v>2949</v>
      </c>
      <c r="G1116" s="24" t="s">
        <v>74</v>
      </c>
      <c r="H1116" s="17"/>
    </row>
    <row r="1117">
      <c r="A1117" s="15" t="s">
        <v>2950</v>
      </c>
      <c r="B1117" s="15" t="s">
        <v>2951</v>
      </c>
      <c r="C1117" s="15" t="s">
        <v>34</v>
      </c>
      <c r="D1117" s="15" t="s">
        <v>411</v>
      </c>
      <c r="E1117" s="19" t="s">
        <v>72</v>
      </c>
      <c r="F1117" s="27" t="s">
        <v>2952</v>
      </c>
      <c r="G1117" s="24" t="s">
        <v>74</v>
      </c>
      <c r="H1117" s="17"/>
    </row>
    <row r="1118">
      <c r="A1118" s="15" t="s">
        <v>2953</v>
      </c>
      <c r="B1118" s="15" t="s">
        <v>2954</v>
      </c>
      <c r="C1118" s="15" t="s">
        <v>34</v>
      </c>
      <c r="D1118" s="15" t="s">
        <v>411</v>
      </c>
      <c r="E1118" s="19" t="s">
        <v>72</v>
      </c>
      <c r="F1118" s="24" t="s">
        <v>2955</v>
      </c>
      <c r="G1118" s="24" t="s">
        <v>74</v>
      </c>
      <c r="H1118" s="17"/>
    </row>
    <row r="1121">
      <c r="A1121" s="31"/>
      <c r="B1121" s="31"/>
      <c r="C1121" s="31"/>
      <c r="D1121" s="31"/>
      <c r="E1121" s="32"/>
      <c r="F1121" s="32"/>
      <c r="G1121" s="32"/>
    </row>
    <row r="1122">
      <c r="A1122" s="31"/>
      <c r="B1122" s="31"/>
      <c r="C1122" s="31"/>
      <c r="D1122" s="31"/>
      <c r="E1122" s="32"/>
      <c r="F1122" s="32"/>
      <c r="G1122" s="32"/>
    </row>
    <row r="1123">
      <c r="A1123" s="31"/>
      <c r="B1123" s="31"/>
      <c r="C1123" s="31"/>
      <c r="D1123" s="31"/>
      <c r="E1123" s="32"/>
      <c r="F1123" s="32"/>
      <c r="G1123" s="32"/>
    </row>
    <row r="1124">
      <c r="A1124" s="31"/>
      <c r="B1124" s="31"/>
      <c r="C1124" s="31"/>
      <c r="D1124" s="31"/>
      <c r="E1124" s="32"/>
      <c r="F1124" s="32"/>
      <c r="G1124" s="32"/>
    </row>
    <row r="1125">
      <c r="A1125" s="31"/>
      <c r="B1125" s="31"/>
      <c r="C1125" s="31"/>
      <c r="D1125" s="31"/>
      <c r="E1125" s="32"/>
      <c r="F1125" s="32"/>
      <c r="G1125" s="32"/>
    </row>
    <row r="1126">
      <c r="A1126" s="31"/>
      <c r="B1126" s="31"/>
      <c r="C1126" s="31"/>
      <c r="D1126" s="31"/>
      <c r="E1126" s="32"/>
      <c r="F1126" s="32"/>
      <c r="G1126" s="32"/>
    </row>
    <row r="1127">
      <c r="A1127" s="31"/>
      <c r="B1127" s="31"/>
      <c r="C1127" s="31"/>
      <c r="D1127" s="31"/>
      <c r="E1127" s="32"/>
      <c r="F1127" s="32"/>
      <c r="G1127" s="32"/>
    </row>
    <row r="1128">
      <c r="A1128" s="31"/>
      <c r="B1128" s="31"/>
      <c r="C1128" s="31"/>
      <c r="D1128" s="31"/>
      <c r="E1128" s="32"/>
      <c r="F1128" s="32"/>
      <c r="G1128" s="32"/>
    </row>
    <row r="1129">
      <c r="A1129" s="31"/>
      <c r="B1129" s="31"/>
      <c r="C1129" s="31"/>
      <c r="D1129" s="31"/>
      <c r="E1129" s="32"/>
      <c r="F1129" s="32"/>
      <c r="G1129" s="32"/>
    </row>
    <row r="1130">
      <c r="A1130" s="31"/>
      <c r="B1130" s="31"/>
      <c r="C1130" s="31"/>
      <c r="D1130" s="31"/>
      <c r="E1130" s="32"/>
      <c r="F1130" s="32"/>
      <c r="G1130" s="32"/>
    </row>
    <row r="1131">
      <c r="A1131" s="31"/>
      <c r="B1131" s="31"/>
      <c r="C1131" s="31"/>
      <c r="D1131" s="31"/>
      <c r="E1131" s="32"/>
      <c r="F1131" s="32"/>
      <c r="G1131" s="32"/>
    </row>
    <row r="1132">
      <c r="A1132" s="31"/>
      <c r="B1132" s="31"/>
      <c r="C1132" s="31"/>
      <c r="D1132" s="31"/>
      <c r="E1132" s="32"/>
      <c r="F1132" s="32"/>
      <c r="G1132" s="32"/>
    </row>
    <row r="1133">
      <c r="A1133" s="31"/>
      <c r="B1133" s="31"/>
      <c r="C1133" s="31"/>
      <c r="D1133" s="31"/>
      <c r="E1133" s="32"/>
      <c r="F1133" s="32"/>
      <c r="G1133" s="32"/>
    </row>
    <row r="1134">
      <c r="A1134" s="31"/>
      <c r="B1134" s="31"/>
      <c r="C1134" s="31"/>
      <c r="D1134" s="31"/>
      <c r="E1134" s="32"/>
      <c r="F1134" s="32"/>
      <c r="G1134" s="32"/>
    </row>
    <row r="1135">
      <c r="A1135" s="31"/>
      <c r="B1135" s="31"/>
      <c r="C1135" s="31"/>
      <c r="D1135" s="31"/>
      <c r="E1135" s="32"/>
      <c r="F1135" s="32"/>
      <c r="G1135" s="32"/>
    </row>
    <row r="1136">
      <c r="A1136" s="31"/>
      <c r="B1136" s="31"/>
      <c r="C1136" s="31"/>
      <c r="D1136" s="31"/>
      <c r="E1136" s="32"/>
      <c r="F1136" s="32"/>
      <c r="G1136" s="32"/>
    </row>
    <row r="1137">
      <c r="A1137" s="31"/>
      <c r="B1137" s="31"/>
      <c r="C1137" s="31"/>
      <c r="D1137" s="31"/>
      <c r="E1137" s="32"/>
      <c r="F1137" s="32"/>
      <c r="G1137" s="32"/>
    </row>
    <row r="1138">
      <c r="A1138" s="31"/>
      <c r="B1138" s="31"/>
      <c r="C1138" s="31"/>
      <c r="D1138" s="31"/>
      <c r="E1138" s="32"/>
      <c r="F1138" s="32"/>
      <c r="G1138" s="32"/>
    </row>
    <row r="1139">
      <c r="A1139" s="31"/>
      <c r="B1139" s="31"/>
      <c r="C1139" s="31"/>
      <c r="D1139" s="31"/>
      <c r="E1139" s="32"/>
      <c r="F1139" s="32"/>
      <c r="G1139" s="32"/>
    </row>
    <row r="1140">
      <c r="A1140" s="31"/>
      <c r="B1140" s="31"/>
      <c r="C1140" s="31"/>
      <c r="D1140" s="31"/>
      <c r="E1140" s="32"/>
      <c r="F1140" s="32"/>
      <c r="G1140" s="32"/>
    </row>
    <row r="1141">
      <c r="A1141" s="31"/>
      <c r="B1141" s="31"/>
      <c r="C1141" s="31"/>
      <c r="D1141" s="31"/>
      <c r="E1141" s="32"/>
      <c r="F1141" s="32"/>
      <c r="G1141" s="32"/>
    </row>
    <row r="1142">
      <c r="A1142" s="31"/>
      <c r="B1142" s="31"/>
      <c r="C1142" s="31"/>
      <c r="D1142" s="31"/>
      <c r="E1142" s="32"/>
      <c r="F1142" s="32"/>
      <c r="G1142" s="32"/>
    </row>
    <row r="1143">
      <c r="A1143" s="31"/>
      <c r="B1143" s="31"/>
      <c r="C1143" s="31"/>
      <c r="D1143" s="31"/>
      <c r="E1143" s="32"/>
      <c r="F1143" s="32"/>
      <c r="G1143" s="32"/>
    </row>
    <row r="1144">
      <c r="A1144" s="31"/>
      <c r="B1144" s="31"/>
      <c r="C1144" s="31"/>
      <c r="D1144" s="31"/>
      <c r="E1144" s="32"/>
      <c r="F1144" s="32"/>
      <c r="G1144" s="32"/>
    </row>
    <row r="1145">
      <c r="A1145" s="31"/>
      <c r="B1145" s="31"/>
      <c r="C1145" s="31"/>
      <c r="D1145" s="31"/>
      <c r="E1145" s="32"/>
      <c r="F1145" s="32"/>
      <c r="G1145" s="32"/>
    </row>
    <row r="1146">
      <c r="A1146" s="31"/>
      <c r="B1146" s="31"/>
      <c r="C1146" s="31"/>
      <c r="D1146" s="31"/>
      <c r="E1146" s="32"/>
      <c r="F1146" s="32"/>
      <c r="G1146" s="32"/>
    </row>
    <row r="1147">
      <c r="A1147" s="31"/>
      <c r="B1147" s="31"/>
      <c r="C1147" s="31"/>
      <c r="D1147" s="31"/>
      <c r="E1147" s="32"/>
      <c r="F1147" s="32"/>
      <c r="G1147" s="32"/>
    </row>
    <row r="1148">
      <c r="A1148" s="31"/>
      <c r="B1148" s="31"/>
      <c r="C1148" s="31"/>
      <c r="D1148" s="31"/>
      <c r="E1148" s="32"/>
      <c r="F1148" s="32"/>
      <c r="G1148" s="32"/>
    </row>
    <row r="1149">
      <c r="A1149" s="31"/>
      <c r="B1149" s="31"/>
      <c r="C1149" s="31"/>
      <c r="D1149" s="31"/>
      <c r="E1149" s="32"/>
      <c r="F1149" s="32"/>
      <c r="G1149" s="32"/>
    </row>
    <row r="1150">
      <c r="A1150" s="31"/>
      <c r="B1150" s="31"/>
      <c r="C1150" s="31"/>
      <c r="D1150" s="31"/>
      <c r="E1150" s="32"/>
      <c r="F1150" s="32"/>
      <c r="G1150" s="32"/>
    </row>
    <row r="1151">
      <c r="A1151" s="31"/>
      <c r="B1151" s="31"/>
      <c r="C1151" s="31"/>
      <c r="D1151" s="31"/>
      <c r="E1151" s="32"/>
      <c r="F1151" s="32"/>
      <c r="G1151" s="32"/>
    </row>
    <row r="1152">
      <c r="A1152" s="31"/>
      <c r="B1152" s="31"/>
      <c r="C1152" s="31"/>
      <c r="D1152" s="31"/>
      <c r="E1152" s="32"/>
      <c r="F1152" s="32"/>
      <c r="G1152" s="32"/>
    </row>
    <row r="1153">
      <c r="A1153" s="31"/>
      <c r="B1153" s="31"/>
      <c r="C1153" s="31"/>
      <c r="D1153" s="31"/>
      <c r="E1153" s="32"/>
      <c r="F1153" s="32"/>
      <c r="G1153" s="32"/>
    </row>
    <row r="1154">
      <c r="A1154" s="31"/>
      <c r="B1154" s="31"/>
      <c r="C1154" s="31"/>
      <c r="D1154" s="31"/>
      <c r="E1154" s="32"/>
      <c r="F1154" s="32"/>
      <c r="G1154" s="32"/>
    </row>
    <row r="1155">
      <c r="A1155" s="31"/>
      <c r="B1155" s="31"/>
      <c r="C1155" s="31"/>
      <c r="D1155" s="31"/>
      <c r="E1155" s="32"/>
      <c r="F1155" s="32"/>
      <c r="G1155" s="32"/>
    </row>
    <row r="1156">
      <c r="A1156" s="31"/>
      <c r="B1156" s="31"/>
      <c r="C1156" s="31"/>
      <c r="D1156" s="31"/>
      <c r="E1156" s="32"/>
      <c r="F1156" s="32"/>
      <c r="G1156" s="32"/>
    </row>
    <row r="1157">
      <c r="A1157" s="31"/>
      <c r="B1157" s="31"/>
      <c r="C1157" s="31"/>
      <c r="D1157" s="31"/>
      <c r="E1157" s="32"/>
      <c r="F1157" s="32"/>
      <c r="G1157" s="32"/>
    </row>
    <row r="1158">
      <c r="A1158" s="31"/>
      <c r="B1158" s="31"/>
      <c r="C1158" s="31"/>
      <c r="D1158" s="31"/>
      <c r="E1158" s="32"/>
      <c r="F1158" s="32"/>
      <c r="G1158" s="32"/>
    </row>
    <row r="1159">
      <c r="A1159" s="31"/>
      <c r="B1159" s="31"/>
      <c r="C1159" s="31"/>
      <c r="D1159" s="31"/>
      <c r="E1159" s="32"/>
      <c r="F1159" s="32"/>
      <c r="G1159" s="32"/>
    </row>
    <row r="1160">
      <c r="A1160" s="31"/>
      <c r="B1160" s="31"/>
      <c r="C1160" s="31"/>
      <c r="D1160" s="31"/>
      <c r="E1160" s="32"/>
      <c r="F1160" s="32"/>
      <c r="G1160" s="32"/>
    </row>
    <row r="1161">
      <c r="A1161" s="31"/>
      <c r="B1161" s="31"/>
      <c r="C1161" s="31"/>
      <c r="D1161" s="31"/>
      <c r="E1161" s="32"/>
      <c r="F1161" s="32"/>
      <c r="G1161" s="32"/>
    </row>
    <row r="1162">
      <c r="A1162" s="31"/>
      <c r="B1162" s="31"/>
      <c r="C1162" s="31"/>
      <c r="D1162" s="31"/>
      <c r="E1162" s="32"/>
      <c r="F1162" s="32"/>
      <c r="G1162" s="32"/>
    </row>
    <row r="1163">
      <c r="A1163" s="31"/>
      <c r="B1163" s="31"/>
      <c r="C1163" s="31"/>
      <c r="D1163" s="31"/>
      <c r="E1163" s="32"/>
      <c r="F1163" s="32"/>
      <c r="G1163" s="32"/>
    </row>
    <row r="1164">
      <c r="A1164" s="31"/>
      <c r="B1164" s="31"/>
      <c r="C1164" s="31"/>
      <c r="D1164" s="31"/>
      <c r="E1164" s="32"/>
      <c r="F1164" s="32"/>
      <c r="G1164" s="32"/>
    </row>
    <row r="1165">
      <c r="A1165" s="31"/>
      <c r="B1165" s="31"/>
      <c r="C1165" s="31"/>
      <c r="D1165" s="31"/>
      <c r="E1165" s="32"/>
      <c r="F1165" s="32"/>
      <c r="G1165" s="32"/>
    </row>
    <row r="1166">
      <c r="A1166" s="31"/>
      <c r="B1166" s="31"/>
      <c r="C1166" s="31"/>
      <c r="D1166" s="31"/>
      <c r="E1166" s="32"/>
      <c r="F1166" s="32"/>
      <c r="G1166" s="32"/>
    </row>
    <row r="1167">
      <c r="A1167" s="31"/>
      <c r="B1167" s="31"/>
      <c r="C1167" s="31"/>
      <c r="D1167" s="31"/>
      <c r="E1167" s="32"/>
      <c r="F1167" s="32"/>
      <c r="G1167" s="32"/>
    </row>
    <row r="1168">
      <c r="A1168" s="31"/>
      <c r="B1168" s="31"/>
      <c r="C1168" s="31"/>
      <c r="D1168" s="31"/>
      <c r="E1168" s="32"/>
      <c r="F1168" s="32"/>
      <c r="G1168" s="32"/>
    </row>
    <row r="1169">
      <c r="A1169" s="31"/>
      <c r="B1169" s="31"/>
      <c r="C1169" s="31"/>
      <c r="D1169" s="31"/>
      <c r="E1169" s="32"/>
      <c r="F1169" s="32"/>
      <c r="G1169" s="32"/>
    </row>
    <row r="1170">
      <c r="A1170" s="31"/>
      <c r="B1170" s="31"/>
      <c r="C1170" s="31"/>
      <c r="D1170" s="31"/>
      <c r="E1170" s="32"/>
      <c r="F1170" s="32"/>
      <c r="G1170" s="32"/>
    </row>
    <row r="1171">
      <c r="A1171" s="31"/>
      <c r="B1171" s="31"/>
      <c r="C1171" s="31"/>
      <c r="D1171" s="31"/>
      <c r="E1171" s="32"/>
      <c r="F1171" s="32"/>
      <c r="G1171" s="32"/>
    </row>
    <row r="1172">
      <c r="A1172" s="31"/>
      <c r="B1172" s="31"/>
      <c r="C1172" s="31"/>
      <c r="D1172" s="31"/>
      <c r="E1172" s="32"/>
      <c r="F1172" s="32"/>
      <c r="G1172" s="32"/>
    </row>
    <row r="1173">
      <c r="A1173" s="31"/>
      <c r="B1173" s="31"/>
      <c r="C1173" s="31"/>
      <c r="D1173" s="31"/>
      <c r="E1173" s="32"/>
      <c r="F1173" s="32"/>
      <c r="G1173" s="32"/>
    </row>
    <row r="1174">
      <c r="A1174" s="31"/>
      <c r="B1174" s="31"/>
      <c r="C1174" s="31"/>
      <c r="D1174" s="31"/>
      <c r="E1174" s="32"/>
      <c r="F1174" s="32"/>
      <c r="G1174" s="32"/>
    </row>
    <row r="1175">
      <c r="A1175" s="31"/>
      <c r="B1175" s="31"/>
      <c r="C1175" s="31"/>
      <c r="D1175" s="31"/>
      <c r="E1175" s="32"/>
      <c r="F1175" s="32"/>
      <c r="G1175" s="32"/>
    </row>
    <row r="1176">
      <c r="A1176" s="31"/>
      <c r="B1176" s="31"/>
      <c r="C1176" s="31"/>
      <c r="D1176" s="31"/>
      <c r="E1176" s="32"/>
      <c r="F1176" s="32"/>
      <c r="G1176" s="32"/>
    </row>
    <row r="1177">
      <c r="A1177" s="31"/>
      <c r="B1177" s="31"/>
      <c r="C1177" s="31"/>
      <c r="D1177" s="31"/>
      <c r="E1177" s="32"/>
      <c r="F1177" s="32"/>
      <c r="G1177" s="32"/>
    </row>
    <row r="1178">
      <c r="A1178" s="31"/>
      <c r="B1178" s="31"/>
      <c r="C1178" s="31"/>
      <c r="D1178" s="31"/>
      <c r="E1178" s="32"/>
      <c r="F1178" s="32"/>
      <c r="G1178" s="32"/>
    </row>
    <row r="1179">
      <c r="A1179" s="31"/>
      <c r="B1179" s="31"/>
      <c r="C1179" s="31"/>
      <c r="D1179" s="31"/>
      <c r="E1179" s="32"/>
      <c r="F1179" s="32"/>
      <c r="G1179" s="32"/>
    </row>
    <row r="1180">
      <c r="A1180" s="31"/>
      <c r="B1180" s="31"/>
      <c r="C1180" s="31"/>
      <c r="D1180" s="31"/>
      <c r="E1180" s="32"/>
      <c r="F1180" s="32"/>
      <c r="G1180" s="32"/>
    </row>
    <row r="1181">
      <c r="A1181" s="31"/>
      <c r="B1181" s="31"/>
      <c r="C1181" s="31"/>
      <c r="D1181" s="31"/>
      <c r="E1181" s="32"/>
      <c r="F1181" s="32"/>
      <c r="G1181" s="32"/>
    </row>
    <row r="1182">
      <c r="A1182" s="31"/>
      <c r="B1182" s="31"/>
      <c r="C1182" s="31"/>
      <c r="D1182" s="31"/>
      <c r="E1182" s="32"/>
      <c r="F1182" s="32"/>
      <c r="G1182" s="32"/>
    </row>
    <row r="1183">
      <c r="A1183" s="31"/>
      <c r="B1183" s="31"/>
      <c r="C1183" s="31"/>
      <c r="D1183" s="31"/>
      <c r="E1183" s="32"/>
      <c r="F1183" s="32"/>
      <c r="G1183" s="32"/>
    </row>
    <row r="1184">
      <c r="A1184" s="31"/>
      <c r="B1184" s="31"/>
      <c r="C1184" s="31"/>
      <c r="D1184" s="31"/>
      <c r="E1184" s="32"/>
      <c r="F1184" s="32"/>
      <c r="G1184" s="32"/>
    </row>
    <row r="1185">
      <c r="A1185" s="31"/>
      <c r="B1185" s="31"/>
      <c r="C1185" s="31"/>
      <c r="D1185" s="31"/>
      <c r="E1185" s="32"/>
      <c r="F1185" s="32"/>
      <c r="G1185" s="32"/>
    </row>
    <row r="1186">
      <c r="A1186" s="31"/>
      <c r="B1186" s="31"/>
      <c r="C1186" s="31"/>
      <c r="D1186" s="31"/>
      <c r="E1186" s="32"/>
      <c r="F1186" s="32"/>
      <c r="G1186" s="32"/>
    </row>
    <row r="1187">
      <c r="A1187" s="31"/>
      <c r="B1187" s="31"/>
      <c r="C1187" s="31"/>
      <c r="D1187" s="31"/>
      <c r="E1187" s="32"/>
      <c r="F1187" s="32"/>
      <c r="G1187" s="32"/>
    </row>
    <row r="1188">
      <c r="A1188" s="31"/>
      <c r="B1188" s="31"/>
      <c r="C1188" s="31"/>
      <c r="D1188" s="31"/>
      <c r="E1188" s="32"/>
      <c r="F1188" s="32"/>
      <c r="G1188" s="32"/>
    </row>
    <row r="1189">
      <c r="A1189" s="31"/>
      <c r="B1189" s="31"/>
      <c r="C1189" s="31"/>
      <c r="D1189" s="31"/>
      <c r="E1189" s="32"/>
      <c r="F1189" s="32"/>
      <c r="G1189" s="32"/>
    </row>
    <row r="1190">
      <c r="A1190" s="31"/>
      <c r="B1190" s="31"/>
      <c r="C1190" s="31"/>
      <c r="D1190" s="31"/>
      <c r="E1190" s="32"/>
      <c r="F1190" s="32"/>
      <c r="G1190" s="32"/>
    </row>
    <row r="1191">
      <c r="A1191" s="31"/>
      <c r="B1191" s="31"/>
      <c r="C1191" s="31"/>
      <c r="D1191" s="31"/>
      <c r="E1191" s="32"/>
      <c r="F1191" s="32"/>
      <c r="G1191" s="32"/>
    </row>
    <row r="1192">
      <c r="A1192" s="31"/>
      <c r="B1192" s="31"/>
      <c r="C1192" s="31"/>
      <c r="D1192" s="31"/>
      <c r="E1192" s="32"/>
      <c r="F1192" s="32"/>
      <c r="G1192" s="32"/>
    </row>
    <row r="1193">
      <c r="A1193" s="31"/>
      <c r="B1193" s="31"/>
      <c r="C1193" s="31"/>
      <c r="D1193" s="31"/>
      <c r="E1193" s="32"/>
      <c r="F1193" s="32"/>
      <c r="G1193" s="32"/>
    </row>
    <row r="1194">
      <c r="A1194" s="31"/>
      <c r="B1194" s="31"/>
      <c r="C1194" s="31"/>
      <c r="D1194" s="31"/>
      <c r="E1194" s="32"/>
      <c r="F1194" s="32"/>
      <c r="G1194" s="32"/>
    </row>
    <row r="1195">
      <c r="A1195" s="31"/>
      <c r="B1195" s="31"/>
      <c r="C1195" s="31"/>
      <c r="D1195" s="31"/>
      <c r="E1195" s="32"/>
      <c r="F1195" s="32"/>
      <c r="G1195" s="32"/>
    </row>
    <row r="1196">
      <c r="A1196" s="31"/>
      <c r="B1196" s="31"/>
      <c r="C1196" s="31"/>
      <c r="D1196" s="31"/>
      <c r="E1196" s="32"/>
      <c r="F1196" s="32"/>
      <c r="G1196" s="32"/>
    </row>
    <row r="1197">
      <c r="A1197" s="31"/>
      <c r="B1197" s="31"/>
      <c r="C1197" s="31"/>
      <c r="D1197" s="31"/>
      <c r="E1197" s="32"/>
      <c r="F1197" s="32"/>
      <c r="G1197" s="32"/>
    </row>
    <row r="1198">
      <c r="A1198" s="31"/>
      <c r="B1198" s="31"/>
      <c r="C1198" s="31"/>
      <c r="D1198" s="31"/>
      <c r="E1198" s="32"/>
      <c r="F1198" s="32"/>
      <c r="G1198" s="32"/>
    </row>
    <row r="1199">
      <c r="A1199" s="31"/>
      <c r="B1199" s="31"/>
      <c r="C1199" s="31"/>
      <c r="D1199" s="31"/>
      <c r="E1199" s="32"/>
      <c r="F1199" s="32"/>
      <c r="G1199" s="32"/>
    </row>
    <row r="1200">
      <c r="A1200" s="31"/>
      <c r="B1200" s="31"/>
      <c r="C1200" s="31"/>
      <c r="D1200" s="31"/>
      <c r="E1200" s="32"/>
      <c r="F1200" s="32"/>
      <c r="G1200" s="32"/>
    </row>
    <row r="1201">
      <c r="A1201" s="31"/>
      <c r="B1201" s="31"/>
      <c r="C1201" s="31"/>
      <c r="D1201" s="31"/>
      <c r="E1201" s="32"/>
      <c r="F1201" s="32"/>
      <c r="G1201" s="32"/>
    </row>
    <row r="1202">
      <c r="A1202" s="31"/>
      <c r="B1202" s="31"/>
      <c r="C1202" s="31"/>
      <c r="D1202" s="31"/>
      <c r="E1202" s="32"/>
      <c r="F1202" s="32"/>
      <c r="G1202" s="32"/>
    </row>
    <row r="1203">
      <c r="A1203" s="31"/>
      <c r="B1203" s="31"/>
      <c r="C1203" s="31"/>
      <c r="D1203" s="31"/>
      <c r="E1203" s="32"/>
      <c r="F1203" s="32"/>
      <c r="G1203" s="32"/>
    </row>
    <row r="1204">
      <c r="A1204" s="31"/>
      <c r="B1204" s="31"/>
      <c r="C1204" s="31"/>
      <c r="D1204" s="31"/>
      <c r="E1204" s="32"/>
      <c r="F1204" s="32"/>
      <c r="G1204" s="32"/>
    </row>
    <row r="1205">
      <c r="A1205" s="31"/>
      <c r="B1205" s="31"/>
      <c r="C1205" s="31"/>
      <c r="D1205" s="31"/>
      <c r="E1205" s="32"/>
      <c r="F1205" s="32"/>
      <c r="G1205" s="32"/>
    </row>
    <row r="1206">
      <c r="A1206" s="31"/>
      <c r="B1206" s="31"/>
      <c r="C1206" s="31"/>
      <c r="D1206" s="31"/>
      <c r="E1206" s="32"/>
      <c r="F1206" s="32"/>
      <c r="G1206" s="32"/>
    </row>
    <row r="1207">
      <c r="A1207" s="31"/>
      <c r="B1207" s="31"/>
      <c r="C1207" s="31"/>
      <c r="D1207" s="31"/>
      <c r="E1207" s="32"/>
      <c r="F1207" s="32"/>
      <c r="G1207" s="32"/>
    </row>
    <row r="1208">
      <c r="A1208" s="31"/>
      <c r="B1208" s="31"/>
      <c r="C1208" s="31"/>
      <c r="D1208" s="31"/>
      <c r="E1208" s="32"/>
      <c r="F1208" s="32"/>
      <c r="G1208" s="32"/>
    </row>
    <row r="1209">
      <c r="A1209" s="31"/>
      <c r="B1209" s="31"/>
      <c r="C1209" s="31"/>
      <c r="D1209" s="31"/>
      <c r="E1209" s="32"/>
      <c r="F1209" s="32"/>
      <c r="G1209" s="32"/>
    </row>
    <row r="1210">
      <c r="A1210" s="31"/>
      <c r="B1210" s="31"/>
      <c r="C1210" s="31"/>
      <c r="D1210" s="31"/>
      <c r="E1210" s="32"/>
      <c r="F1210" s="32"/>
      <c r="G1210" s="32"/>
    </row>
    <row r="1211">
      <c r="A1211" s="31"/>
      <c r="B1211" s="31"/>
      <c r="C1211" s="31"/>
      <c r="D1211" s="31"/>
      <c r="E1211" s="32"/>
      <c r="F1211" s="32"/>
      <c r="G1211" s="32"/>
    </row>
    <row r="1212">
      <c r="A1212" s="31"/>
      <c r="B1212" s="31"/>
      <c r="C1212" s="31"/>
      <c r="D1212" s="31"/>
      <c r="E1212" s="32"/>
      <c r="F1212" s="32"/>
      <c r="G1212" s="32"/>
    </row>
    <row r="1213">
      <c r="A1213" s="31"/>
      <c r="B1213" s="31"/>
      <c r="C1213" s="31"/>
      <c r="D1213" s="31"/>
      <c r="E1213" s="32"/>
      <c r="F1213" s="32"/>
      <c r="G1213" s="32"/>
    </row>
    <row r="1214">
      <c r="A1214" s="31"/>
      <c r="B1214" s="31"/>
      <c r="C1214" s="31"/>
      <c r="D1214" s="31"/>
      <c r="E1214" s="32"/>
      <c r="F1214" s="32"/>
      <c r="G1214" s="32"/>
    </row>
    <row r="1215">
      <c r="A1215" s="31"/>
      <c r="B1215" s="31"/>
      <c r="C1215" s="31"/>
      <c r="D1215" s="31"/>
      <c r="E1215" s="32"/>
      <c r="F1215" s="32"/>
      <c r="G1215" s="32"/>
    </row>
    <row r="1216">
      <c r="A1216" s="31"/>
      <c r="B1216" s="31"/>
      <c r="C1216" s="31"/>
      <c r="D1216" s="31"/>
      <c r="E1216" s="32"/>
      <c r="F1216" s="32"/>
      <c r="G1216" s="32"/>
    </row>
    <row r="1217">
      <c r="A1217" s="31"/>
      <c r="B1217" s="31"/>
      <c r="C1217" s="31"/>
      <c r="D1217" s="31"/>
      <c r="E1217" s="32"/>
      <c r="F1217" s="32"/>
      <c r="G1217" s="32"/>
    </row>
    <row r="1218">
      <c r="A1218" s="31"/>
      <c r="B1218" s="31"/>
      <c r="C1218" s="31"/>
      <c r="D1218" s="31"/>
      <c r="E1218" s="32"/>
      <c r="F1218" s="32"/>
      <c r="G1218" s="32"/>
    </row>
    <row r="1219">
      <c r="A1219" s="31"/>
      <c r="B1219" s="31"/>
      <c r="C1219" s="31"/>
      <c r="D1219" s="31"/>
      <c r="E1219" s="32"/>
      <c r="F1219" s="32"/>
      <c r="G1219" s="32"/>
    </row>
    <row r="1220">
      <c r="A1220" s="31"/>
      <c r="B1220" s="31"/>
      <c r="C1220" s="31"/>
      <c r="D1220" s="31"/>
      <c r="E1220" s="32"/>
      <c r="F1220" s="32"/>
      <c r="G1220" s="32"/>
    </row>
    <row r="1221">
      <c r="A1221" s="31"/>
      <c r="B1221" s="31"/>
      <c r="C1221" s="31"/>
      <c r="D1221" s="31"/>
      <c r="E1221" s="32"/>
      <c r="F1221" s="32"/>
      <c r="G1221" s="32"/>
    </row>
    <row r="1222">
      <c r="A1222" s="31"/>
      <c r="B1222" s="31"/>
      <c r="C1222" s="31"/>
      <c r="D1222" s="31"/>
      <c r="E1222" s="32"/>
      <c r="F1222" s="32"/>
      <c r="G1222" s="32"/>
    </row>
    <row r="1223">
      <c r="A1223" s="31"/>
      <c r="B1223" s="31"/>
      <c r="C1223" s="31"/>
      <c r="D1223" s="31"/>
      <c r="E1223" s="32"/>
      <c r="F1223" s="32"/>
      <c r="G1223" s="32"/>
    </row>
    <row r="1224">
      <c r="A1224" s="31"/>
      <c r="B1224" s="31"/>
      <c r="C1224" s="31"/>
      <c r="D1224" s="31"/>
      <c r="E1224" s="32"/>
      <c r="F1224" s="32"/>
      <c r="G1224" s="32"/>
    </row>
    <row r="1225">
      <c r="A1225" s="31"/>
      <c r="B1225" s="31"/>
      <c r="C1225" s="31"/>
      <c r="D1225" s="31"/>
      <c r="E1225" s="32"/>
      <c r="F1225" s="32"/>
      <c r="G1225" s="32"/>
    </row>
    <row r="1226">
      <c r="A1226" s="31"/>
      <c r="B1226" s="31"/>
      <c r="C1226" s="31"/>
      <c r="D1226" s="31"/>
      <c r="E1226" s="32"/>
      <c r="F1226" s="32"/>
      <c r="G1226" s="32"/>
    </row>
    <row r="1227">
      <c r="A1227" s="31"/>
      <c r="B1227" s="31"/>
      <c r="C1227" s="31"/>
      <c r="D1227" s="31"/>
      <c r="E1227" s="32"/>
      <c r="F1227" s="32"/>
      <c r="G1227" s="32"/>
    </row>
    <row r="1228">
      <c r="A1228" s="31"/>
      <c r="B1228" s="31"/>
      <c r="C1228" s="31"/>
      <c r="D1228" s="31"/>
      <c r="E1228" s="32"/>
      <c r="F1228" s="32"/>
      <c r="G1228" s="32"/>
    </row>
    <row r="1229">
      <c r="A1229" s="31"/>
      <c r="B1229" s="31"/>
      <c r="C1229" s="31"/>
      <c r="D1229" s="31"/>
      <c r="E1229" s="32"/>
      <c r="F1229" s="32"/>
      <c r="G1229" s="32"/>
    </row>
    <row r="1230">
      <c r="A1230" s="31"/>
      <c r="B1230" s="31"/>
      <c r="C1230" s="31"/>
      <c r="D1230" s="31"/>
      <c r="E1230" s="32"/>
      <c r="F1230" s="32"/>
      <c r="G1230" s="32"/>
    </row>
    <row r="1231">
      <c r="A1231" s="31"/>
      <c r="B1231" s="31"/>
      <c r="C1231" s="31"/>
      <c r="D1231" s="31"/>
      <c r="E1231" s="32"/>
      <c r="F1231" s="32"/>
      <c r="G1231" s="32"/>
    </row>
    <row r="1232">
      <c r="A1232" s="31"/>
      <c r="B1232" s="31"/>
      <c r="C1232" s="31"/>
      <c r="D1232" s="31"/>
      <c r="E1232" s="32"/>
      <c r="F1232" s="32"/>
      <c r="G1232" s="32"/>
    </row>
    <row r="1233">
      <c r="A1233" s="31"/>
      <c r="B1233" s="31"/>
      <c r="C1233" s="31"/>
      <c r="D1233" s="31"/>
      <c r="E1233" s="32"/>
      <c r="F1233" s="32"/>
      <c r="G1233" s="32"/>
    </row>
    <row r="1234">
      <c r="A1234" s="31"/>
      <c r="B1234" s="31"/>
      <c r="C1234" s="31"/>
      <c r="D1234" s="31"/>
      <c r="E1234" s="32"/>
      <c r="F1234" s="32"/>
      <c r="G1234" s="32"/>
    </row>
    <row r="1235">
      <c r="A1235" s="31"/>
      <c r="B1235" s="31"/>
      <c r="C1235" s="31"/>
      <c r="D1235" s="31"/>
      <c r="E1235" s="32"/>
      <c r="F1235" s="32"/>
      <c r="G1235" s="32"/>
    </row>
    <row r="1236">
      <c r="A1236" s="31"/>
      <c r="B1236" s="31"/>
      <c r="C1236" s="31"/>
      <c r="D1236" s="31"/>
      <c r="E1236" s="32"/>
      <c r="F1236" s="32"/>
      <c r="G1236" s="32"/>
    </row>
    <row r="1237">
      <c r="A1237" s="31"/>
      <c r="B1237" s="31"/>
      <c r="C1237" s="31"/>
      <c r="D1237" s="31"/>
      <c r="E1237" s="32"/>
      <c r="F1237" s="32"/>
      <c r="G1237" s="32"/>
    </row>
    <row r="1238">
      <c r="A1238" s="31"/>
      <c r="B1238" s="31"/>
      <c r="C1238" s="31"/>
      <c r="D1238" s="31"/>
      <c r="E1238" s="32"/>
      <c r="F1238" s="32"/>
      <c r="G1238" s="32"/>
    </row>
    <row r="1239">
      <c r="A1239" s="31"/>
      <c r="B1239" s="31"/>
      <c r="C1239" s="31"/>
      <c r="D1239" s="31"/>
      <c r="E1239" s="32"/>
      <c r="F1239" s="32"/>
      <c r="G1239" s="32"/>
    </row>
    <row r="1240">
      <c r="A1240" s="31"/>
      <c r="B1240" s="31"/>
      <c r="C1240" s="31"/>
      <c r="D1240" s="31"/>
      <c r="E1240" s="32"/>
      <c r="F1240" s="32"/>
      <c r="G1240" s="32"/>
    </row>
    <row r="1241">
      <c r="A1241" s="31"/>
      <c r="B1241" s="31"/>
      <c r="C1241" s="31"/>
      <c r="D1241" s="31"/>
      <c r="E1241" s="32"/>
      <c r="F1241" s="32"/>
      <c r="G1241" s="32"/>
    </row>
    <row r="1242">
      <c r="A1242" s="31"/>
      <c r="B1242" s="31"/>
      <c r="C1242" s="31"/>
      <c r="D1242" s="31"/>
      <c r="E1242" s="32"/>
      <c r="F1242" s="32"/>
      <c r="G1242" s="32"/>
    </row>
    <row r="1243">
      <c r="A1243" s="31"/>
      <c r="B1243" s="31"/>
      <c r="C1243" s="31"/>
      <c r="D1243" s="31"/>
      <c r="E1243" s="32"/>
      <c r="F1243" s="32"/>
      <c r="G1243" s="32"/>
    </row>
    <row r="1244">
      <c r="A1244" s="31"/>
      <c r="B1244" s="31"/>
      <c r="C1244" s="31"/>
      <c r="D1244" s="31"/>
      <c r="E1244" s="32"/>
      <c r="F1244" s="32"/>
      <c r="G1244" s="32"/>
    </row>
    <row r="1245">
      <c r="A1245" s="31"/>
      <c r="B1245" s="31"/>
      <c r="C1245" s="31"/>
      <c r="D1245" s="31"/>
      <c r="E1245" s="32"/>
      <c r="F1245" s="32"/>
      <c r="G1245" s="32"/>
    </row>
    <row r="1246">
      <c r="A1246" s="31"/>
      <c r="B1246" s="31"/>
      <c r="C1246" s="31"/>
      <c r="D1246" s="31"/>
      <c r="E1246" s="32"/>
      <c r="F1246" s="32"/>
      <c r="G1246" s="32"/>
    </row>
    <row r="1247">
      <c r="A1247" s="31"/>
      <c r="B1247" s="31"/>
      <c r="C1247" s="31"/>
      <c r="D1247" s="31"/>
      <c r="E1247" s="32"/>
      <c r="F1247" s="32"/>
      <c r="G1247" s="32"/>
    </row>
    <row r="1248">
      <c r="A1248" s="31"/>
      <c r="B1248" s="31"/>
      <c r="C1248" s="31"/>
      <c r="D1248" s="31"/>
      <c r="E1248" s="32"/>
      <c r="F1248" s="32"/>
      <c r="G1248" s="32"/>
    </row>
    <row r="1249">
      <c r="A1249" s="31"/>
      <c r="B1249" s="31"/>
      <c r="C1249" s="31"/>
      <c r="D1249" s="31"/>
      <c r="E1249" s="32"/>
      <c r="F1249" s="32"/>
      <c r="G1249" s="32"/>
    </row>
    <row r="1250">
      <c r="A1250" s="31"/>
      <c r="B1250" s="31"/>
      <c r="C1250" s="31"/>
      <c r="D1250" s="31"/>
      <c r="E1250" s="32"/>
      <c r="F1250" s="32"/>
      <c r="G1250" s="32"/>
    </row>
    <row r="1251">
      <c r="A1251" s="31"/>
      <c r="B1251" s="31"/>
      <c r="C1251" s="31"/>
      <c r="D1251" s="31"/>
      <c r="E1251" s="32"/>
      <c r="F1251" s="32"/>
      <c r="G1251" s="32"/>
    </row>
    <row r="1252">
      <c r="A1252" s="31"/>
      <c r="B1252" s="31"/>
      <c r="C1252" s="31"/>
      <c r="D1252" s="31"/>
      <c r="E1252" s="32"/>
      <c r="F1252" s="32"/>
      <c r="G1252" s="32"/>
    </row>
    <row r="1253">
      <c r="A1253" s="31"/>
      <c r="B1253" s="31"/>
      <c r="C1253" s="31"/>
      <c r="D1253" s="31"/>
      <c r="E1253" s="32"/>
      <c r="F1253" s="32"/>
      <c r="G1253" s="32"/>
    </row>
    <row r="1254">
      <c r="A1254" s="31"/>
      <c r="B1254" s="31"/>
      <c r="C1254" s="31"/>
      <c r="D1254" s="31"/>
      <c r="E1254" s="32"/>
      <c r="F1254" s="32"/>
      <c r="G1254" s="32"/>
    </row>
    <row r="1255">
      <c r="A1255" s="31"/>
      <c r="B1255" s="31"/>
      <c r="C1255" s="31"/>
      <c r="D1255" s="31"/>
      <c r="E1255" s="32"/>
      <c r="F1255" s="32"/>
      <c r="G1255" s="32"/>
    </row>
    <row r="1256">
      <c r="A1256" s="31"/>
      <c r="B1256" s="31"/>
      <c r="C1256" s="31"/>
      <c r="D1256" s="31"/>
      <c r="E1256" s="32"/>
      <c r="F1256" s="32"/>
      <c r="G1256" s="32"/>
    </row>
    <row r="1257">
      <c r="A1257" s="31"/>
      <c r="B1257" s="31"/>
      <c r="C1257" s="31"/>
      <c r="D1257" s="31"/>
      <c r="E1257" s="32"/>
      <c r="F1257" s="32"/>
      <c r="G1257" s="32"/>
    </row>
    <row r="1258">
      <c r="A1258" s="31"/>
      <c r="B1258" s="31"/>
      <c r="C1258" s="31"/>
      <c r="D1258" s="31"/>
      <c r="E1258" s="32"/>
      <c r="F1258" s="32"/>
      <c r="G1258" s="32"/>
    </row>
    <row r="1259">
      <c r="A1259" s="31"/>
      <c r="B1259" s="31"/>
      <c r="C1259" s="31"/>
      <c r="D1259" s="31"/>
      <c r="E1259" s="32"/>
      <c r="F1259" s="32"/>
      <c r="G1259" s="32"/>
    </row>
    <row r="1260">
      <c r="A1260" s="31"/>
      <c r="B1260" s="31"/>
      <c r="C1260" s="31"/>
      <c r="D1260" s="31"/>
      <c r="E1260" s="32"/>
      <c r="F1260" s="32"/>
      <c r="G1260" s="32"/>
    </row>
    <row r="1261">
      <c r="A1261" s="31"/>
      <c r="B1261" s="31"/>
      <c r="C1261" s="31"/>
      <c r="D1261" s="31"/>
      <c r="E1261" s="32"/>
      <c r="F1261" s="32"/>
      <c r="G1261" s="32"/>
    </row>
    <row r="1262">
      <c r="A1262" s="31"/>
      <c r="B1262" s="31"/>
      <c r="C1262" s="31"/>
      <c r="D1262" s="31"/>
      <c r="E1262" s="32"/>
      <c r="F1262" s="32"/>
      <c r="G1262" s="32"/>
    </row>
    <row r="1263">
      <c r="A1263" s="31"/>
      <c r="B1263" s="31"/>
      <c r="C1263" s="31"/>
      <c r="D1263" s="31"/>
      <c r="E1263" s="32"/>
      <c r="F1263" s="32"/>
      <c r="G1263" s="32"/>
    </row>
    <row r="1264">
      <c r="A1264" s="31"/>
      <c r="B1264" s="31"/>
      <c r="C1264" s="31"/>
      <c r="D1264" s="31"/>
      <c r="E1264" s="32"/>
      <c r="F1264" s="32"/>
      <c r="G1264" s="32"/>
    </row>
    <row r="1265">
      <c r="A1265" s="31"/>
      <c r="B1265" s="31"/>
      <c r="C1265" s="31"/>
      <c r="D1265" s="31"/>
      <c r="E1265" s="32"/>
      <c r="F1265" s="32"/>
      <c r="G1265" s="32"/>
    </row>
    <row r="1266">
      <c r="A1266" s="31"/>
      <c r="B1266" s="31"/>
      <c r="C1266" s="31"/>
      <c r="D1266" s="31"/>
      <c r="E1266" s="32"/>
      <c r="F1266" s="32"/>
      <c r="G1266" s="32"/>
    </row>
    <row r="1267">
      <c r="A1267" s="31"/>
      <c r="B1267" s="31"/>
      <c r="C1267" s="31"/>
      <c r="D1267" s="31"/>
      <c r="E1267" s="32"/>
      <c r="F1267" s="32"/>
      <c r="G1267" s="32"/>
    </row>
    <row r="1268">
      <c r="A1268" s="31"/>
      <c r="B1268" s="31"/>
      <c r="C1268" s="31"/>
      <c r="D1268" s="31"/>
      <c r="E1268" s="32"/>
      <c r="F1268" s="32"/>
      <c r="G1268" s="32"/>
    </row>
    <row r="1269">
      <c r="A1269" s="31"/>
      <c r="B1269" s="31"/>
      <c r="C1269" s="31"/>
      <c r="D1269" s="31"/>
      <c r="E1269" s="32"/>
      <c r="F1269" s="32"/>
      <c r="G1269" s="32"/>
    </row>
    <row r="1270">
      <c r="A1270" s="31"/>
      <c r="B1270" s="31"/>
      <c r="C1270" s="31"/>
      <c r="D1270" s="31"/>
      <c r="E1270" s="32"/>
      <c r="F1270" s="32"/>
      <c r="G1270" s="32"/>
    </row>
    <row r="1271">
      <c r="A1271" s="31"/>
      <c r="B1271" s="31"/>
      <c r="C1271" s="31"/>
      <c r="D1271" s="31"/>
      <c r="E1271" s="32"/>
      <c r="F1271" s="32"/>
      <c r="G1271" s="32"/>
    </row>
    <row r="1272">
      <c r="A1272" s="31"/>
      <c r="B1272" s="31"/>
      <c r="C1272" s="31"/>
      <c r="D1272" s="31"/>
      <c r="E1272" s="32"/>
      <c r="F1272" s="32"/>
      <c r="G1272" s="32"/>
    </row>
    <row r="1273">
      <c r="A1273" s="31"/>
      <c r="B1273" s="31"/>
      <c r="C1273" s="31"/>
      <c r="D1273" s="31"/>
      <c r="E1273" s="32"/>
      <c r="F1273" s="32"/>
      <c r="G1273" s="32"/>
    </row>
    <row r="1274">
      <c r="A1274" s="31"/>
      <c r="B1274" s="31"/>
      <c r="C1274" s="31"/>
      <c r="D1274" s="31"/>
      <c r="E1274" s="32"/>
      <c r="F1274" s="32"/>
      <c r="G1274" s="32"/>
    </row>
    <row r="1275">
      <c r="A1275" s="31"/>
      <c r="B1275" s="31"/>
      <c r="C1275" s="31"/>
      <c r="D1275" s="31"/>
      <c r="E1275" s="32"/>
      <c r="F1275" s="32"/>
      <c r="G1275" s="32"/>
    </row>
    <row r="1276">
      <c r="A1276" s="31"/>
      <c r="B1276" s="31"/>
      <c r="C1276" s="31"/>
      <c r="D1276" s="31"/>
      <c r="E1276" s="32"/>
      <c r="F1276" s="32"/>
      <c r="G1276" s="32"/>
    </row>
    <row r="1277">
      <c r="A1277" s="31"/>
      <c r="B1277" s="31"/>
      <c r="C1277" s="31"/>
      <c r="D1277" s="31"/>
      <c r="E1277" s="32"/>
      <c r="F1277" s="32"/>
      <c r="G1277" s="32"/>
    </row>
    <row r="1278">
      <c r="A1278" s="31"/>
      <c r="B1278" s="31"/>
      <c r="C1278" s="31"/>
      <c r="D1278" s="31"/>
      <c r="E1278" s="32"/>
      <c r="F1278" s="32"/>
      <c r="G1278" s="32"/>
    </row>
    <row r="1279">
      <c r="A1279" s="31"/>
      <c r="B1279" s="31"/>
      <c r="C1279" s="31"/>
      <c r="D1279" s="31"/>
      <c r="E1279" s="32"/>
      <c r="F1279" s="32"/>
      <c r="G1279" s="32"/>
    </row>
    <row r="1280">
      <c r="A1280" s="31"/>
      <c r="B1280" s="31"/>
      <c r="C1280" s="31"/>
      <c r="D1280" s="31"/>
      <c r="E1280" s="32"/>
      <c r="F1280" s="32"/>
      <c r="G1280" s="32"/>
    </row>
    <row r="1281">
      <c r="A1281" s="31"/>
      <c r="B1281" s="31"/>
      <c r="C1281" s="31"/>
      <c r="D1281" s="31"/>
      <c r="E1281" s="32"/>
      <c r="F1281" s="32"/>
      <c r="G1281" s="32"/>
    </row>
    <row r="1282">
      <c r="A1282" s="31"/>
      <c r="B1282" s="31"/>
      <c r="C1282" s="31"/>
      <c r="D1282" s="31"/>
      <c r="E1282" s="32"/>
      <c r="F1282" s="32"/>
      <c r="G1282" s="32"/>
    </row>
    <row r="1283">
      <c r="A1283" s="31"/>
      <c r="B1283" s="31"/>
      <c r="C1283" s="31"/>
      <c r="D1283" s="31"/>
      <c r="E1283" s="32"/>
      <c r="F1283" s="32"/>
      <c r="G1283" s="32"/>
    </row>
    <row r="1284">
      <c r="A1284" s="31"/>
      <c r="B1284" s="31"/>
      <c r="C1284" s="31"/>
      <c r="D1284" s="31"/>
      <c r="E1284" s="32"/>
      <c r="F1284" s="32"/>
      <c r="G1284" s="32"/>
    </row>
    <row r="1285">
      <c r="A1285" s="31"/>
      <c r="B1285" s="31"/>
      <c r="C1285" s="31"/>
      <c r="D1285" s="31"/>
      <c r="E1285" s="32"/>
      <c r="F1285" s="32"/>
      <c r="G1285" s="32"/>
    </row>
    <row r="1286">
      <c r="A1286" s="31"/>
      <c r="B1286" s="31"/>
      <c r="C1286" s="31"/>
      <c r="D1286" s="31"/>
      <c r="E1286" s="32"/>
      <c r="F1286" s="32"/>
      <c r="G1286" s="32"/>
    </row>
    <row r="1287">
      <c r="A1287" s="31"/>
      <c r="B1287" s="31"/>
      <c r="C1287" s="31"/>
      <c r="D1287" s="31"/>
      <c r="E1287" s="32"/>
      <c r="F1287" s="32"/>
      <c r="G1287" s="32"/>
    </row>
    <row r="1288">
      <c r="A1288" s="31"/>
      <c r="B1288" s="31"/>
      <c r="C1288" s="31"/>
      <c r="D1288" s="31"/>
      <c r="E1288" s="32"/>
      <c r="F1288" s="32"/>
      <c r="G1288" s="32"/>
    </row>
    <row r="1289">
      <c r="A1289" s="31"/>
      <c r="B1289" s="31"/>
      <c r="C1289" s="31"/>
      <c r="D1289" s="31"/>
      <c r="E1289" s="32"/>
      <c r="F1289" s="32"/>
      <c r="G1289" s="32"/>
    </row>
    <row r="1290">
      <c r="A1290" s="31"/>
      <c r="B1290" s="31"/>
      <c r="C1290" s="31"/>
      <c r="D1290" s="31"/>
      <c r="E1290" s="32"/>
      <c r="F1290" s="32"/>
      <c r="G1290" s="32"/>
    </row>
    <row r="1291">
      <c r="A1291" s="31"/>
      <c r="B1291" s="31"/>
      <c r="C1291" s="31"/>
      <c r="D1291" s="31"/>
      <c r="E1291" s="32"/>
      <c r="F1291" s="32"/>
      <c r="G1291" s="32"/>
    </row>
    <row r="1292">
      <c r="A1292" s="31"/>
      <c r="B1292" s="31"/>
      <c r="C1292" s="31"/>
      <c r="D1292" s="31"/>
      <c r="E1292" s="32"/>
      <c r="F1292" s="32"/>
      <c r="G1292" s="32"/>
    </row>
    <row r="1293">
      <c r="A1293" s="31"/>
      <c r="B1293" s="31"/>
      <c r="C1293" s="31"/>
      <c r="D1293" s="31"/>
      <c r="E1293" s="32"/>
      <c r="F1293" s="32"/>
      <c r="G1293" s="32"/>
    </row>
    <row r="1294">
      <c r="A1294" s="31"/>
      <c r="B1294" s="31"/>
      <c r="C1294" s="31"/>
      <c r="D1294" s="31"/>
      <c r="E1294" s="32"/>
      <c r="F1294" s="32"/>
      <c r="G1294" s="32"/>
    </row>
    <row r="1295">
      <c r="A1295" s="31"/>
      <c r="B1295" s="31"/>
      <c r="C1295" s="31"/>
      <c r="D1295" s="31"/>
      <c r="E1295" s="32"/>
      <c r="F1295" s="32"/>
      <c r="G1295" s="32"/>
    </row>
    <row r="1296">
      <c r="A1296" s="31"/>
      <c r="B1296" s="31"/>
      <c r="C1296" s="31"/>
      <c r="D1296" s="31"/>
      <c r="E1296" s="32"/>
      <c r="F1296" s="32"/>
      <c r="G1296" s="32"/>
    </row>
    <row r="1297">
      <c r="A1297" s="31"/>
      <c r="B1297" s="31"/>
      <c r="C1297" s="31"/>
      <c r="D1297" s="31"/>
      <c r="E1297" s="32"/>
      <c r="F1297" s="32"/>
      <c r="G1297" s="32"/>
    </row>
    <row r="1298">
      <c r="A1298" s="31"/>
      <c r="B1298" s="31"/>
      <c r="C1298" s="31"/>
      <c r="D1298" s="31"/>
      <c r="E1298" s="32"/>
      <c r="F1298" s="32"/>
      <c r="G1298" s="32"/>
    </row>
    <row r="1299">
      <c r="A1299" s="31"/>
      <c r="B1299" s="31"/>
      <c r="C1299" s="31"/>
      <c r="D1299" s="31"/>
      <c r="E1299" s="32"/>
      <c r="F1299" s="32"/>
      <c r="G1299" s="32"/>
    </row>
    <row r="1300">
      <c r="A1300" s="31"/>
      <c r="B1300" s="31"/>
      <c r="C1300" s="31"/>
      <c r="D1300" s="31"/>
      <c r="E1300" s="32"/>
      <c r="F1300" s="32"/>
      <c r="G1300" s="32"/>
    </row>
    <row r="1301">
      <c r="A1301" s="31"/>
      <c r="B1301" s="31"/>
      <c r="C1301" s="31"/>
      <c r="D1301" s="31"/>
      <c r="E1301" s="32"/>
      <c r="F1301" s="32"/>
      <c r="G1301" s="32"/>
    </row>
    <row r="1302">
      <c r="A1302" s="31"/>
      <c r="B1302" s="31"/>
      <c r="C1302" s="31"/>
      <c r="D1302" s="31"/>
      <c r="E1302" s="32"/>
      <c r="F1302" s="32"/>
      <c r="G1302" s="32"/>
    </row>
    <row r="1303">
      <c r="A1303" s="31"/>
      <c r="B1303" s="31"/>
      <c r="C1303" s="31"/>
      <c r="D1303" s="31"/>
      <c r="E1303" s="32"/>
      <c r="F1303" s="32"/>
      <c r="G1303" s="32"/>
    </row>
    <row r="1304">
      <c r="A1304" s="31"/>
      <c r="B1304" s="31"/>
      <c r="C1304" s="31"/>
      <c r="D1304" s="31"/>
      <c r="E1304" s="32"/>
      <c r="F1304" s="32"/>
      <c r="G1304" s="32"/>
    </row>
    <row r="1305">
      <c r="A1305" s="31"/>
      <c r="B1305" s="31"/>
      <c r="C1305" s="31"/>
      <c r="D1305" s="31"/>
      <c r="E1305" s="32"/>
      <c r="F1305" s="32"/>
      <c r="G1305" s="32"/>
    </row>
    <row r="1306">
      <c r="A1306" s="31"/>
      <c r="B1306" s="31"/>
      <c r="C1306" s="31"/>
      <c r="D1306" s="31"/>
      <c r="E1306" s="32"/>
      <c r="F1306" s="32"/>
      <c r="G1306" s="32"/>
    </row>
    <row r="1307">
      <c r="A1307" s="31"/>
      <c r="B1307" s="31"/>
      <c r="C1307" s="31"/>
      <c r="D1307" s="31"/>
      <c r="E1307" s="32"/>
      <c r="F1307" s="32"/>
      <c r="G1307" s="32"/>
    </row>
    <row r="1308">
      <c r="A1308" s="31"/>
      <c r="B1308" s="31"/>
      <c r="C1308" s="31"/>
      <c r="D1308" s="31"/>
      <c r="E1308" s="32"/>
      <c r="F1308" s="32"/>
      <c r="G1308" s="32"/>
    </row>
    <row r="1309">
      <c r="A1309" s="31"/>
      <c r="B1309" s="31"/>
      <c r="C1309" s="31"/>
      <c r="D1309" s="31"/>
      <c r="E1309" s="32"/>
      <c r="F1309" s="32"/>
      <c r="G1309" s="32"/>
    </row>
    <row r="1310">
      <c r="A1310" s="31"/>
      <c r="B1310" s="31"/>
      <c r="C1310" s="31"/>
      <c r="D1310" s="31"/>
      <c r="E1310" s="32"/>
      <c r="F1310" s="32"/>
      <c r="G1310" s="32"/>
    </row>
    <row r="1311">
      <c r="A1311" s="31"/>
      <c r="B1311" s="31"/>
      <c r="C1311" s="31"/>
      <c r="D1311" s="31"/>
      <c r="E1311" s="32"/>
      <c r="F1311" s="32"/>
      <c r="G1311" s="32"/>
    </row>
    <row r="1312">
      <c r="A1312" s="31"/>
      <c r="B1312" s="31"/>
      <c r="C1312" s="31"/>
      <c r="D1312" s="31"/>
      <c r="E1312" s="32"/>
      <c r="F1312" s="32"/>
      <c r="G1312" s="32"/>
    </row>
    <row r="1313">
      <c r="A1313" s="31"/>
      <c r="B1313" s="31"/>
      <c r="C1313" s="31"/>
      <c r="D1313" s="31"/>
      <c r="E1313" s="32"/>
      <c r="F1313" s="32"/>
      <c r="G1313" s="32"/>
    </row>
    <row r="1314">
      <c r="A1314" s="31"/>
      <c r="B1314" s="31"/>
      <c r="C1314" s="31"/>
      <c r="D1314" s="31"/>
      <c r="E1314" s="32"/>
      <c r="F1314" s="32"/>
      <c r="G1314" s="32"/>
    </row>
    <row r="1315">
      <c r="A1315" s="31"/>
      <c r="B1315" s="31"/>
      <c r="C1315" s="31"/>
      <c r="D1315" s="31"/>
      <c r="E1315" s="32"/>
      <c r="F1315" s="32"/>
      <c r="G1315" s="32"/>
    </row>
    <row r="1316">
      <c r="A1316" s="31"/>
      <c r="B1316" s="31"/>
      <c r="C1316" s="31"/>
      <c r="D1316" s="31"/>
      <c r="E1316" s="32"/>
      <c r="F1316" s="32"/>
      <c r="G1316" s="32"/>
    </row>
    <row r="1317">
      <c r="A1317" s="31"/>
      <c r="B1317" s="31"/>
      <c r="C1317" s="31"/>
      <c r="D1317" s="31"/>
      <c r="E1317" s="32"/>
      <c r="F1317" s="32"/>
      <c r="G1317" s="32"/>
    </row>
    <row r="1318">
      <c r="A1318" s="31"/>
      <c r="B1318" s="31"/>
      <c r="C1318" s="31"/>
      <c r="D1318" s="31"/>
      <c r="E1318" s="32"/>
      <c r="F1318" s="32"/>
      <c r="G1318" s="32"/>
    </row>
    <row r="1319">
      <c r="A1319" s="31"/>
      <c r="B1319" s="31"/>
      <c r="C1319" s="31"/>
      <c r="D1319" s="31"/>
      <c r="E1319" s="32"/>
      <c r="F1319" s="32"/>
      <c r="G1319" s="32"/>
    </row>
    <row r="1320">
      <c r="A1320" s="31"/>
      <c r="B1320" s="31"/>
      <c r="C1320" s="31"/>
      <c r="D1320" s="31"/>
      <c r="E1320" s="32"/>
      <c r="F1320" s="32"/>
      <c r="G1320" s="32"/>
    </row>
    <row r="1321">
      <c r="A1321" s="31"/>
      <c r="B1321" s="31"/>
      <c r="C1321" s="31"/>
      <c r="D1321" s="31"/>
      <c r="E1321" s="32"/>
      <c r="F1321" s="32"/>
      <c r="G1321" s="32"/>
    </row>
    <row r="1322">
      <c r="A1322" s="31"/>
      <c r="B1322" s="31"/>
      <c r="C1322" s="31"/>
      <c r="D1322" s="31"/>
      <c r="E1322" s="32"/>
      <c r="F1322" s="32"/>
      <c r="G1322" s="32"/>
    </row>
    <row r="1323">
      <c r="A1323" s="31"/>
      <c r="B1323" s="31"/>
      <c r="C1323" s="31"/>
      <c r="D1323" s="31"/>
      <c r="E1323" s="32"/>
      <c r="F1323" s="32"/>
      <c r="G1323" s="32"/>
    </row>
    <row r="1324">
      <c r="A1324" s="31"/>
      <c r="B1324" s="31"/>
      <c r="C1324" s="31"/>
      <c r="D1324" s="31"/>
      <c r="E1324" s="32"/>
      <c r="F1324" s="32"/>
      <c r="G1324" s="32"/>
    </row>
    <row r="1325">
      <c r="A1325" s="31"/>
      <c r="B1325" s="31"/>
      <c r="C1325" s="31"/>
      <c r="D1325" s="31"/>
      <c r="E1325" s="32"/>
      <c r="F1325" s="32"/>
      <c r="G1325" s="32"/>
    </row>
    <row r="1326">
      <c r="A1326" s="31"/>
      <c r="B1326" s="31"/>
      <c r="C1326" s="31"/>
      <c r="D1326" s="31"/>
      <c r="E1326" s="32"/>
      <c r="F1326" s="32"/>
      <c r="G1326" s="32"/>
    </row>
    <row r="1327">
      <c r="A1327" s="31"/>
      <c r="B1327" s="31"/>
      <c r="C1327" s="31"/>
      <c r="D1327" s="31"/>
      <c r="E1327" s="32"/>
      <c r="F1327" s="32"/>
      <c r="G1327" s="32"/>
    </row>
    <row r="1328">
      <c r="A1328" s="31"/>
      <c r="B1328" s="31"/>
      <c r="C1328" s="31"/>
      <c r="D1328" s="31"/>
      <c r="E1328" s="32"/>
      <c r="F1328" s="32"/>
      <c r="G1328" s="32"/>
    </row>
    <row r="1329">
      <c r="A1329" s="31"/>
      <c r="B1329" s="31"/>
      <c r="C1329" s="31"/>
      <c r="D1329" s="31"/>
      <c r="E1329" s="32"/>
      <c r="F1329" s="32"/>
      <c r="G1329" s="32"/>
    </row>
    <row r="1330">
      <c r="A1330" s="31"/>
      <c r="B1330" s="31"/>
      <c r="C1330" s="31"/>
      <c r="D1330" s="31"/>
      <c r="E1330" s="32"/>
      <c r="F1330" s="32"/>
      <c r="G1330" s="32"/>
    </row>
    <row r="1331">
      <c r="A1331" s="31"/>
      <c r="B1331" s="31"/>
      <c r="C1331" s="31"/>
      <c r="D1331" s="31"/>
      <c r="E1331" s="32"/>
      <c r="F1331" s="32"/>
      <c r="G1331" s="32"/>
    </row>
    <row r="1332">
      <c r="A1332" s="31"/>
      <c r="B1332" s="31"/>
      <c r="C1332" s="31"/>
      <c r="D1332" s="31"/>
      <c r="E1332" s="32"/>
      <c r="F1332" s="32"/>
      <c r="G1332" s="32"/>
    </row>
    <row r="1333">
      <c r="A1333" s="31"/>
      <c r="B1333" s="31"/>
      <c r="C1333" s="31"/>
      <c r="D1333" s="31"/>
      <c r="E1333" s="32"/>
      <c r="F1333" s="32"/>
      <c r="G1333" s="32"/>
    </row>
    <row r="1334">
      <c r="A1334" s="31"/>
      <c r="B1334" s="31"/>
      <c r="C1334" s="31"/>
      <c r="D1334" s="31"/>
      <c r="E1334" s="32"/>
      <c r="F1334" s="32"/>
      <c r="G1334" s="32"/>
    </row>
    <row r="1335">
      <c r="A1335" s="31"/>
      <c r="B1335" s="31"/>
      <c r="C1335" s="31"/>
      <c r="D1335" s="31"/>
      <c r="E1335" s="32"/>
      <c r="F1335" s="32"/>
      <c r="G1335" s="32"/>
    </row>
    <row r="1336">
      <c r="A1336" s="31"/>
      <c r="B1336" s="31"/>
      <c r="C1336" s="31"/>
      <c r="D1336" s="31"/>
      <c r="E1336" s="32"/>
      <c r="F1336" s="32"/>
      <c r="G1336" s="32"/>
    </row>
    <row r="1337">
      <c r="A1337" s="31"/>
      <c r="B1337" s="31"/>
      <c r="C1337" s="31"/>
      <c r="D1337" s="31"/>
      <c r="E1337" s="32"/>
      <c r="F1337" s="32"/>
      <c r="G1337" s="32"/>
    </row>
    <row r="1338">
      <c r="A1338" s="31"/>
      <c r="B1338" s="31"/>
      <c r="C1338" s="31"/>
      <c r="D1338" s="31"/>
      <c r="E1338" s="32"/>
      <c r="F1338" s="32"/>
      <c r="G1338" s="32"/>
    </row>
    <row r="1339">
      <c r="A1339" s="31"/>
      <c r="B1339" s="31"/>
      <c r="C1339" s="31"/>
      <c r="D1339" s="31"/>
      <c r="E1339" s="32"/>
      <c r="F1339" s="32"/>
      <c r="G1339" s="32"/>
    </row>
    <row r="1340">
      <c r="A1340" s="31"/>
      <c r="B1340" s="31"/>
      <c r="C1340" s="31"/>
      <c r="D1340" s="31"/>
      <c r="E1340" s="32"/>
      <c r="F1340" s="32"/>
      <c r="G1340" s="32"/>
    </row>
    <row r="1341">
      <c r="A1341" s="31"/>
      <c r="B1341" s="31"/>
      <c r="C1341" s="31"/>
      <c r="D1341" s="31"/>
      <c r="E1341" s="32"/>
      <c r="F1341" s="32"/>
      <c r="G1341" s="32"/>
    </row>
    <row r="1342">
      <c r="A1342" s="31"/>
      <c r="B1342" s="31"/>
      <c r="C1342" s="31"/>
      <c r="D1342" s="31"/>
      <c r="E1342" s="32"/>
      <c r="F1342" s="32"/>
      <c r="G1342" s="32"/>
    </row>
    <row r="1343">
      <c r="A1343" s="31"/>
      <c r="B1343" s="31"/>
      <c r="C1343" s="31"/>
      <c r="D1343" s="31"/>
      <c r="E1343" s="32"/>
      <c r="F1343" s="32"/>
      <c r="G1343" s="32"/>
    </row>
    <row r="1344">
      <c r="A1344" s="31"/>
      <c r="B1344" s="31"/>
      <c r="C1344" s="31"/>
      <c r="D1344" s="31"/>
      <c r="E1344" s="32"/>
      <c r="F1344" s="32"/>
      <c r="G1344" s="32"/>
    </row>
    <row r="1345">
      <c r="A1345" s="31"/>
      <c r="B1345" s="31"/>
      <c r="C1345" s="31"/>
      <c r="D1345" s="31"/>
      <c r="E1345" s="32"/>
      <c r="F1345" s="32"/>
      <c r="G1345" s="32"/>
    </row>
    <row r="1346">
      <c r="A1346" s="31"/>
      <c r="B1346" s="31"/>
      <c r="C1346" s="31"/>
      <c r="D1346" s="31"/>
      <c r="E1346" s="32"/>
      <c r="F1346" s="32"/>
      <c r="G1346" s="32"/>
    </row>
    <row r="1347">
      <c r="A1347" s="31"/>
      <c r="B1347" s="31"/>
      <c r="C1347" s="31"/>
      <c r="D1347" s="31"/>
      <c r="E1347" s="32"/>
      <c r="F1347" s="32"/>
      <c r="G1347" s="32"/>
    </row>
    <row r="1348">
      <c r="A1348" s="31"/>
      <c r="B1348" s="31"/>
      <c r="C1348" s="31"/>
      <c r="D1348" s="31"/>
      <c r="E1348" s="32"/>
      <c r="F1348" s="32"/>
      <c r="G1348" s="32"/>
    </row>
    <row r="1349">
      <c r="A1349" s="31"/>
      <c r="B1349" s="31"/>
      <c r="C1349" s="31"/>
      <c r="D1349" s="31"/>
      <c r="E1349" s="32"/>
      <c r="F1349" s="32"/>
      <c r="G1349" s="32"/>
    </row>
    <row r="1350">
      <c r="A1350" s="31"/>
      <c r="B1350" s="31"/>
      <c r="C1350" s="31"/>
      <c r="D1350" s="31"/>
      <c r="E1350" s="32"/>
      <c r="F1350" s="32"/>
      <c r="G1350" s="32"/>
    </row>
    <row r="1351">
      <c r="A1351" s="31"/>
      <c r="B1351" s="31"/>
      <c r="C1351" s="31"/>
      <c r="D1351" s="31"/>
      <c r="E1351" s="32"/>
      <c r="F1351" s="32"/>
      <c r="G1351" s="32"/>
    </row>
    <row r="1352">
      <c r="A1352" s="31"/>
      <c r="B1352" s="31"/>
      <c r="C1352" s="31"/>
      <c r="D1352" s="31"/>
      <c r="E1352" s="32"/>
      <c r="F1352" s="32"/>
      <c r="G1352" s="32"/>
    </row>
    <row r="1353">
      <c r="A1353" s="31"/>
      <c r="B1353" s="31"/>
      <c r="C1353" s="31"/>
      <c r="D1353" s="31"/>
      <c r="E1353" s="32"/>
      <c r="F1353" s="32"/>
      <c r="G1353" s="32"/>
    </row>
    <row r="1354">
      <c r="A1354" s="31"/>
      <c r="B1354" s="31"/>
      <c r="C1354" s="31"/>
      <c r="D1354" s="31"/>
      <c r="E1354" s="32"/>
      <c r="F1354" s="32"/>
      <c r="G1354" s="32"/>
    </row>
    <row r="1355">
      <c r="A1355" s="31"/>
      <c r="B1355" s="31"/>
      <c r="C1355" s="31"/>
      <c r="D1355" s="31"/>
      <c r="E1355" s="32"/>
      <c r="F1355" s="32"/>
      <c r="G1355" s="32"/>
    </row>
    <row r="1356">
      <c r="A1356" s="31"/>
      <c r="B1356" s="31"/>
      <c r="C1356" s="31"/>
      <c r="D1356" s="31"/>
      <c r="E1356" s="32"/>
      <c r="F1356" s="32"/>
      <c r="G1356" s="32"/>
    </row>
    <row r="1357">
      <c r="A1357" s="31"/>
      <c r="B1357" s="31"/>
      <c r="C1357" s="31"/>
      <c r="D1357" s="31"/>
      <c r="E1357" s="32"/>
      <c r="F1357" s="32"/>
      <c r="G1357" s="32"/>
    </row>
    <row r="1358">
      <c r="A1358" s="31"/>
      <c r="B1358" s="31"/>
      <c r="C1358" s="31"/>
      <c r="D1358" s="31"/>
      <c r="E1358" s="32"/>
      <c r="F1358" s="32"/>
      <c r="G1358" s="32"/>
    </row>
    <row r="1359">
      <c r="A1359" s="31"/>
      <c r="B1359" s="31"/>
      <c r="C1359" s="31"/>
      <c r="D1359" s="31"/>
      <c r="E1359" s="32"/>
      <c r="F1359" s="32"/>
      <c r="G1359" s="32"/>
    </row>
    <row r="1360">
      <c r="A1360" s="31"/>
      <c r="B1360" s="31"/>
      <c r="C1360" s="31"/>
      <c r="D1360" s="31"/>
      <c r="E1360" s="32"/>
      <c r="F1360" s="32"/>
      <c r="G1360" s="32"/>
    </row>
    <row r="1361">
      <c r="A1361" s="31"/>
      <c r="B1361" s="31"/>
      <c r="C1361" s="31"/>
      <c r="D1361" s="31"/>
      <c r="E1361" s="32"/>
      <c r="F1361" s="32"/>
      <c r="G1361" s="32"/>
    </row>
    <row r="1362">
      <c r="A1362" s="31"/>
      <c r="B1362" s="31"/>
      <c r="C1362" s="31"/>
      <c r="D1362" s="31"/>
      <c r="E1362" s="32"/>
      <c r="F1362" s="32"/>
      <c r="G1362" s="32"/>
    </row>
    <row r="1363">
      <c r="A1363" s="31"/>
      <c r="B1363" s="31"/>
      <c r="C1363" s="31"/>
      <c r="D1363" s="31"/>
      <c r="E1363" s="32"/>
      <c r="F1363" s="32"/>
      <c r="G1363" s="32"/>
    </row>
    <row r="1364">
      <c r="A1364" s="31"/>
      <c r="B1364" s="31"/>
      <c r="C1364" s="31"/>
      <c r="D1364" s="31"/>
      <c r="E1364" s="32"/>
      <c r="F1364" s="32"/>
      <c r="G1364" s="32"/>
    </row>
    <row r="1365">
      <c r="A1365" s="31"/>
      <c r="B1365" s="31"/>
      <c r="C1365" s="31"/>
      <c r="D1365" s="31"/>
      <c r="E1365" s="32"/>
      <c r="F1365" s="32"/>
      <c r="G1365" s="32"/>
    </row>
    <row r="1366">
      <c r="A1366" s="31"/>
      <c r="B1366" s="31"/>
      <c r="C1366" s="31"/>
      <c r="D1366" s="31"/>
      <c r="E1366" s="32"/>
      <c r="F1366" s="32"/>
      <c r="G1366" s="32"/>
    </row>
    <row r="1367">
      <c r="A1367" s="31"/>
      <c r="B1367" s="31"/>
      <c r="C1367" s="31"/>
      <c r="D1367" s="31"/>
      <c r="E1367" s="32"/>
      <c r="F1367" s="32"/>
      <c r="G1367" s="32"/>
    </row>
    <row r="1368">
      <c r="A1368" s="31"/>
      <c r="B1368" s="31"/>
      <c r="C1368" s="31"/>
      <c r="D1368" s="31"/>
      <c r="E1368" s="32"/>
      <c r="F1368" s="32"/>
      <c r="G1368" s="32"/>
    </row>
    <row r="1369">
      <c r="A1369" s="31"/>
      <c r="B1369" s="31"/>
      <c r="C1369" s="31"/>
      <c r="D1369" s="31"/>
      <c r="E1369" s="32"/>
      <c r="F1369" s="32"/>
      <c r="G1369" s="32"/>
    </row>
    <row r="1370">
      <c r="A1370" s="31"/>
      <c r="B1370" s="31"/>
      <c r="C1370" s="31"/>
      <c r="D1370" s="31"/>
      <c r="E1370" s="32"/>
      <c r="F1370" s="32"/>
      <c r="G1370" s="32"/>
    </row>
    <row r="1371">
      <c r="A1371" s="31"/>
      <c r="B1371" s="31"/>
      <c r="C1371" s="31"/>
      <c r="D1371" s="31"/>
      <c r="E1371" s="32"/>
      <c r="F1371" s="32"/>
      <c r="G1371" s="32"/>
    </row>
    <row r="1372">
      <c r="A1372" s="31"/>
      <c r="B1372" s="31"/>
      <c r="C1372" s="31"/>
      <c r="D1372" s="31"/>
      <c r="E1372" s="32"/>
      <c r="F1372" s="32"/>
      <c r="G1372" s="32"/>
    </row>
    <row r="1373">
      <c r="A1373" s="31"/>
      <c r="B1373" s="31"/>
      <c r="C1373" s="31"/>
      <c r="D1373" s="31"/>
      <c r="E1373" s="32"/>
      <c r="F1373" s="32"/>
      <c r="G1373" s="32"/>
    </row>
    <row r="1374">
      <c r="A1374" s="31"/>
      <c r="B1374" s="31"/>
      <c r="C1374" s="31"/>
      <c r="D1374" s="31"/>
      <c r="E1374" s="32"/>
      <c r="F1374" s="32"/>
      <c r="G1374" s="32"/>
    </row>
    <row r="1375">
      <c r="A1375" s="31"/>
      <c r="B1375" s="31"/>
      <c r="C1375" s="31"/>
      <c r="D1375" s="31"/>
      <c r="E1375" s="32"/>
      <c r="F1375" s="32"/>
      <c r="G1375" s="32"/>
    </row>
    <row r="1376">
      <c r="A1376" s="31"/>
      <c r="B1376" s="31"/>
      <c r="C1376" s="31"/>
      <c r="D1376" s="31"/>
      <c r="E1376" s="32"/>
      <c r="F1376" s="32"/>
      <c r="G1376" s="32"/>
    </row>
    <row r="1377">
      <c r="A1377" s="31"/>
      <c r="B1377" s="31"/>
      <c r="C1377" s="31"/>
      <c r="D1377" s="31"/>
      <c r="E1377" s="32"/>
      <c r="F1377" s="32"/>
      <c r="G1377" s="32"/>
    </row>
    <row r="1378">
      <c r="A1378" s="31"/>
      <c r="B1378" s="31"/>
      <c r="C1378" s="31"/>
      <c r="D1378" s="31"/>
      <c r="E1378" s="32"/>
      <c r="F1378" s="32"/>
      <c r="G1378" s="32"/>
    </row>
    <row r="1379">
      <c r="A1379" s="31"/>
      <c r="B1379" s="31"/>
      <c r="C1379" s="31"/>
      <c r="D1379" s="31"/>
      <c r="E1379" s="32"/>
      <c r="F1379" s="32"/>
      <c r="G1379" s="32"/>
    </row>
    <row r="1380">
      <c r="A1380" s="31"/>
      <c r="B1380" s="31"/>
      <c r="C1380" s="31"/>
      <c r="D1380" s="31"/>
      <c r="E1380" s="32"/>
      <c r="F1380" s="32"/>
      <c r="G1380" s="32"/>
    </row>
    <row r="1381">
      <c r="A1381" s="31"/>
      <c r="B1381" s="31"/>
      <c r="C1381" s="31"/>
      <c r="D1381" s="31"/>
      <c r="E1381" s="32"/>
      <c r="F1381" s="32"/>
      <c r="G1381" s="32"/>
    </row>
    <row r="1382">
      <c r="A1382" s="31"/>
      <c r="B1382" s="31"/>
      <c r="C1382" s="31"/>
      <c r="D1382" s="31"/>
      <c r="E1382" s="32"/>
      <c r="F1382" s="32"/>
      <c r="G1382" s="32"/>
    </row>
    <row r="1383">
      <c r="A1383" s="31"/>
      <c r="B1383" s="31"/>
      <c r="C1383" s="31"/>
      <c r="D1383" s="31"/>
      <c r="E1383" s="32"/>
      <c r="F1383" s="32"/>
      <c r="G1383" s="32"/>
    </row>
    <row r="1384">
      <c r="A1384" s="31"/>
      <c r="B1384" s="31"/>
      <c r="C1384" s="31"/>
      <c r="D1384" s="31"/>
      <c r="E1384" s="32"/>
      <c r="F1384" s="32"/>
      <c r="G1384" s="32"/>
    </row>
    <row r="1385">
      <c r="A1385" s="31"/>
      <c r="B1385" s="31"/>
      <c r="C1385" s="31"/>
      <c r="D1385" s="31"/>
      <c r="E1385" s="32"/>
      <c r="F1385" s="32"/>
      <c r="G1385" s="32"/>
    </row>
    <row r="1386">
      <c r="A1386" s="31"/>
      <c r="B1386" s="31"/>
      <c r="C1386" s="31"/>
      <c r="D1386" s="31"/>
      <c r="E1386" s="32"/>
      <c r="F1386" s="32"/>
      <c r="G1386" s="32"/>
    </row>
    <row r="1387">
      <c r="A1387" s="31"/>
      <c r="B1387" s="31"/>
      <c r="C1387" s="31"/>
      <c r="D1387" s="31"/>
      <c r="E1387" s="32"/>
      <c r="F1387" s="32"/>
      <c r="G1387" s="32"/>
    </row>
    <row r="1388">
      <c r="A1388" s="31"/>
      <c r="B1388" s="31"/>
      <c r="C1388" s="31"/>
      <c r="D1388" s="31"/>
      <c r="E1388" s="32"/>
      <c r="F1388" s="32"/>
      <c r="G1388" s="32"/>
    </row>
    <row r="1389">
      <c r="A1389" s="31"/>
      <c r="B1389" s="31"/>
      <c r="C1389" s="31"/>
      <c r="D1389" s="31"/>
      <c r="E1389" s="32"/>
      <c r="F1389" s="32"/>
      <c r="G1389" s="32"/>
    </row>
    <row r="1390">
      <c r="A1390" s="31"/>
      <c r="B1390" s="31"/>
      <c r="C1390" s="31"/>
      <c r="D1390" s="31"/>
      <c r="E1390" s="32"/>
      <c r="F1390" s="32"/>
      <c r="G1390" s="32"/>
    </row>
    <row r="1391">
      <c r="A1391" s="31"/>
      <c r="B1391" s="31"/>
      <c r="C1391" s="31"/>
      <c r="D1391" s="31"/>
      <c r="E1391" s="32"/>
      <c r="F1391" s="32"/>
      <c r="G1391" s="32"/>
    </row>
    <row r="1392">
      <c r="A1392" s="31"/>
      <c r="B1392" s="31"/>
      <c r="C1392" s="31"/>
      <c r="D1392" s="31"/>
      <c r="E1392" s="32"/>
      <c r="F1392" s="32"/>
      <c r="G1392" s="32"/>
    </row>
    <row r="1393">
      <c r="A1393" s="31"/>
      <c r="B1393" s="31"/>
      <c r="C1393" s="31"/>
      <c r="D1393" s="31"/>
      <c r="E1393" s="32"/>
      <c r="F1393" s="32"/>
      <c r="G1393" s="32"/>
    </row>
    <row r="1394">
      <c r="A1394" s="31"/>
      <c r="B1394" s="31"/>
      <c r="C1394" s="31"/>
      <c r="D1394" s="31"/>
      <c r="E1394" s="32"/>
      <c r="F1394" s="32"/>
      <c r="G1394" s="32"/>
    </row>
    <row r="1395">
      <c r="A1395" s="31"/>
      <c r="B1395" s="31"/>
      <c r="C1395" s="31"/>
      <c r="D1395" s="31"/>
      <c r="E1395" s="32"/>
      <c r="F1395" s="32"/>
      <c r="G1395" s="32"/>
    </row>
    <row r="1396">
      <c r="A1396" s="31"/>
      <c r="B1396" s="31"/>
      <c r="C1396" s="31"/>
      <c r="D1396" s="31"/>
      <c r="E1396" s="32"/>
      <c r="F1396" s="32"/>
      <c r="G1396" s="32"/>
    </row>
    <row r="1397">
      <c r="A1397" s="31"/>
      <c r="B1397" s="31"/>
      <c r="C1397" s="31"/>
      <c r="D1397" s="31"/>
      <c r="E1397" s="32"/>
      <c r="F1397" s="32"/>
      <c r="G1397" s="32"/>
    </row>
    <row r="1398">
      <c r="A1398" s="31"/>
      <c r="B1398" s="31"/>
      <c r="C1398" s="31"/>
      <c r="D1398" s="31"/>
      <c r="E1398" s="32"/>
      <c r="F1398" s="32"/>
      <c r="G1398" s="32"/>
    </row>
    <row r="1399">
      <c r="A1399" s="31"/>
      <c r="B1399" s="31"/>
      <c r="C1399" s="31"/>
      <c r="D1399" s="31"/>
      <c r="E1399" s="32"/>
      <c r="F1399" s="32"/>
      <c r="G1399" s="32"/>
    </row>
    <row r="1400">
      <c r="A1400" s="31"/>
      <c r="B1400" s="31"/>
      <c r="C1400" s="31"/>
      <c r="D1400" s="31"/>
      <c r="E1400" s="32"/>
      <c r="F1400" s="32"/>
      <c r="G1400" s="32"/>
    </row>
    <row r="1401">
      <c r="A1401" s="31"/>
      <c r="B1401" s="31"/>
      <c r="C1401" s="31"/>
      <c r="D1401" s="31"/>
      <c r="E1401" s="32"/>
      <c r="F1401" s="32"/>
      <c r="G1401" s="32"/>
    </row>
    <row r="1402">
      <c r="A1402" s="31"/>
      <c r="B1402" s="31"/>
      <c r="C1402" s="31"/>
      <c r="D1402" s="31"/>
      <c r="E1402" s="32"/>
      <c r="F1402" s="32"/>
      <c r="G1402" s="32"/>
    </row>
    <row r="1403">
      <c r="A1403" s="31"/>
      <c r="B1403" s="31"/>
      <c r="C1403" s="31"/>
      <c r="D1403" s="31"/>
      <c r="E1403" s="32"/>
      <c r="F1403" s="32"/>
      <c r="G1403" s="32"/>
    </row>
    <row r="1404">
      <c r="A1404" s="31"/>
      <c r="B1404" s="31"/>
      <c r="C1404" s="31"/>
      <c r="D1404" s="31"/>
      <c r="E1404" s="32"/>
      <c r="F1404" s="32"/>
      <c r="G1404" s="32"/>
    </row>
    <row r="1405">
      <c r="A1405" s="31"/>
      <c r="B1405" s="31"/>
      <c r="C1405" s="31"/>
      <c r="D1405" s="31"/>
      <c r="E1405" s="32"/>
      <c r="F1405" s="32"/>
      <c r="G1405" s="32"/>
    </row>
    <row r="1406">
      <c r="A1406" s="31"/>
      <c r="B1406" s="31"/>
      <c r="C1406" s="31"/>
      <c r="D1406" s="31"/>
      <c r="E1406" s="32"/>
      <c r="F1406" s="32"/>
      <c r="G1406" s="32"/>
    </row>
    <row r="1407">
      <c r="A1407" s="31"/>
      <c r="B1407" s="31"/>
      <c r="C1407" s="31"/>
      <c r="D1407" s="31"/>
      <c r="E1407" s="32"/>
      <c r="F1407" s="32"/>
      <c r="G1407" s="32"/>
    </row>
    <row r="1408">
      <c r="A1408" s="31"/>
      <c r="B1408" s="31"/>
      <c r="C1408" s="31"/>
      <c r="D1408" s="31"/>
      <c r="E1408" s="32"/>
      <c r="F1408" s="32"/>
      <c r="G1408" s="32"/>
    </row>
    <row r="1409">
      <c r="A1409" s="31"/>
      <c r="B1409" s="31"/>
      <c r="C1409" s="31"/>
      <c r="D1409" s="31"/>
      <c r="E1409" s="32"/>
      <c r="F1409" s="32"/>
      <c r="G1409" s="32"/>
    </row>
    <row r="1410">
      <c r="A1410" s="31"/>
      <c r="B1410" s="31"/>
      <c r="C1410" s="31"/>
      <c r="D1410" s="31"/>
      <c r="E1410" s="32"/>
      <c r="F1410" s="32"/>
      <c r="G1410" s="32"/>
    </row>
    <row r="1411">
      <c r="A1411" s="31"/>
      <c r="B1411" s="31"/>
      <c r="C1411" s="31"/>
      <c r="D1411" s="31"/>
      <c r="E1411" s="32"/>
      <c r="F1411" s="32"/>
      <c r="G1411" s="32"/>
    </row>
    <row r="1412">
      <c r="A1412" s="31"/>
      <c r="B1412" s="31"/>
      <c r="C1412" s="31"/>
      <c r="D1412" s="31"/>
      <c r="E1412" s="32"/>
      <c r="F1412" s="32"/>
      <c r="G1412" s="32"/>
    </row>
    <row r="1413">
      <c r="A1413" s="31"/>
      <c r="B1413" s="31"/>
      <c r="C1413" s="31"/>
      <c r="D1413" s="31"/>
      <c r="E1413" s="32"/>
      <c r="F1413" s="32"/>
      <c r="G1413" s="32"/>
    </row>
    <row r="1414">
      <c r="A1414" s="31"/>
      <c r="B1414" s="31"/>
      <c r="C1414" s="31"/>
      <c r="D1414" s="31"/>
      <c r="E1414" s="32"/>
      <c r="F1414" s="32"/>
      <c r="G1414" s="32"/>
    </row>
    <row r="1415">
      <c r="A1415" s="31"/>
      <c r="B1415" s="31"/>
      <c r="C1415" s="31"/>
      <c r="D1415" s="31"/>
      <c r="E1415" s="32"/>
      <c r="F1415" s="32"/>
      <c r="G1415" s="32"/>
    </row>
    <row r="1416">
      <c r="A1416" s="31"/>
      <c r="B1416" s="31"/>
      <c r="C1416" s="31"/>
      <c r="D1416" s="31"/>
      <c r="E1416" s="32"/>
      <c r="F1416" s="32"/>
      <c r="G1416" s="32"/>
    </row>
    <row r="1417">
      <c r="A1417" s="31"/>
      <c r="B1417" s="31"/>
      <c r="C1417" s="31"/>
      <c r="D1417" s="31"/>
      <c r="E1417" s="32"/>
      <c r="F1417" s="32"/>
      <c r="G1417" s="32"/>
    </row>
    <row r="1418">
      <c r="A1418" s="31"/>
      <c r="B1418" s="31"/>
      <c r="C1418" s="31"/>
      <c r="D1418" s="31"/>
      <c r="E1418" s="32"/>
      <c r="F1418" s="32"/>
      <c r="G1418" s="32"/>
    </row>
    <row r="1419">
      <c r="A1419" s="31"/>
      <c r="B1419" s="31"/>
      <c r="C1419" s="31"/>
      <c r="D1419" s="31"/>
      <c r="E1419" s="32"/>
      <c r="F1419" s="32"/>
      <c r="G1419" s="32"/>
    </row>
    <row r="1420">
      <c r="A1420" s="31"/>
      <c r="B1420" s="31"/>
      <c r="C1420" s="31"/>
      <c r="D1420" s="31"/>
      <c r="E1420" s="32"/>
      <c r="F1420" s="32"/>
      <c r="G1420" s="32"/>
    </row>
    <row r="1421">
      <c r="A1421" s="31"/>
      <c r="B1421" s="31"/>
      <c r="C1421" s="31"/>
      <c r="D1421" s="31"/>
      <c r="E1421" s="32"/>
      <c r="F1421" s="32"/>
      <c r="G1421" s="32"/>
    </row>
    <row r="1422">
      <c r="A1422" s="31"/>
      <c r="B1422" s="31"/>
      <c r="C1422" s="31"/>
      <c r="D1422" s="31"/>
      <c r="E1422" s="32"/>
      <c r="F1422" s="32"/>
      <c r="G1422" s="32"/>
    </row>
    <row r="1423">
      <c r="A1423" s="31"/>
      <c r="B1423" s="31"/>
      <c r="C1423" s="31"/>
      <c r="D1423" s="31"/>
      <c r="E1423" s="32"/>
      <c r="F1423" s="32"/>
      <c r="G1423" s="32"/>
    </row>
    <row r="1424">
      <c r="A1424" s="31"/>
      <c r="B1424" s="31"/>
      <c r="C1424" s="31"/>
      <c r="D1424" s="31"/>
      <c r="E1424" s="32"/>
      <c r="F1424" s="32"/>
      <c r="G1424" s="32"/>
    </row>
    <row r="1425">
      <c r="A1425" s="31"/>
      <c r="B1425" s="31"/>
      <c r="C1425" s="31"/>
      <c r="D1425" s="31"/>
      <c r="E1425" s="32"/>
      <c r="F1425" s="32"/>
      <c r="G1425" s="32"/>
    </row>
    <row r="1426">
      <c r="A1426" s="31"/>
      <c r="B1426" s="31"/>
      <c r="C1426" s="31"/>
      <c r="D1426" s="31"/>
      <c r="E1426" s="32"/>
      <c r="F1426" s="32"/>
      <c r="G1426" s="32"/>
    </row>
    <row r="1427">
      <c r="A1427" s="31"/>
      <c r="B1427" s="31"/>
      <c r="C1427" s="31"/>
      <c r="D1427" s="31"/>
      <c r="E1427" s="32"/>
      <c r="F1427" s="32"/>
      <c r="G1427" s="32"/>
    </row>
    <row r="1428">
      <c r="A1428" s="31"/>
      <c r="B1428" s="31"/>
      <c r="C1428" s="31"/>
      <c r="D1428" s="31"/>
      <c r="E1428" s="32"/>
      <c r="F1428" s="32"/>
      <c r="G1428" s="32"/>
    </row>
    <row r="1429">
      <c r="A1429" s="31"/>
      <c r="B1429" s="31"/>
      <c r="C1429" s="31"/>
      <c r="D1429" s="31"/>
      <c r="E1429" s="32"/>
      <c r="F1429" s="32"/>
      <c r="G1429" s="32"/>
    </row>
    <row r="1430">
      <c r="A1430" s="31"/>
      <c r="B1430" s="31"/>
      <c r="C1430" s="31"/>
      <c r="D1430" s="31"/>
      <c r="E1430" s="32"/>
      <c r="F1430" s="32"/>
      <c r="G1430" s="32"/>
    </row>
    <row r="1431">
      <c r="A1431" s="31"/>
      <c r="B1431" s="31"/>
      <c r="C1431" s="31"/>
      <c r="D1431" s="31"/>
      <c r="E1431" s="32"/>
      <c r="F1431" s="32"/>
      <c r="G1431" s="32"/>
    </row>
    <row r="1432">
      <c r="A1432" s="31"/>
      <c r="B1432" s="31"/>
      <c r="C1432" s="31"/>
      <c r="D1432" s="31"/>
      <c r="E1432" s="32"/>
      <c r="F1432" s="32"/>
      <c r="G1432" s="32"/>
    </row>
    <row r="1433">
      <c r="A1433" s="31"/>
      <c r="B1433" s="31"/>
      <c r="C1433" s="31"/>
      <c r="D1433" s="31"/>
      <c r="E1433" s="32"/>
      <c r="F1433" s="32"/>
      <c r="G1433" s="32"/>
    </row>
    <row r="1434">
      <c r="A1434" s="31"/>
      <c r="B1434" s="31"/>
      <c r="C1434" s="31"/>
      <c r="D1434" s="31"/>
      <c r="E1434" s="32"/>
      <c r="F1434" s="32"/>
      <c r="G1434" s="32"/>
    </row>
    <row r="1435">
      <c r="A1435" s="31"/>
      <c r="B1435" s="31"/>
      <c r="C1435" s="31"/>
      <c r="D1435" s="31"/>
      <c r="E1435" s="32"/>
      <c r="F1435" s="32"/>
      <c r="G1435" s="32"/>
    </row>
    <row r="1436">
      <c r="A1436" s="31"/>
      <c r="B1436" s="31"/>
      <c r="C1436" s="31"/>
      <c r="D1436" s="31"/>
      <c r="E1436" s="32"/>
      <c r="F1436" s="32"/>
      <c r="G1436" s="32"/>
    </row>
    <row r="1437">
      <c r="A1437" s="31"/>
      <c r="B1437" s="31"/>
      <c r="C1437" s="31"/>
      <c r="D1437" s="31"/>
      <c r="E1437" s="32"/>
      <c r="F1437" s="32"/>
      <c r="G1437" s="32"/>
    </row>
    <row r="1438">
      <c r="A1438" s="31"/>
      <c r="B1438" s="31"/>
      <c r="C1438" s="31"/>
      <c r="D1438" s="31"/>
      <c r="E1438" s="32"/>
      <c r="F1438" s="32"/>
      <c r="G1438" s="32"/>
    </row>
    <row r="1439">
      <c r="A1439" s="31"/>
      <c r="B1439" s="31"/>
      <c r="C1439" s="31"/>
      <c r="D1439" s="31"/>
      <c r="E1439" s="32"/>
      <c r="F1439" s="32"/>
      <c r="G1439" s="32"/>
    </row>
    <row r="1440">
      <c r="A1440" s="31"/>
      <c r="B1440" s="31"/>
      <c r="C1440" s="31"/>
      <c r="D1440" s="31"/>
      <c r="E1440" s="32"/>
      <c r="F1440" s="32"/>
      <c r="G1440" s="32"/>
    </row>
    <row r="1441">
      <c r="A1441" s="31"/>
      <c r="B1441" s="31"/>
      <c r="C1441" s="31"/>
      <c r="D1441" s="31"/>
      <c r="E1441" s="32"/>
      <c r="F1441" s="32"/>
      <c r="G1441" s="32"/>
    </row>
    <row r="1442">
      <c r="A1442" s="31"/>
      <c r="B1442" s="31"/>
      <c r="C1442" s="31"/>
      <c r="D1442" s="31"/>
      <c r="E1442" s="32"/>
      <c r="F1442" s="32"/>
      <c r="G1442" s="32"/>
    </row>
    <row r="1443">
      <c r="A1443" s="31"/>
      <c r="B1443" s="31"/>
      <c r="C1443" s="31"/>
      <c r="D1443" s="31"/>
      <c r="E1443" s="32"/>
      <c r="F1443" s="32"/>
      <c r="G1443" s="32"/>
    </row>
    <row r="1444">
      <c r="A1444" s="31"/>
      <c r="B1444" s="31"/>
      <c r="C1444" s="31"/>
      <c r="D1444" s="31"/>
      <c r="E1444" s="32"/>
      <c r="F1444" s="32"/>
      <c r="G1444" s="32"/>
    </row>
    <row r="1445">
      <c r="A1445" s="31"/>
      <c r="B1445" s="31"/>
      <c r="C1445" s="31"/>
      <c r="D1445" s="31"/>
      <c r="E1445" s="32"/>
      <c r="F1445" s="32"/>
      <c r="G1445" s="32"/>
    </row>
    <row r="1446">
      <c r="A1446" s="31"/>
      <c r="B1446" s="31"/>
      <c r="C1446" s="31"/>
      <c r="D1446" s="31"/>
      <c r="E1446" s="32"/>
      <c r="F1446" s="32"/>
      <c r="G1446" s="32"/>
    </row>
    <row r="1447">
      <c r="A1447" s="31"/>
      <c r="B1447" s="31"/>
      <c r="C1447" s="31"/>
      <c r="D1447" s="31"/>
      <c r="E1447" s="32"/>
      <c r="F1447" s="32"/>
      <c r="G1447" s="32"/>
    </row>
    <row r="1448">
      <c r="A1448" s="31"/>
      <c r="B1448" s="31"/>
      <c r="C1448" s="31"/>
      <c r="D1448" s="31"/>
      <c r="E1448" s="32"/>
      <c r="F1448" s="32"/>
      <c r="G1448" s="32"/>
    </row>
    <row r="1449">
      <c r="A1449" s="31"/>
      <c r="B1449" s="31"/>
      <c r="C1449" s="31"/>
      <c r="D1449" s="31"/>
      <c r="E1449" s="32"/>
      <c r="F1449" s="32"/>
      <c r="G1449" s="32"/>
    </row>
    <row r="1450">
      <c r="A1450" s="31"/>
      <c r="B1450" s="31"/>
      <c r="C1450" s="31"/>
      <c r="D1450" s="31"/>
      <c r="E1450" s="32"/>
      <c r="F1450" s="32"/>
      <c r="G1450" s="32"/>
    </row>
    <row r="1451">
      <c r="A1451" s="31"/>
      <c r="B1451" s="31"/>
      <c r="C1451" s="31"/>
      <c r="D1451" s="31"/>
      <c r="E1451" s="32"/>
      <c r="F1451" s="32"/>
      <c r="G1451" s="32"/>
    </row>
    <row r="1452">
      <c r="A1452" s="31"/>
      <c r="B1452" s="31"/>
      <c r="C1452" s="31"/>
      <c r="D1452" s="31"/>
      <c r="E1452" s="32"/>
      <c r="F1452" s="32"/>
      <c r="G1452" s="32"/>
    </row>
    <row r="1453">
      <c r="A1453" s="31"/>
      <c r="B1453" s="31"/>
      <c r="C1453" s="31"/>
      <c r="D1453" s="31"/>
      <c r="E1453" s="32"/>
      <c r="F1453" s="32"/>
      <c r="G1453" s="32"/>
    </row>
    <row r="1454">
      <c r="A1454" s="31"/>
      <c r="B1454" s="31"/>
      <c r="C1454" s="31"/>
      <c r="D1454" s="31"/>
      <c r="E1454" s="32"/>
      <c r="F1454" s="32"/>
      <c r="G1454" s="32"/>
    </row>
    <row r="1455">
      <c r="A1455" s="31"/>
      <c r="B1455" s="31"/>
      <c r="C1455" s="31"/>
      <c r="D1455" s="31"/>
      <c r="E1455" s="32"/>
      <c r="F1455" s="32"/>
      <c r="G1455" s="32"/>
    </row>
    <row r="1456">
      <c r="A1456" s="31"/>
      <c r="B1456" s="31"/>
      <c r="C1456" s="31"/>
      <c r="D1456" s="31"/>
      <c r="E1456" s="32"/>
      <c r="F1456" s="32"/>
      <c r="G1456" s="32"/>
    </row>
    <row r="1457">
      <c r="A1457" s="31"/>
      <c r="B1457" s="31"/>
      <c r="C1457" s="31"/>
      <c r="D1457" s="31"/>
      <c r="E1457" s="32"/>
      <c r="F1457" s="32"/>
      <c r="G1457" s="32"/>
    </row>
    <row r="1458">
      <c r="A1458" s="31"/>
      <c r="B1458" s="31"/>
      <c r="C1458" s="31"/>
      <c r="D1458" s="31"/>
      <c r="E1458" s="32"/>
      <c r="F1458" s="32"/>
      <c r="G1458" s="32"/>
    </row>
    <row r="1459">
      <c r="A1459" s="31"/>
      <c r="B1459" s="31"/>
      <c r="C1459" s="31"/>
      <c r="D1459" s="31"/>
      <c r="E1459" s="32"/>
      <c r="F1459" s="32"/>
      <c r="G1459" s="32"/>
    </row>
    <row r="1460">
      <c r="A1460" s="31"/>
      <c r="B1460" s="31"/>
      <c r="C1460" s="31"/>
      <c r="D1460" s="31"/>
      <c r="E1460" s="32"/>
      <c r="F1460" s="32"/>
      <c r="G1460" s="32"/>
    </row>
    <row r="1461">
      <c r="A1461" s="31"/>
      <c r="B1461" s="31"/>
      <c r="C1461" s="31"/>
      <c r="D1461" s="31"/>
      <c r="E1461" s="32"/>
      <c r="F1461" s="32"/>
      <c r="G1461" s="32"/>
    </row>
    <row r="1462">
      <c r="A1462" s="31"/>
      <c r="B1462" s="31"/>
      <c r="C1462" s="31"/>
      <c r="D1462" s="31"/>
      <c r="E1462" s="32"/>
      <c r="F1462" s="32"/>
      <c r="G1462" s="32"/>
    </row>
    <row r="1463">
      <c r="A1463" s="31"/>
      <c r="B1463" s="31"/>
      <c r="C1463" s="31"/>
      <c r="D1463" s="31"/>
      <c r="E1463" s="32"/>
      <c r="F1463" s="32"/>
      <c r="G1463" s="32"/>
    </row>
    <row r="1464">
      <c r="A1464" s="31"/>
      <c r="B1464" s="31"/>
      <c r="C1464" s="31"/>
      <c r="D1464" s="31"/>
      <c r="E1464" s="32"/>
      <c r="F1464" s="32"/>
      <c r="G1464" s="32"/>
    </row>
    <row r="1465">
      <c r="A1465" s="31"/>
      <c r="B1465" s="31"/>
      <c r="C1465" s="31"/>
      <c r="D1465" s="31"/>
      <c r="E1465" s="32"/>
      <c r="F1465" s="32"/>
      <c r="G1465" s="32"/>
    </row>
    <row r="1466">
      <c r="A1466" s="31"/>
      <c r="B1466" s="31"/>
      <c r="C1466" s="31"/>
      <c r="D1466" s="31"/>
      <c r="E1466" s="32"/>
      <c r="F1466" s="32"/>
      <c r="G1466" s="32"/>
    </row>
    <row r="1467">
      <c r="A1467" s="31"/>
      <c r="B1467" s="31"/>
      <c r="C1467" s="31"/>
      <c r="D1467" s="31"/>
      <c r="E1467" s="32"/>
      <c r="F1467" s="32"/>
      <c r="G1467" s="32"/>
    </row>
    <row r="1468">
      <c r="A1468" s="31"/>
      <c r="B1468" s="31"/>
      <c r="C1468" s="31"/>
      <c r="D1468" s="31"/>
      <c r="E1468" s="32"/>
      <c r="F1468" s="32"/>
      <c r="G1468" s="32"/>
    </row>
    <row r="1469">
      <c r="A1469" s="31"/>
      <c r="B1469" s="31"/>
      <c r="C1469" s="31"/>
      <c r="D1469" s="31"/>
      <c r="E1469" s="32"/>
      <c r="F1469" s="32"/>
      <c r="G1469" s="32"/>
    </row>
    <row r="1470">
      <c r="A1470" s="31"/>
      <c r="B1470" s="31"/>
      <c r="C1470" s="31"/>
      <c r="D1470" s="31"/>
      <c r="E1470" s="32"/>
      <c r="F1470" s="32"/>
      <c r="G1470" s="32"/>
    </row>
    <row r="1471">
      <c r="A1471" s="31"/>
      <c r="B1471" s="31"/>
      <c r="C1471" s="31"/>
      <c r="D1471" s="31"/>
      <c r="E1471" s="32"/>
      <c r="F1471" s="32"/>
      <c r="G1471" s="32"/>
    </row>
    <row r="1472">
      <c r="A1472" s="31"/>
      <c r="B1472" s="31"/>
      <c r="C1472" s="31"/>
      <c r="D1472" s="31"/>
      <c r="E1472" s="32"/>
      <c r="F1472" s="32"/>
      <c r="G1472" s="32"/>
    </row>
    <row r="1473">
      <c r="A1473" s="31"/>
      <c r="B1473" s="31"/>
      <c r="C1473" s="31"/>
      <c r="D1473" s="31"/>
      <c r="E1473" s="32"/>
      <c r="F1473" s="32"/>
      <c r="G1473" s="32"/>
    </row>
    <row r="1474">
      <c r="A1474" s="31"/>
      <c r="B1474" s="31"/>
      <c r="C1474" s="31"/>
      <c r="D1474" s="31"/>
      <c r="E1474" s="32"/>
      <c r="F1474" s="32"/>
      <c r="G1474" s="32"/>
    </row>
    <row r="1475">
      <c r="A1475" s="31"/>
      <c r="B1475" s="31"/>
      <c r="C1475" s="31"/>
      <c r="D1475" s="31"/>
      <c r="E1475" s="32"/>
      <c r="F1475" s="32"/>
      <c r="G1475" s="32"/>
    </row>
    <row r="1476">
      <c r="A1476" s="31"/>
      <c r="B1476" s="31"/>
      <c r="C1476" s="31"/>
      <c r="D1476" s="31"/>
      <c r="E1476" s="32"/>
      <c r="F1476" s="32"/>
      <c r="G1476" s="32"/>
    </row>
    <row r="1477">
      <c r="A1477" s="31"/>
      <c r="B1477" s="31"/>
      <c r="C1477" s="31"/>
      <c r="D1477" s="31"/>
      <c r="E1477" s="32"/>
      <c r="F1477" s="32"/>
      <c r="G1477" s="32"/>
    </row>
    <row r="1478">
      <c r="A1478" s="31"/>
      <c r="B1478" s="31"/>
      <c r="C1478" s="31"/>
      <c r="D1478" s="31"/>
      <c r="E1478" s="32"/>
      <c r="F1478" s="32"/>
      <c r="G1478" s="32"/>
    </row>
    <row r="1479">
      <c r="A1479" s="31"/>
      <c r="B1479" s="31"/>
      <c r="C1479" s="31"/>
      <c r="D1479" s="31"/>
      <c r="E1479" s="32"/>
      <c r="F1479" s="32"/>
      <c r="G1479" s="32"/>
    </row>
    <row r="1480">
      <c r="A1480" s="31"/>
      <c r="B1480" s="31"/>
      <c r="C1480" s="31"/>
      <c r="D1480" s="31"/>
      <c r="E1480" s="32"/>
      <c r="F1480" s="32"/>
      <c r="G1480" s="32"/>
    </row>
    <row r="1481">
      <c r="A1481" s="31"/>
      <c r="B1481" s="31"/>
      <c r="C1481" s="31"/>
      <c r="D1481" s="31"/>
      <c r="E1481" s="32"/>
      <c r="F1481" s="32"/>
      <c r="G1481" s="32"/>
    </row>
    <row r="1482">
      <c r="A1482" s="31"/>
      <c r="B1482" s="31"/>
      <c r="C1482" s="31"/>
      <c r="D1482" s="31"/>
      <c r="E1482" s="32"/>
      <c r="F1482" s="32"/>
      <c r="G1482" s="32"/>
    </row>
    <row r="1483">
      <c r="A1483" s="31"/>
      <c r="B1483" s="31"/>
      <c r="C1483" s="31"/>
      <c r="D1483" s="31"/>
      <c r="E1483" s="32"/>
      <c r="F1483" s="32"/>
      <c r="G1483" s="32"/>
    </row>
    <row r="1484">
      <c r="A1484" s="31"/>
      <c r="B1484" s="31"/>
      <c r="C1484" s="31"/>
      <c r="D1484" s="31"/>
      <c r="E1484" s="32"/>
      <c r="F1484" s="32"/>
      <c r="G1484" s="32"/>
    </row>
    <row r="1485">
      <c r="A1485" s="31"/>
      <c r="B1485" s="31"/>
      <c r="C1485" s="31"/>
      <c r="D1485" s="31"/>
      <c r="E1485" s="32"/>
      <c r="F1485" s="32"/>
      <c r="G1485" s="32"/>
    </row>
    <row r="1486">
      <c r="A1486" s="31"/>
      <c r="B1486" s="31"/>
      <c r="C1486" s="31"/>
      <c r="D1486" s="31"/>
      <c r="E1486" s="32"/>
      <c r="F1486" s="32"/>
      <c r="G1486" s="32"/>
    </row>
    <row r="1487">
      <c r="A1487" s="31"/>
      <c r="B1487" s="31"/>
      <c r="C1487" s="31"/>
      <c r="D1487" s="31"/>
      <c r="E1487" s="32"/>
      <c r="F1487" s="32"/>
      <c r="G1487" s="32"/>
    </row>
    <row r="1488">
      <c r="A1488" s="31"/>
      <c r="B1488" s="31"/>
      <c r="C1488" s="31"/>
      <c r="D1488" s="31"/>
      <c r="E1488" s="32"/>
      <c r="F1488" s="32"/>
      <c r="G1488" s="32"/>
    </row>
    <row r="1489">
      <c r="A1489" s="31"/>
      <c r="B1489" s="31"/>
      <c r="C1489" s="31"/>
      <c r="D1489" s="31"/>
      <c r="E1489" s="32"/>
      <c r="F1489" s="32"/>
      <c r="G1489" s="32"/>
    </row>
    <row r="1490">
      <c r="A1490" s="31"/>
      <c r="B1490" s="31"/>
      <c r="C1490" s="31"/>
      <c r="D1490" s="31"/>
      <c r="E1490" s="32"/>
      <c r="F1490" s="32"/>
      <c r="G1490" s="32"/>
    </row>
    <row r="1491">
      <c r="A1491" s="31"/>
      <c r="B1491" s="31"/>
      <c r="C1491" s="31"/>
      <c r="D1491" s="31"/>
      <c r="E1491" s="32"/>
      <c r="F1491" s="32"/>
      <c r="G1491" s="32"/>
    </row>
    <row r="1492">
      <c r="A1492" s="31"/>
      <c r="B1492" s="31"/>
      <c r="C1492" s="31"/>
      <c r="D1492" s="31"/>
      <c r="E1492" s="32"/>
      <c r="F1492" s="32"/>
      <c r="G1492" s="32"/>
    </row>
    <row r="1493">
      <c r="A1493" s="31"/>
      <c r="B1493" s="31"/>
      <c r="C1493" s="31"/>
      <c r="D1493" s="31"/>
      <c r="E1493" s="32"/>
      <c r="F1493" s="32"/>
      <c r="G1493" s="32"/>
    </row>
    <row r="1494">
      <c r="A1494" s="31"/>
      <c r="B1494" s="31"/>
      <c r="C1494" s="31"/>
      <c r="D1494" s="31"/>
      <c r="E1494" s="32"/>
      <c r="F1494" s="32"/>
      <c r="G1494" s="32"/>
    </row>
    <row r="1495">
      <c r="A1495" s="31"/>
      <c r="B1495" s="31"/>
      <c r="C1495" s="31"/>
      <c r="D1495" s="31"/>
      <c r="E1495" s="32"/>
      <c r="F1495" s="32"/>
      <c r="G1495" s="32"/>
    </row>
    <row r="1496">
      <c r="A1496" s="31"/>
      <c r="B1496" s="31"/>
      <c r="C1496" s="31"/>
      <c r="D1496" s="31"/>
      <c r="E1496" s="32"/>
      <c r="F1496" s="32"/>
      <c r="G1496" s="32"/>
    </row>
    <row r="1497">
      <c r="A1497" s="31"/>
      <c r="B1497" s="31"/>
      <c r="C1497" s="31"/>
      <c r="D1497" s="31"/>
      <c r="E1497" s="32"/>
      <c r="F1497" s="32"/>
      <c r="G1497" s="32"/>
    </row>
    <row r="1498">
      <c r="A1498" s="31"/>
      <c r="B1498" s="31"/>
      <c r="C1498" s="31"/>
      <c r="D1498" s="31"/>
      <c r="E1498" s="32"/>
      <c r="F1498" s="32"/>
      <c r="G1498" s="32"/>
    </row>
    <row r="1499">
      <c r="A1499" s="31"/>
      <c r="B1499" s="31"/>
      <c r="C1499" s="31"/>
      <c r="D1499" s="31"/>
      <c r="E1499" s="32"/>
      <c r="F1499" s="32"/>
      <c r="G1499" s="32"/>
    </row>
    <row r="1500">
      <c r="A1500" s="31"/>
      <c r="B1500" s="31"/>
      <c r="C1500" s="31"/>
      <c r="D1500" s="31"/>
      <c r="E1500" s="32"/>
      <c r="F1500" s="32"/>
      <c r="G1500" s="32"/>
    </row>
    <row r="1501">
      <c r="A1501" s="31"/>
      <c r="B1501" s="31"/>
      <c r="C1501" s="31"/>
      <c r="D1501" s="31"/>
      <c r="E1501" s="32"/>
      <c r="F1501" s="32"/>
      <c r="G1501" s="32"/>
    </row>
    <row r="1502">
      <c r="A1502" s="31"/>
      <c r="B1502" s="31"/>
      <c r="C1502" s="31"/>
      <c r="D1502" s="31"/>
      <c r="E1502" s="32"/>
      <c r="F1502" s="32"/>
      <c r="G1502" s="32"/>
    </row>
    <row r="1503">
      <c r="A1503" s="31"/>
      <c r="B1503" s="31"/>
      <c r="C1503" s="31"/>
      <c r="D1503" s="31"/>
      <c r="E1503" s="32"/>
      <c r="F1503" s="32"/>
      <c r="G1503" s="32"/>
    </row>
    <row r="1504">
      <c r="A1504" s="31"/>
      <c r="B1504" s="31"/>
      <c r="C1504" s="31"/>
      <c r="D1504" s="31"/>
      <c r="E1504" s="32"/>
      <c r="F1504" s="32"/>
      <c r="G1504" s="32"/>
    </row>
    <row r="1505">
      <c r="A1505" s="31"/>
      <c r="B1505" s="31"/>
      <c r="C1505" s="31"/>
      <c r="D1505" s="31"/>
      <c r="E1505" s="32"/>
      <c r="F1505" s="32"/>
      <c r="G1505" s="32"/>
    </row>
    <row r="1506">
      <c r="A1506" s="31"/>
      <c r="B1506" s="31"/>
      <c r="C1506" s="31"/>
      <c r="D1506" s="31"/>
      <c r="E1506" s="32"/>
      <c r="F1506" s="32"/>
      <c r="G1506" s="32"/>
    </row>
    <row r="1507">
      <c r="A1507" s="31"/>
      <c r="B1507" s="31"/>
      <c r="C1507" s="31"/>
      <c r="D1507" s="31"/>
      <c r="E1507" s="32"/>
      <c r="F1507" s="32"/>
      <c r="G1507" s="32"/>
    </row>
    <row r="1508">
      <c r="A1508" s="31"/>
      <c r="B1508" s="31"/>
      <c r="C1508" s="31"/>
      <c r="D1508" s="31"/>
      <c r="E1508" s="32"/>
      <c r="F1508" s="32"/>
      <c r="G1508" s="32"/>
    </row>
    <row r="1509">
      <c r="A1509" s="31"/>
      <c r="B1509" s="31"/>
      <c r="C1509" s="31"/>
      <c r="D1509" s="31"/>
      <c r="E1509" s="32"/>
      <c r="F1509" s="32"/>
      <c r="G1509" s="32"/>
    </row>
    <row r="1510">
      <c r="A1510" s="31"/>
      <c r="B1510" s="31"/>
      <c r="C1510" s="31"/>
      <c r="D1510" s="31"/>
      <c r="E1510" s="32"/>
      <c r="F1510" s="32"/>
      <c r="G1510" s="32"/>
    </row>
    <row r="1511">
      <c r="A1511" s="31"/>
      <c r="B1511" s="31"/>
      <c r="C1511" s="31"/>
      <c r="D1511" s="31"/>
      <c r="E1511" s="32"/>
      <c r="F1511" s="32"/>
      <c r="G1511" s="32"/>
    </row>
    <row r="1512">
      <c r="A1512" s="31"/>
      <c r="B1512" s="31"/>
      <c r="C1512" s="31"/>
      <c r="D1512" s="31"/>
      <c r="E1512" s="32"/>
      <c r="F1512" s="32"/>
      <c r="G1512" s="32"/>
    </row>
    <row r="1513">
      <c r="A1513" s="31"/>
      <c r="B1513" s="31"/>
      <c r="C1513" s="31"/>
      <c r="D1513" s="31"/>
      <c r="E1513" s="32"/>
      <c r="F1513" s="32"/>
      <c r="G1513" s="32"/>
    </row>
    <row r="1514">
      <c r="A1514" s="31"/>
      <c r="B1514" s="31"/>
      <c r="C1514" s="31"/>
      <c r="D1514" s="31"/>
      <c r="E1514" s="32"/>
      <c r="F1514" s="32"/>
      <c r="G1514" s="32"/>
    </row>
    <row r="1515">
      <c r="A1515" s="31"/>
      <c r="B1515" s="31"/>
      <c r="C1515" s="31"/>
      <c r="D1515" s="31"/>
      <c r="E1515" s="32"/>
      <c r="F1515" s="32"/>
      <c r="G1515" s="32"/>
    </row>
    <row r="1516">
      <c r="A1516" s="31"/>
      <c r="B1516" s="31"/>
      <c r="C1516" s="31"/>
      <c r="D1516" s="31"/>
      <c r="E1516" s="32"/>
      <c r="F1516" s="32"/>
      <c r="G1516" s="32"/>
    </row>
    <row r="1517">
      <c r="A1517" s="31"/>
      <c r="B1517" s="31"/>
      <c r="C1517" s="31"/>
      <c r="D1517" s="31"/>
      <c r="E1517" s="32"/>
      <c r="F1517" s="32"/>
      <c r="G1517" s="32"/>
    </row>
    <row r="1518">
      <c r="A1518" s="31"/>
      <c r="B1518" s="31"/>
      <c r="C1518" s="31"/>
      <c r="D1518" s="31"/>
      <c r="E1518" s="32"/>
      <c r="F1518" s="32"/>
      <c r="G1518" s="32"/>
    </row>
    <row r="1519">
      <c r="A1519" s="31"/>
      <c r="B1519" s="31"/>
      <c r="C1519" s="31"/>
      <c r="D1519" s="31"/>
      <c r="E1519" s="32"/>
      <c r="F1519" s="32"/>
      <c r="G1519" s="32"/>
    </row>
    <row r="1520">
      <c r="A1520" s="31"/>
      <c r="B1520" s="31"/>
      <c r="C1520" s="31"/>
      <c r="D1520" s="31"/>
      <c r="E1520" s="32"/>
      <c r="F1520" s="32"/>
      <c r="G1520" s="32"/>
    </row>
    <row r="1521">
      <c r="A1521" s="31"/>
      <c r="B1521" s="31"/>
      <c r="C1521" s="31"/>
      <c r="D1521" s="31"/>
      <c r="E1521" s="32"/>
      <c r="F1521" s="32"/>
      <c r="G1521" s="32"/>
    </row>
    <row r="1522">
      <c r="A1522" s="31"/>
      <c r="B1522" s="31"/>
      <c r="C1522" s="31"/>
      <c r="D1522" s="31"/>
      <c r="E1522" s="32"/>
      <c r="F1522" s="32"/>
      <c r="G1522" s="32"/>
    </row>
    <row r="1523">
      <c r="A1523" s="31"/>
      <c r="B1523" s="31"/>
      <c r="C1523" s="31"/>
      <c r="D1523" s="31"/>
      <c r="E1523" s="32"/>
      <c r="F1523" s="32"/>
      <c r="G1523" s="32"/>
    </row>
    <row r="1524">
      <c r="A1524" s="31"/>
      <c r="B1524" s="31"/>
      <c r="C1524" s="31"/>
      <c r="D1524" s="31"/>
      <c r="E1524" s="32"/>
      <c r="F1524" s="32"/>
      <c r="G1524" s="32"/>
    </row>
    <row r="1525">
      <c r="A1525" s="31"/>
      <c r="B1525" s="31"/>
      <c r="C1525" s="31"/>
      <c r="D1525" s="31"/>
      <c r="E1525" s="32"/>
      <c r="F1525" s="32"/>
      <c r="G1525" s="32"/>
    </row>
    <row r="1526">
      <c r="A1526" s="31"/>
      <c r="B1526" s="31"/>
      <c r="C1526" s="31"/>
      <c r="D1526" s="31"/>
      <c r="E1526" s="32"/>
      <c r="F1526" s="32"/>
      <c r="G1526" s="32"/>
    </row>
    <row r="1527">
      <c r="A1527" s="31"/>
      <c r="B1527" s="31"/>
      <c r="C1527" s="31"/>
      <c r="D1527" s="31"/>
      <c r="E1527" s="32"/>
      <c r="F1527" s="32"/>
      <c r="G1527" s="32"/>
    </row>
    <row r="1528">
      <c r="A1528" s="31"/>
      <c r="B1528" s="31"/>
      <c r="C1528" s="31"/>
      <c r="D1528" s="31"/>
      <c r="E1528" s="32"/>
      <c r="F1528" s="32"/>
      <c r="G1528" s="32"/>
    </row>
    <row r="1529">
      <c r="A1529" s="31"/>
      <c r="B1529" s="31"/>
      <c r="C1529" s="31"/>
      <c r="D1529" s="31"/>
      <c r="E1529" s="32"/>
      <c r="F1529" s="32"/>
      <c r="G1529" s="32"/>
    </row>
    <row r="1530">
      <c r="A1530" s="31"/>
      <c r="B1530" s="31"/>
      <c r="C1530" s="31"/>
      <c r="D1530" s="31"/>
      <c r="E1530" s="32"/>
      <c r="F1530" s="32"/>
      <c r="G1530" s="32"/>
    </row>
    <row r="1531">
      <c r="A1531" s="31"/>
      <c r="B1531" s="31"/>
      <c r="C1531" s="31"/>
      <c r="D1531" s="31"/>
      <c r="E1531" s="32"/>
      <c r="F1531" s="32"/>
      <c r="G1531" s="32"/>
    </row>
    <row r="1532">
      <c r="A1532" s="31"/>
      <c r="B1532" s="31"/>
      <c r="C1532" s="31"/>
      <c r="D1532" s="31"/>
      <c r="E1532" s="32"/>
      <c r="F1532" s="32"/>
      <c r="G1532" s="32"/>
    </row>
    <row r="1533">
      <c r="A1533" s="31"/>
      <c r="B1533" s="31"/>
      <c r="C1533" s="31"/>
      <c r="D1533" s="31"/>
      <c r="E1533" s="32"/>
      <c r="F1533" s="32"/>
      <c r="G1533" s="32"/>
    </row>
    <row r="1534">
      <c r="A1534" s="31"/>
      <c r="B1534" s="31"/>
      <c r="C1534" s="31"/>
      <c r="D1534" s="31"/>
      <c r="E1534" s="32"/>
      <c r="F1534" s="32"/>
      <c r="G1534" s="32"/>
    </row>
    <row r="1535">
      <c r="A1535" s="31"/>
      <c r="B1535" s="31"/>
      <c r="C1535" s="31"/>
      <c r="D1535" s="31"/>
      <c r="E1535" s="32"/>
      <c r="F1535" s="32"/>
      <c r="G1535" s="32"/>
    </row>
    <row r="1536">
      <c r="A1536" s="31"/>
      <c r="B1536" s="31"/>
      <c r="C1536" s="31"/>
      <c r="D1536" s="31"/>
      <c r="E1536" s="32"/>
      <c r="F1536" s="32"/>
      <c r="G1536" s="32"/>
    </row>
    <row r="1537">
      <c r="A1537" s="31"/>
      <c r="B1537" s="31"/>
      <c r="C1537" s="31"/>
      <c r="D1537" s="31"/>
      <c r="E1537" s="32"/>
      <c r="F1537" s="32"/>
      <c r="G1537" s="32"/>
    </row>
    <row r="1538">
      <c r="A1538" s="31"/>
      <c r="B1538" s="31"/>
      <c r="C1538" s="31"/>
      <c r="D1538" s="31"/>
      <c r="E1538" s="32"/>
      <c r="F1538" s="32"/>
      <c r="G1538" s="32"/>
    </row>
    <row r="1539">
      <c r="A1539" s="31"/>
      <c r="B1539" s="31"/>
      <c r="C1539" s="31"/>
      <c r="D1539" s="31"/>
      <c r="E1539" s="32"/>
      <c r="F1539" s="32"/>
      <c r="G1539" s="32"/>
    </row>
    <row r="1540">
      <c r="A1540" s="31"/>
      <c r="B1540" s="31"/>
      <c r="C1540" s="31"/>
      <c r="D1540" s="31"/>
      <c r="E1540" s="32"/>
      <c r="F1540" s="32"/>
      <c r="G1540" s="32"/>
    </row>
    <row r="1541">
      <c r="A1541" s="31"/>
      <c r="B1541" s="31"/>
      <c r="C1541" s="31"/>
      <c r="D1541" s="31"/>
      <c r="E1541" s="32"/>
      <c r="F1541" s="32"/>
      <c r="G1541" s="32"/>
    </row>
    <row r="1542">
      <c r="A1542" s="31"/>
      <c r="B1542" s="31"/>
      <c r="C1542" s="31"/>
      <c r="D1542" s="31"/>
      <c r="E1542" s="32"/>
      <c r="F1542" s="32"/>
      <c r="G1542" s="32"/>
    </row>
    <row r="1543">
      <c r="A1543" s="31"/>
      <c r="B1543" s="31"/>
      <c r="C1543" s="31"/>
      <c r="D1543" s="31"/>
      <c r="E1543" s="32"/>
      <c r="F1543" s="32"/>
      <c r="G1543" s="32"/>
    </row>
    <row r="1544">
      <c r="A1544" s="31"/>
      <c r="B1544" s="31"/>
      <c r="C1544" s="31"/>
      <c r="D1544" s="31"/>
      <c r="E1544" s="32"/>
      <c r="F1544" s="32"/>
      <c r="G1544" s="32"/>
    </row>
    <row r="1545">
      <c r="A1545" s="31"/>
      <c r="B1545" s="31"/>
      <c r="C1545" s="31"/>
      <c r="D1545" s="31"/>
      <c r="E1545" s="32"/>
      <c r="F1545" s="32"/>
      <c r="G1545" s="32"/>
    </row>
    <row r="1546">
      <c r="A1546" s="31"/>
      <c r="B1546" s="31"/>
      <c r="C1546" s="31"/>
      <c r="D1546" s="31"/>
      <c r="E1546" s="32"/>
      <c r="F1546" s="32"/>
      <c r="G1546" s="32"/>
    </row>
    <row r="1547">
      <c r="A1547" s="31"/>
      <c r="B1547" s="31"/>
      <c r="C1547" s="31"/>
      <c r="D1547" s="31"/>
      <c r="E1547" s="32"/>
      <c r="F1547" s="32"/>
      <c r="G1547" s="32"/>
    </row>
    <row r="1548">
      <c r="A1548" s="31"/>
      <c r="B1548" s="31"/>
      <c r="C1548" s="31"/>
      <c r="D1548" s="31"/>
      <c r="E1548" s="32"/>
      <c r="F1548" s="32"/>
      <c r="G1548" s="32"/>
    </row>
    <row r="1549">
      <c r="A1549" s="31"/>
      <c r="B1549" s="31"/>
      <c r="C1549" s="31"/>
      <c r="D1549" s="31"/>
      <c r="E1549" s="32"/>
      <c r="F1549" s="32"/>
      <c r="G1549" s="32"/>
    </row>
    <row r="1550">
      <c r="A1550" s="31"/>
      <c r="B1550" s="31"/>
      <c r="C1550" s="31"/>
      <c r="D1550" s="31"/>
      <c r="E1550" s="32"/>
      <c r="F1550" s="32"/>
      <c r="G1550" s="32"/>
    </row>
    <row r="1551">
      <c r="A1551" s="31"/>
      <c r="B1551" s="31"/>
      <c r="C1551" s="31"/>
      <c r="D1551" s="31"/>
      <c r="E1551" s="32"/>
      <c r="F1551" s="32"/>
      <c r="G1551" s="32"/>
    </row>
    <row r="1552">
      <c r="A1552" s="31"/>
      <c r="B1552" s="31"/>
      <c r="C1552" s="31"/>
      <c r="D1552" s="31"/>
      <c r="E1552" s="32"/>
      <c r="F1552" s="32"/>
      <c r="G1552" s="32"/>
    </row>
    <row r="1553">
      <c r="A1553" s="31"/>
      <c r="B1553" s="31"/>
      <c r="C1553" s="31"/>
      <c r="D1553" s="31"/>
      <c r="E1553" s="32"/>
      <c r="F1553" s="32"/>
      <c r="G1553" s="32"/>
    </row>
    <row r="1554">
      <c r="A1554" s="31"/>
      <c r="B1554" s="31"/>
      <c r="C1554" s="31"/>
      <c r="D1554" s="31"/>
      <c r="E1554" s="32"/>
      <c r="F1554" s="32"/>
      <c r="G1554" s="32"/>
    </row>
    <row r="1555">
      <c r="A1555" s="31"/>
      <c r="B1555" s="31"/>
      <c r="C1555" s="31"/>
      <c r="D1555" s="31"/>
      <c r="E1555" s="32"/>
      <c r="F1555" s="32"/>
      <c r="G1555" s="32"/>
    </row>
    <row r="1556">
      <c r="A1556" s="31"/>
      <c r="B1556" s="31"/>
      <c r="C1556" s="31"/>
      <c r="D1556" s="31"/>
      <c r="E1556" s="32"/>
      <c r="F1556" s="32"/>
      <c r="G1556" s="32"/>
    </row>
    <row r="1557">
      <c r="A1557" s="31"/>
      <c r="B1557" s="31"/>
      <c r="C1557" s="31"/>
      <c r="D1557" s="31"/>
      <c r="E1557" s="32"/>
      <c r="F1557" s="32"/>
      <c r="G1557" s="32"/>
    </row>
    <row r="1558">
      <c r="A1558" s="31"/>
      <c r="B1558" s="31"/>
      <c r="C1558" s="31"/>
      <c r="D1558" s="31"/>
      <c r="E1558" s="32"/>
      <c r="F1558" s="32"/>
      <c r="G1558" s="32"/>
    </row>
    <row r="1559">
      <c r="A1559" s="31"/>
      <c r="B1559" s="31"/>
      <c r="C1559" s="31"/>
      <c r="D1559" s="31"/>
      <c r="E1559" s="32"/>
      <c r="F1559" s="32"/>
      <c r="G1559" s="32"/>
    </row>
    <row r="1560">
      <c r="A1560" s="31"/>
      <c r="B1560" s="31"/>
      <c r="C1560" s="31"/>
      <c r="D1560" s="31"/>
      <c r="E1560" s="32"/>
      <c r="F1560" s="32"/>
      <c r="G1560" s="32"/>
    </row>
    <row r="1561">
      <c r="A1561" s="31"/>
      <c r="B1561" s="31"/>
      <c r="C1561" s="31"/>
      <c r="D1561" s="31"/>
      <c r="E1561" s="32"/>
      <c r="F1561" s="32"/>
      <c r="G1561" s="32"/>
    </row>
    <row r="1562">
      <c r="A1562" s="31"/>
      <c r="B1562" s="31"/>
      <c r="C1562" s="31"/>
      <c r="D1562" s="31"/>
      <c r="E1562" s="32"/>
      <c r="F1562" s="32"/>
      <c r="G1562" s="32"/>
    </row>
    <row r="1563">
      <c r="A1563" s="31"/>
      <c r="B1563" s="31"/>
      <c r="C1563" s="31"/>
      <c r="D1563" s="31"/>
      <c r="E1563" s="32"/>
      <c r="F1563" s="32"/>
      <c r="G1563" s="32"/>
    </row>
    <row r="1564">
      <c r="A1564" s="31"/>
      <c r="B1564" s="31"/>
      <c r="C1564" s="31"/>
      <c r="D1564" s="31"/>
      <c r="E1564" s="32"/>
      <c r="F1564" s="32"/>
      <c r="G1564" s="32"/>
    </row>
    <row r="1565">
      <c r="A1565" s="31"/>
      <c r="B1565" s="31"/>
      <c r="C1565" s="31"/>
      <c r="D1565" s="31"/>
      <c r="E1565" s="32"/>
      <c r="F1565" s="32"/>
      <c r="G1565" s="32"/>
    </row>
    <row r="1566">
      <c r="A1566" s="31"/>
      <c r="B1566" s="31"/>
      <c r="C1566" s="31"/>
      <c r="D1566" s="31"/>
      <c r="E1566" s="32"/>
      <c r="F1566" s="32"/>
      <c r="G1566" s="32"/>
    </row>
    <row r="1567">
      <c r="A1567" s="31"/>
      <c r="B1567" s="31"/>
      <c r="C1567" s="31"/>
      <c r="D1567" s="31"/>
      <c r="E1567" s="32"/>
      <c r="F1567" s="32"/>
      <c r="G1567" s="32"/>
    </row>
    <row r="1568">
      <c r="A1568" s="31"/>
      <c r="B1568" s="31"/>
      <c r="C1568" s="31"/>
      <c r="D1568" s="31"/>
      <c r="E1568" s="32"/>
      <c r="F1568" s="32"/>
      <c r="G1568" s="32"/>
    </row>
    <row r="1569">
      <c r="A1569" s="31"/>
      <c r="B1569" s="31"/>
      <c r="C1569" s="31"/>
      <c r="D1569" s="31"/>
      <c r="E1569" s="32"/>
      <c r="F1569" s="32"/>
      <c r="G1569" s="32"/>
    </row>
    <row r="1570">
      <c r="A1570" s="31"/>
      <c r="B1570" s="31"/>
      <c r="C1570" s="31"/>
      <c r="D1570" s="31"/>
      <c r="E1570" s="32"/>
      <c r="F1570" s="32"/>
      <c r="G1570" s="32"/>
    </row>
    <row r="1571">
      <c r="A1571" s="31"/>
      <c r="B1571" s="31"/>
      <c r="C1571" s="31"/>
      <c r="D1571" s="31"/>
      <c r="E1571" s="32"/>
      <c r="F1571" s="32"/>
      <c r="G1571" s="32"/>
    </row>
    <row r="1572">
      <c r="A1572" s="31"/>
      <c r="B1572" s="31"/>
      <c r="C1572" s="31"/>
      <c r="D1572" s="31"/>
      <c r="E1572" s="32"/>
      <c r="F1572" s="32"/>
      <c r="G1572" s="32"/>
    </row>
    <row r="1573">
      <c r="A1573" s="31"/>
      <c r="B1573" s="31"/>
      <c r="C1573" s="31"/>
      <c r="D1573" s="31"/>
      <c r="E1573" s="32"/>
      <c r="F1573" s="32"/>
      <c r="G1573" s="32"/>
    </row>
    <row r="1574">
      <c r="A1574" s="31"/>
      <c r="B1574" s="31"/>
      <c r="C1574" s="31"/>
      <c r="D1574" s="31"/>
      <c r="E1574" s="32"/>
      <c r="F1574" s="32"/>
      <c r="G1574" s="32"/>
    </row>
    <row r="1575">
      <c r="A1575" s="31"/>
      <c r="B1575" s="31"/>
      <c r="C1575" s="31"/>
      <c r="D1575" s="31"/>
      <c r="E1575" s="32"/>
      <c r="F1575" s="32"/>
      <c r="G1575" s="32"/>
    </row>
    <row r="1576">
      <c r="A1576" s="31"/>
      <c r="B1576" s="31"/>
      <c r="C1576" s="31"/>
      <c r="D1576" s="31"/>
      <c r="E1576" s="32"/>
      <c r="F1576" s="32"/>
      <c r="G1576" s="32"/>
    </row>
    <row r="1577">
      <c r="A1577" s="31"/>
      <c r="B1577" s="31"/>
      <c r="C1577" s="31"/>
      <c r="D1577" s="31"/>
      <c r="E1577" s="32"/>
      <c r="F1577" s="32"/>
      <c r="G1577" s="32"/>
    </row>
    <row r="1578">
      <c r="A1578" s="31"/>
      <c r="B1578" s="31"/>
      <c r="C1578" s="31"/>
      <c r="D1578" s="31"/>
      <c r="E1578" s="32"/>
      <c r="F1578" s="32"/>
      <c r="G1578" s="32"/>
    </row>
    <row r="1579">
      <c r="A1579" s="31"/>
      <c r="B1579" s="31"/>
      <c r="C1579" s="31"/>
      <c r="D1579" s="31"/>
      <c r="E1579" s="32"/>
      <c r="F1579" s="32"/>
      <c r="G1579" s="32"/>
    </row>
    <row r="1580">
      <c r="A1580" s="31"/>
      <c r="B1580" s="31"/>
      <c r="C1580" s="31"/>
      <c r="D1580" s="31"/>
      <c r="E1580" s="32"/>
      <c r="F1580" s="32"/>
      <c r="G1580" s="32"/>
    </row>
    <row r="1581">
      <c r="A1581" s="31"/>
      <c r="B1581" s="31"/>
      <c r="C1581" s="31"/>
      <c r="D1581" s="31"/>
      <c r="E1581" s="32"/>
      <c r="F1581" s="32"/>
      <c r="G1581" s="32"/>
    </row>
    <row r="1582">
      <c r="A1582" s="31"/>
      <c r="B1582" s="31"/>
      <c r="C1582" s="31"/>
      <c r="D1582" s="31"/>
      <c r="E1582" s="32"/>
      <c r="F1582" s="32"/>
      <c r="G1582" s="32"/>
    </row>
    <row r="1583">
      <c r="A1583" s="31"/>
      <c r="B1583" s="31"/>
      <c r="C1583" s="31"/>
      <c r="D1583" s="31"/>
      <c r="E1583" s="32"/>
      <c r="F1583" s="32"/>
      <c r="G1583" s="32"/>
    </row>
    <row r="1584">
      <c r="A1584" s="31"/>
      <c r="B1584" s="31"/>
      <c r="C1584" s="31"/>
      <c r="D1584" s="31"/>
      <c r="E1584" s="32"/>
      <c r="F1584" s="32"/>
      <c r="G1584" s="32"/>
    </row>
    <row r="1585">
      <c r="A1585" s="31"/>
      <c r="B1585" s="31"/>
      <c r="C1585" s="31"/>
      <c r="D1585" s="31"/>
      <c r="E1585" s="32"/>
      <c r="F1585" s="32"/>
      <c r="G1585" s="32"/>
    </row>
    <row r="1586">
      <c r="A1586" s="31"/>
      <c r="B1586" s="31"/>
      <c r="C1586" s="31"/>
      <c r="D1586" s="31"/>
      <c r="E1586" s="32"/>
      <c r="F1586" s="32"/>
      <c r="G1586" s="32"/>
    </row>
    <row r="1587">
      <c r="A1587" s="31"/>
      <c r="B1587" s="31"/>
      <c r="C1587" s="31"/>
      <c r="D1587" s="31"/>
      <c r="E1587" s="32"/>
      <c r="F1587" s="32"/>
      <c r="G1587" s="32"/>
    </row>
    <row r="1588">
      <c r="A1588" s="31"/>
      <c r="B1588" s="31"/>
      <c r="C1588" s="31"/>
      <c r="D1588" s="31"/>
      <c r="E1588" s="32"/>
      <c r="F1588" s="32"/>
      <c r="G1588" s="32"/>
    </row>
    <row r="1589">
      <c r="A1589" s="31"/>
      <c r="B1589" s="31"/>
      <c r="C1589" s="31"/>
      <c r="D1589" s="31"/>
      <c r="E1589" s="32"/>
      <c r="F1589" s="32"/>
      <c r="G1589" s="32"/>
    </row>
    <row r="1590">
      <c r="A1590" s="31"/>
      <c r="B1590" s="31"/>
      <c r="C1590" s="31"/>
      <c r="D1590" s="31"/>
      <c r="E1590" s="32"/>
      <c r="F1590" s="32"/>
      <c r="G1590" s="32"/>
    </row>
    <row r="1591">
      <c r="A1591" s="31"/>
      <c r="B1591" s="31"/>
      <c r="C1591" s="31"/>
      <c r="D1591" s="31"/>
      <c r="E1591" s="32"/>
      <c r="F1591" s="32"/>
      <c r="G1591" s="32"/>
    </row>
    <row r="1592">
      <c r="A1592" s="31"/>
      <c r="B1592" s="31"/>
      <c r="C1592" s="31"/>
      <c r="D1592" s="31"/>
      <c r="E1592" s="32"/>
      <c r="F1592" s="32"/>
      <c r="G1592" s="32"/>
    </row>
    <row r="1593">
      <c r="A1593" s="31"/>
      <c r="B1593" s="31"/>
      <c r="C1593" s="31"/>
      <c r="D1593" s="31"/>
      <c r="E1593" s="32"/>
      <c r="F1593" s="32"/>
      <c r="G1593" s="32"/>
    </row>
    <row r="1594">
      <c r="A1594" s="31"/>
      <c r="B1594" s="31"/>
      <c r="C1594" s="31"/>
      <c r="D1594" s="31"/>
      <c r="E1594" s="32"/>
      <c r="F1594" s="32"/>
      <c r="G1594" s="32"/>
    </row>
    <row r="1595">
      <c r="A1595" s="31"/>
      <c r="B1595" s="31"/>
      <c r="C1595" s="31"/>
      <c r="D1595" s="31"/>
      <c r="E1595" s="32"/>
      <c r="F1595" s="32"/>
      <c r="G1595" s="32"/>
    </row>
    <row r="1596">
      <c r="A1596" s="31"/>
      <c r="B1596" s="31"/>
      <c r="C1596" s="31"/>
      <c r="D1596" s="31"/>
      <c r="E1596" s="32"/>
      <c r="F1596" s="32"/>
      <c r="G1596" s="32"/>
    </row>
    <row r="1597">
      <c r="A1597" s="31"/>
      <c r="B1597" s="31"/>
      <c r="C1597" s="31"/>
      <c r="D1597" s="31"/>
      <c r="E1597" s="32"/>
      <c r="F1597" s="32"/>
      <c r="G1597" s="32"/>
    </row>
    <row r="1598">
      <c r="A1598" s="31"/>
      <c r="B1598" s="31"/>
      <c r="C1598" s="31"/>
      <c r="D1598" s="31"/>
      <c r="E1598" s="32"/>
      <c r="F1598" s="32"/>
      <c r="G1598" s="32"/>
    </row>
    <row r="1599">
      <c r="A1599" s="31"/>
      <c r="B1599" s="31"/>
      <c r="C1599" s="31"/>
      <c r="D1599" s="31"/>
      <c r="E1599" s="32"/>
      <c r="F1599" s="32"/>
      <c r="G1599" s="32"/>
    </row>
    <row r="1600">
      <c r="A1600" s="31"/>
      <c r="B1600" s="31"/>
      <c r="C1600" s="31"/>
      <c r="D1600" s="31"/>
      <c r="E1600" s="32"/>
      <c r="F1600" s="32"/>
      <c r="G1600" s="32"/>
    </row>
    <row r="1601">
      <c r="A1601" s="31"/>
      <c r="B1601" s="31"/>
      <c r="C1601" s="31"/>
      <c r="D1601" s="31"/>
      <c r="E1601" s="32"/>
      <c r="F1601" s="32"/>
      <c r="G1601" s="32"/>
    </row>
    <row r="1602">
      <c r="A1602" s="31"/>
      <c r="B1602" s="31"/>
      <c r="C1602" s="31"/>
      <c r="D1602" s="31"/>
      <c r="E1602" s="32"/>
      <c r="F1602" s="32"/>
      <c r="G1602" s="32"/>
    </row>
    <row r="1603">
      <c r="A1603" s="31"/>
      <c r="B1603" s="31"/>
      <c r="C1603" s="31"/>
      <c r="D1603" s="31"/>
      <c r="E1603" s="32"/>
      <c r="F1603" s="32"/>
      <c r="G1603" s="32"/>
    </row>
    <row r="1604">
      <c r="A1604" s="31"/>
      <c r="B1604" s="31"/>
      <c r="C1604" s="31"/>
      <c r="D1604" s="31"/>
      <c r="E1604" s="32"/>
      <c r="F1604" s="32"/>
      <c r="G1604" s="32"/>
    </row>
    <row r="1605">
      <c r="A1605" s="31"/>
      <c r="B1605" s="31"/>
      <c r="C1605" s="31"/>
      <c r="D1605" s="31"/>
      <c r="E1605" s="32"/>
      <c r="F1605" s="32"/>
      <c r="G1605" s="32"/>
    </row>
    <row r="1606">
      <c r="A1606" s="31"/>
      <c r="B1606" s="31"/>
      <c r="C1606" s="31"/>
      <c r="D1606" s="31"/>
      <c r="E1606" s="32"/>
      <c r="F1606" s="32"/>
      <c r="G1606" s="32"/>
    </row>
    <row r="1607">
      <c r="A1607" s="31"/>
      <c r="B1607" s="31"/>
      <c r="C1607" s="31"/>
      <c r="D1607" s="31"/>
      <c r="E1607" s="32"/>
      <c r="F1607" s="32"/>
      <c r="G1607" s="32"/>
    </row>
    <row r="1608">
      <c r="A1608" s="31"/>
      <c r="B1608" s="31"/>
      <c r="C1608" s="31"/>
      <c r="D1608" s="31"/>
      <c r="E1608" s="32"/>
      <c r="F1608" s="32"/>
      <c r="G1608" s="32"/>
    </row>
    <row r="1609">
      <c r="A1609" s="31"/>
      <c r="B1609" s="31"/>
      <c r="C1609" s="31"/>
      <c r="D1609" s="31"/>
      <c r="E1609" s="32"/>
      <c r="F1609" s="32"/>
      <c r="G1609" s="32"/>
    </row>
    <row r="1610">
      <c r="A1610" s="31"/>
      <c r="B1610" s="31"/>
      <c r="C1610" s="31"/>
      <c r="D1610" s="31"/>
      <c r="E1610" s="32"/>
      <c r="F1610" s="32"/>
      <c r="G1610" s="32"/>
    </row>
    <row r="1611">
      <c r="A1611" s="31"/>
      <c r="B1611" s="31"/>
      <c r="C1611" s="31"/>
      <c r="D1611" s="31"/>
      <c r="E1611" s="32"/>
      <c r="F1611" s="32"/>
      <c r="G1611" s="32"/>
    </row>
    <row r="1612">
      <c r="A1612" s="31"/>
      <c r="B1612" s="31"/>
      <c r="C1612" s="31"/>
      <c r="D1612" s="31"/>
      <c r="E1612" s="32"/>
      <c r="F1612" s="32"/>
      <c r="G1612" s="32"/>
    </row>
    <row r="1613">
      <c r="A1613" s="31"/>
      <c r="B1613" s="31"/>
      <c r="C1613" s="31"/>
      <c r="D1613" s="31"/>
      <c r="E1613" s="32"/>
      <c r="F1613" s="32"/>
      <c r="G1613" s="32"/>
    </row>
    <row r="1614">
      <c r="A1614" s="31"/>
      <c r="B1614" s="31"/>
      <c r="C1614" s="31"/>
      <c r="D1614" s="31"/>
      <c r="E1614" s="32"/>
      <c r="F1614" s="32"/>
      <c r="G1614" s="32"/>
    </row>
    <row r="1615">
      <c r="A1615" s="31"/>
      <c r="B1615" s="31"/>
      <c r="C1615" s="31"/>
      <c r="D1615" s="31"/>
      <c r="E1615" s="32"/>
      <c r="F1615" s="32"/>
      <c r="G1615" s="32"/>
    </row>
    <row r="1616">
      <c r="A1616" s="31"/>
      <c r="B1616" s="31"/>
      <c r="C1616" s="31"/>
      <c r="D1616" s="31"/>
      <c r="E1616" s="32"/>
      <c r="F1616" s="32"/>
      <c r="G1616" s="32"/>
    </row>
    <row r="1617">
      <c r="A1617" s="31"/>
      <c r="B1617" s="31"/>
      <c r="C1617" s="31"/>
      <c r="D1617" s="31"/>
      <c r="E1617" s="32"/>
      <c r="F1617" s="32"/>
      <c r="G1617" s="32"/>
    </row>
    <row r="1618">
      <c r="A1618" s="31"/>
      <c r="B1618" s="31"/>
      <c r="C1618" s="31"/>
      <c r="D1618" s="31"/>
      <c r="E1618" s="32"/>
      <c r="F1618" s="32"/>
      <c r="G1618" s="32"/>
    </row>
    <row r="1619">
      <c r="A1619" s="31"/>
      <c r="B1619" s="31"/>
      <c r="C1619" s="31"/>
      <c r="D1619" s="31"/>
      <c r="E1619" s="32"/>
      <c r="F1619" s="32"/>
      <c r="G1619" s="32"/>
    </row>
    <row r="1620">
      <c r="A1620" s="31"/>
      <c r="B1620" s="31"/>
      <c r="C1620" s="31"/>
      <c r="D1620" s="31"/>
      <c r="E1620" s="32"/>
      <c r="F1620" s="32"/>
      <c r="G1620" s="32"/>
    </row>
    <row r="1621">
      <c r="A1621" s="31"/>
      <c r="B1621" s="31"/>
      <c r="C1621" s="31"/>
      <c r="D1621" s="31"/>
      <c r="E1621" s="32"/>
      <c r="F1621" s="32"/>
      <c r="G1621" s="32"/>
    </row>
    <row r="1622">
      <c r="A1622" s="31"/>
      <c r="B1622" s="31"/>
      <c r="C1622" s="31"/>
      <c r="D1622" s="31"/>
      <c r="E1622" s="32"/>
      <c r="F1622" s="32"/>
      <c r="G1622" s="32"/>
    </row>
    <row r="1623">
      <c r="A1623" s="31"/>
      <c r="B1623" s="31"/>
      <c r="C1623" s="31"/>
      <c r="D1623" s="31"/>
      <c r="E1623" s="32"/>
      <c r="F1623" s="32"/>
      <c r="G1623" s="32"/>
    </row>
    <row r="1624">
      <c r="A1624" s="31"/>
      <c r="B1624" s="31"/>
      <c r="C1624" s="31"/>
      <c r="D1624" s="31"/>
      <c r="E1624" s="32"/>
      <c r="F1624" s="32"/>
      <c r="G1624" s="32"/>
    </row>
    <row r="1625">
      <c r="A1625" s="31"/>
      <c r="B1625" s="31"/>
      <c r="C1625" s="31"/>
      <c r="D1625" s="31"/>
      <c r="E1625" s="32"/>
      <c r="F1625" s="32"/>
      <c r="G1625" s="32"/>
    </row>
    <row r="1626">
      <c r="A1626" s="31"/>
      <c r="B1626" s="31"/>
      <c r="C1626" s="31"/>
      <c r="D1626" s="31"/>
      <c r="E1626" s="32"/>
      <c r="F1626" s="32"/>
      <c r="G1626" s="32"/>
    </row>
    <row r="1627">
      <c r="A1627" s="31"/>
      <c r="B1627" s="31"/>
      <c r="C1627" s="31"/>
      <c r="D1627" s="31"/>
      <c r="E1627" s="32"/>
      <c r="F1627" s="32"/>
      <c r="G1627" s="32"/>
    </row>
    <row r="1628">
      <c r="A1628" s="31"/>
      <c r="B1628" s="31"/>
      <c r="C1628" s="31"/>
      <c r="D1628" s="31"/>
      <c r="E1628" s="32"/>
      <c r="F1628" s="32"/>
      <c r="G1628" s="32"/>
    </row>
    <row r="1629">
      <c r="A1629" s="31"/>
      <c r="B1629" s="31"/>
      <c r="C1629" s="31"/>
      <c r="D1629" s="31"/>
      <c r="E1629" s="32"/>
      <c r="F1629" s="32"/>
      <c r="G1629" s="32"/>
    </row>
    <row r="1630">
      <c r="A1630" s="31"/>
      <c r="B1630" s="31"/>
      <c r="C1630" s="31"/>
      <c r="D1630" s="31"/>
      <c r="E1630" s="32"/>
      <c r="F1630" s="32"/>
      <c r="G1630" s="32"/>
    </row>
    <row r="1631">
      <c r="A1631" s="31"/>
      <c r="B1631" s="31"/>
      <c r="C1631" s="31"/>
      <c r="D1631" s="31"/>
      <c r="E1631" s="32"/>
      <c r="F1631" s="32"/>
      <c r="G1631" s="32"/>
    </row>
    <row r="1632">
      <c r="A1632" s="31"/>
      <c r="B1632" s="31"/>
      <c r="C1632" s="31"/>
      <c r="D1632" s="31"/>
      <c r="E1632" s="32"/>
      <c r="F1632" s="32"/>
      <c r="G1632" s="32"/>
    </row>
    <row r="1633">
      <c r="A1633" s="31"/>
      <c r="B1633" s="31"/>
      <c r="C1633" s="31"/>
      <c r="D1633" s="31"/>
      <c r="E1633" s="32"/>
      <c r="F1633" s="32"/>
      <c r="G1633" s="32"/>
    </row>
    <row r="1634">
      <c r="A1634" s="31"/>
      <c r="B1634" s="31"/>
      <c r="C1634" s="31"/>
      <c r="D1634" s="31"/>
      <c r="E1634" s="32"/>
      <c r="F1634" s="32"/>
      <c r="G1634" s="32"/>
    </row>
    <row r="1635">
      <c r="A1635" s="31"/>
      <c r="B1635" s="31"/>
      <c r="C1635" s="31"/>
      <c r="D1635" s="31"/>
      <c r="E1635" s="32"/>
      <c r="F1635" s="32"/>
      <c r="G1635" s="32"/>
    </row>
    <row r="1636">
      <c r="A1636" s="31"/>
      <c r="B1636" s="31"/>
      <c r="C1636" s="31"/>
      <c r="D1636" s="31"/>
      <c r="E1636" s="32"/>
      <c r="F1636" s="32"/>
      <c r="G1636" s="32"/>
    </row>
    <row r="1637">
      <c r="A1637" s="31"/>
      <c r="B1637" s="31"/>
      <c r="C1637" s="31"/>
      <c r="D1637" s="31"/>
      <c r="E1637" s="32"/>
      <c r="F1637" s="32"/>
      <c r="G1637" s="32"/>
    </row>
    <row r="1638">
      <c r="A1638" s="31"/>
      <c r="B1638" s="31"/>
      <c r="C1638" s="31"/>
      <c r="D1638" s="31"/>
      <c r="E1638" s="32"/>
      <c r="F1638" s="32"/>
      <c r="G1638" s="32"/>
    </row>
    <row r="1639">
      <c r="A1639" s="31"/>
      <c r="B1639" s="31"/>
      <c r="C1639" s="31"/>
      <c r="D1639" s="31"/>
      <c r="E1639" s="32"/>
      <c r="F1639" s="32"/>
      <c r="G1639" s="32"/>
    </row>
    <row r="1640">
      <c r="A1640" s="31"/>
      <c r="B1640" s="31"/>
      <c r="C1640" s="31"/>
      <c r="D1640" s="31"/>
      <c r="E1640" s="32"/>
      <c r="F1640" s="32"/>
      <c r="G1640" s="32"/>
    </row>
    <row r="1641">
      <c r="A1641" s="31"/>
      <c r="B1641" s="31"/>
      <c r="C1641" s="31"/>
      <c r="D1641" s="31"/>
      <c r="E1641" s="32"/>
      <c r="F1641" s="32"/>
      <c r="G1641" s="32"/>
    </row>
    <row r="1642">
      <c r="A1642" s="31"/>
      <c r="B1642" s="31"/>
      <c r="C1642" s="31"/>
      <c r="D1642" s="31"/>
      <c r="E1642" s="32"/>
      <c r="F1642" s="32"/>
      <c r="G1642" s="32"/>
    </row>
    <row r="1643">
      <c r="A1643" s="31"/>
      <c r="B1643" s="31"/>
      <c r="C1643" s="31"/>
      <c r="D1643" s="31"/>
      <c r="E1643" s="32"/>
      <c r="F1643" s="32"/>
      <c r="G1643" s="32"/>
    </row>
    <row r="1644">
      <c r="A1644" s="31"/>
      <c r="B1644" s="31"/>
      <c r="C1644" s="31"/>
      <c r="D1644" s="31"/>
      <c r="E1644" s="32"/>
      <c r="F1644" s="32"/>
      <c r="G1644" s="32"/>
    </row>
    <row r="1645">
      <c r="A1645" s="31"/>
      <c r="B1645" s="31"/>
      <c r="C1645" s="31"/>
      <c r="D1645" s="31"/>
      <c r="E1645" s="32"/>
      <c r="F1645" s="32"/>
      <c r="G1645" s="32"/>
    </row>
    <row r="1646">
      <c r="A1646" s="31"/>
      <c r="B1646" s="31"/>
      <c r="C1646" s="31"/>
      <c r="D1646" s="31"/>
      <c r="E1646" s="32"/>
      <c r="F1646" s="32"/>
      <c r="G1646" s="32"/>
    </row>
    <row r="1647">
      <c r="A1647" s="31"/>
      <c r="B1647" s="31"/>
      <c r="C1647" s="31"/>
      <c r="D1647" s="31"/>
      <c r="E1647" s="32"/>
      <c r="F1647" s="32"/>
      <c r="G1647" s="32"/>
    </row>
    <row r="1648">
      <c r="A1648" s="31"/>
      <c r="B1648" s="31"/>
      <c r="C1648" s="31"/>
      <c r="D1648" s="31"/>
      <c r="E1648" s="32"/>
      <c r="F1648" s="32"/>
      <c r="G1648" s="32"/>
    </row>
    <row r="1649">
      <c r="A1649" s="31"/>
      <c r="B1649" s="31"/>
      <c r="C1649" s="31"/>
      <c r="D1649" s="31"/>
      <c r="E1649" s="32"/>
      <c r="F1649" s="32"/>
      <c r="G1649" s="32"/>
    </row>
    <row r="1650">
      <c r="A1650" s="31"/>
      <c r="B1650" s="31"/>
      <c r="C1650" s="31"/>
      <c r="D1650" s="31"/>
      <c r="E1650" s="32"/>
      <c r="F1650" s="32"/>
      <c r="G1650" s="32"/>
    </row>
    <row r="1651">
      <c r="A1651" s="31"/>
      <c r="B1651" s="31"/>
      <c r="C1651" s="31"/>
      <c r="D1651" s="31"/>
      <c r="E1651" s="32"/>
      <c r="F1651" s="32"/>
      <c r="G1651" s="32"/>
    </row>
    <row r="1652">
      <c r="A1652" s="31"/>
      <c r="B1652" s="31"/>
      <c r="C1652" s="31"/>
      <c r="D1652" s="31"/>
      <c r="E1652" s="32"/>
      <c r="F1652" s="32"/>
      <c r="G1652" s="32"/>
    </row>
    <row r="1653">
      <c r="A1653" s="31"/>
      <c r="B1653" s="31"/>
      <c r="C1653" s="31"/>
      <c r="D1653" s="31"/>
      <c r="E1653" s="32"/>
      <c r="F1653" s="32"/>
      <c r="G1653" s="32"/>
    </row>
    <row r="1654">
      <c r="A1654" s="31"/>
      <c r="B1654" s="31"/>
      <c r="C1654" s="31"/>
      <c r="D1654" s="31"/>
      <c r="E1654" s="32"/>
      <c r="F1654" s="32"/>
      <c r="G1654" s="32"/>
    </row>
    <row r="1655">
      <c r="A1655" s="31"/>
      <c r="B1655" s="31"/>
      <c r="C1655" s="31"/>
      <c r="D1655" s="31"/>
      <c r="E1655" s="32"/>
      <c r="F1655" s="32"/>
      <c r="G1655" s="32"/>
    </row>
    <row r="1656">
      <c r="A1656" s="31"/>
      <c r="B1656" s="31"/>
      <c r="C1656" s="31"/>
      <c r="D1656" s="31"/>
      <c r="E1656" s="32"/>
      <c r="F1656" s="32"/>
      <c r="G1656" s="32"/>
    </row>
    <row r="1657">
      <c r="A1657" s="31"/>
      <c r="B1657" s="31"/>
      <c r="C1657" s="31"/>
      <c r="D1657" s="31"/>
      <c r="E1657" s="32"/>
      <c r="F1657" s="32"/>
      <c r="G1657" s="32"/>
    </row>
    <row r="1658">
      <c r="A1658" s="31"/>
      <c r="B1658" s="31"/>
      <c r="C1658" s="31"/>
      <c r="D1658" s="31"/>
      <c r="E1658" s="32"/>
      <c r="F1658" s="32"/>
      <c r="G1658" s="32"/>
    </row>
    <row r="1659">
      <c r="A1659" s="31"/>
      <c r="B1659" s="31"/>
      <c r="C1659" s="31"/>
      <c r="D1659" s="31"/>
      <c r="E1659" s="32"/>
      <c r="F1659" s="32"/>
      <c r="G1659" s="32"/>
    </row>
    <row r="1660">
      <c r="A1660" s="31"/>
      <c r="B1660" s="31"/>
      <c r="C1660" s="31"/>
      <c r="D1660" s="31"/>
      <c r="E1660" s="32"/>
      <c r="F1660" s="32"/>
      <c r="G1660" s="32"/>
    </row>
    <row r="1661">
      <c r="A1661" s="31"/>
      <c r="B1661" s="31"/>
      <c r="C1661" s="31"/>
      <c r="D1661" s="31"/>
      <c r="E1661" s="32"/>
      <c r="F1661" s="32"/>
      <c r="G1661" s="32"/>
    </row>
    <row r="1662">
      <c r="A1662" s="31"/>
      <c r="B1662" s="31"/>
      <c r="C1662" s="31"/>
      <c r="D1662" s="31"/>
      <c r="E1662" s="32"/>
      <c r="F1662" s="32"/>
      <c r="G1662" s="32"/>
    </row>
    <row r="1663">
      <c r="A1663" s="31"/>
      <c r="B1663" s="31"/>
      <c r="C1663" s="31"/>
      <c r="D1663" s="31"/>
      <c r="E1663" s="32"/>
      <c r="F1663" s="32"/>
      <c r="G1663" s="32"/>
    </row>
    <row r="1664">
      <c r="A1664" s="31"/>
      <c r="B1664" s="31"/>
      <c r="C1664" s="31"/>
      <c r="D1664" s="31"/>
      <c r="E1664" s="32"/>
      <c r="F1664" s="32"/>
      <c r="G1664" s="32"/>
    </row>
    <row r="1665">
      <c r="A1665" s="31"/>
      <c r="B1665" s="31"/>
      <c r="C1665" s="31"/>
      <c r="D1665" s="31"/>
      <c r="E1665" s="32"/>
      <c r="F1665" s="32"/>
      <c r="G1665" s="32"/>
    </row>
    <row r="1666">
      <c r="A1666" s="31"/>
      <c r="B1666" s="31"/>
      <c r="C1666" s="31"/>
      <c r="D1666" s="31"/>
      <c r="E1666" s="32"/>
      <c r="F1666" s="32"/>
      <c r="G1666" s="32"/>
    </row>
    <row r="1667">
      <c r="A1667" s="31"/>
      <c r="B1667" s="31"/>
      <c r="C1667" s="31"/>
      <c r="D1667" s="31"/>
      <c r="E1667" s="32"/>
      <c r="F1667" s="32"/>
      <c r="G1667" s="32"/>
    </row>
    <row r="1668">
      <c r="A1668" s="31"/>
      <c r="B1668" s="31"/>
      <c r="C1668" s="31"/>
      <c r="D1668" s="31"/>
      <c r="E1668" s="32"/>
      <c r="F1668" s="32"/>
      <c r="G1668" s="32"/>
    </row>
    <row r="1669">
      <c r="A1669" s="31"/>
      <c r="B1669" s="31"/>
      <c r="C1669" s="31"/>
      <c r="D1669" s="31"/>
      <c r="E1669" s="32"/>
      <c r="F1669" s="32"/>
      <c r="G1669" s="32"/>
    </row>
    <row r="1670">
      <c r="A1670" s="31"/>
      <c r="B1670" s="31"/>
      <c r="C1670" s="31"/>
      <c r="D1670" s="31"/>
      <c r="E1670" s="32"/>
      <c r="F1670" s="32"/>
      <c r="G1670" s="32"/>
    </row>
    <row r="1671">
      <c r="A1671" s="31"/>
      <c r="B1671" s="31"/>
      <c r="C1671" s="31"/>
      <c r="D1671" s="31"/>
      <c r="E1671" s="32"/>
      <c r="F1671" s="32"/>
      <c r="G1671" s="32"/>
    </row>
    <row r="1672">
      <c r="A1672" s="31"/>
      <c r="B1672" s="31"/>
      <c r="C1672" s="31"/>
      <c r="D1672" s="31"/>
      <c r="E1672" s="32"/>
      <c r="F1672" s="32"/>
      <c r="G1672" s="32"/>
    </row>
    <row r="1673">
      <c r="A1673" s="31"/>
      <c r="B1673" s="31"/>
      <c r="C1673" s="31"/>
      <c r="D1673" s="31"/>
      <c r="E1673" s="32"/>
      <c r="F1673" s="32"/>
      <c r="G1673" s="32"/>
    </row>
    <row r="1674">
      <c r="A1674" s="31"/>
      <c r="B1674" s="31"/>
      <c r="C1674" s="31"/>
      <c r="D1674" s="31"/>
      <c r="E1674" s="32"/>
      <c r="F1674" s="32"/>
      <c r="G1674" s="32"/>
    </row>
    <row r="1675">
      <c r="A1675" s="31"/>
      <c r="B1675" s="31"/>
      <c r="C1675" s="31"/>
      <c r="D1675" s="31"/>
      <c r="E1675" s="32"/>
      <c r="F1675" s="32"/>
      <c r="G1675" s="32"/>
    </row>
    <row r="1676">
      <c r="A1676" s="31"/>
      <c r="B1676" s="31"/>
      <c r="C1676" s="31"/>
      <c r="D1676" s="31"/>
      <c r="E1676" s="32"/>
      <c r="F1676" s="32"/>
      <c r="G1676" s="32"/>
    </row>
    <row r="1677">
      <c r="A1677" s="31"/>
      <c r="B1677" s="31"/>
      <c r="C1677" s="31"/>
      <c r="D1677" s="31"/>
      <c r="E1677" s="32"/>
      <c r="F1677" s="32"/>
      <c r="G1677" s="32"/>
    </row>
    <row r="1678">
      <c r="A1678" s="31"/>
      <c r="B1678" s="31"/>
      <c r="C1678" s="31"/>
      <c r="D1678" s="31"/>
      <c r="E1678" s="32"/>
      <c r="F1678" s="32"/>
      <c r="G1678" s="32"/>
    </row>
    <row r="1679">
      <c r="A1679" s="31"/>
      <c r="B1679" s="31"/>
      <c r="C1679" s="31"/>
      <c r="D1679" s="31"/>
      <c r="E1679" s="32"/>
      <c r="F1679" s="32"/>
      <c r="G1679" s="32"/>
    </row>
    <row r="1680">
      <c r="A1680" s="31"/>
      <c r="B1680" s="31"/>
      <c r="C1680" s="31"/>
      <c r="D1680" s="31"/>
      <c r="E1680" s="32"/>
      <c r="F1680" s="32"/>
      <c r="G1680" s="32"/>
    </row>
    <row r="1681">
      <c r="A1681" s="31"/>
      <c r="B1681" s="31"/>
      <c r="C1681" s="31"/>
      <c r="D1681" s="31"/>
      <c r="E1681" s="32"/>
      <c r="F1681" s="32"/>
      <c r="G1681" s="32"/>
    </row>
    <row r="1682">
      <c r="A1682" s="31"/>
      <c r="B1682" s="31"/>
      <c r="C1682" s="31"/>
      <c r="D1682" s="31"/>
      <c r="E1682" s="32"/>
      <c r="F1682" s="32"/>
      <c r="G1682" s="32"/>
    </row>
    <row r="1683">
      <c r="A1683" s="31"/>
      <c r="B1683" s="31"/>
      <c r="C1683" s="31"/>
      <c r="D1683" s="31"/>
      <c r="E1683" s="32"/>
      <c r="F1683" s="32"/>
      <c r="G1683" s="32"/>
    </row>
    <row r="1684">
      <c r="A1684" s="31"/>
      <c r="B1684" s="31"/>
      <c r="C1684" s="31"/>
      <c r="D1684" s="31"/>
      <c r="E1684" s="32"/>
      <c r="F1684" s="32"/>
      <c r="G1684" s="32"/>
    </row>
    <row r="1685">
      <c r="A1685" s="31"/>
      <c r="B1685" s="31"/>
      <c r="C1685" s="31"/>
      <c r="D1685" s="31"/>
      <c r="E1685" s="32"/>
      <c r="F1685" s="32"/>
      <c r="G1685" s="32"/>
    </row>
    <row r="1686">
      <c r="A1686" s="31"/>
      <c r="B1686" s="31"/>
      <c r="C1686" s="31"/>
      <c r="D1686" s="31"/>
      <c r="E1686" s="32"/>
      <c r="F1686" s="32"/>
      <c r="G1686" s="32"/>
    </row>
    <row r="1687">
      <c r="A1687" s="31"/>
      <c r="B1687" s="31"/>
      <c r="C1687" s="31"/>
      <c r="D1687" s="31"/>
      <c r="E1687" s="32"/>
      <c r="F1687" s="32"/>
      <c r="G1687" s="32"/>
    </row>
    <row r="1688">
      <c r="A1688" s="31"/>
      <c r="B1688" s="31"/>
      <c r="C1688" s="31"/>
      <c r="D1688" s="31"/>
      <c r="E1688" s="32"/>
      <c r="F1688" s="32"/>
      <c r="G1688" s="32"/>
    </row>
    <row r="1689">
      <c r="A1689" s="31"/>
      <c r="B1689" s="31"/>
      <c r="C1689" s="31"/>
      <c r="D1689" s="31"/>
      <c r="E1689" s="32"/>
      <c r="F1689" s="32"/>
      <c r="G1689" s="32"/>
    </row>
    <row r="1690">
      <c r="A1690" s="31"/>
      <c r="B1690" s="31"/>
      <c r="C1690" s="31"/>
      <c r="D1690" s="31"/>
      <c r="E1690" s="32"/>
      <c r="F1690" s="32"/>
      <c r="G1690" s="32"/>
    </row>
    <row r="1691">
      <c r="A1691" s="31"/>
      <c r="B1691" s="31"/>
      <c r="C1691" s="31"/>
      <c r="D1691" s="31"/>
      <c r="E1691" s="32"/>
      <c r="F1691" s="32"/>
      <c r="G1691" s="32"/>
    </row>
    <row r="1692">
      <c r="A1692" s="31"/>
      <c r="B1692" s="31"/>
      <c r="C1692" s="31"/>
      <c r="D1692" s="31"/>
      <c r="E1692" s="32"/>
      <c r="F1692" s="32"/>
      <c r="G1692" s="32"/>
    </row>
    <row r="1693">
      <c r="A1693" s="31"/>
      <c r="B1693" s="31"/>
      <c r="C1693" s="31"/>
      <c r="D1693" s="31"/>
      <c r="E1693" s="32"/>
      <c r="F1693" s="32"/>
      <c r="G1693" s="32"/>
    </row>
    <row r="1694">
      <c r="A1694" s="31"/>
      <c r="B1694" s="31"/>
      <c r="C1694" s="31"/>
      <c r="D1694" s="31"/>
      <c r="E1694" s="32"/>
      <c r="F1694" s="32"/>
      <c r="G1694" s="32"/>
    </row>
    <row r="1695">
      <c r="A1695" s="31"/>
      <c r="B1695" s="31"/>
      <c r="C1695" s="31"/>
      <c r="D1695" s="31"/>
      <c r="E1695" s="32"/>
      <c r="F1695" s="32"/>
      <c r="G1695" s="32"/>
    </row>
    <row r="1696">
      <c r="A1696" s="31"/>
      <c r="B1696" s="31"/>
      <c r="C1696" s="31"/>
      <c r="D1696" s="31"/>
      <c r="E1696" s="32"/>
      <c r="F1696" s="32"/>
      <c r="G1696" s="32"/>
    </row>
    <row r="1697">
      <c r="A1697" s="31"/>
      <c r="B1697" s="31"/>
      <c r="C1697" s="31"/>
      <c r="D1697" s="31"/>
      <c r="E1697" s="32"/>
      <c r="F1697" s="32"/>
      <c r="G1697" s="32"/>
    </row>
    <row r="1698">
      <c r="A1698" s="31"/>
      <c r="B1698" s="31"/>
      <c r="C1698" s="31"/>
      <c r="D1698" s="31"/>
      <c r="E1698" s="32"/>
      <c r="F1698" s="32"/>
      <c r="G1698" s="32"/>
    </row>
    <row r="1699">
      <c r="A1699" s="31"/>
      <c r="B1699" s="31"/>
      <c r="C1699" s="31"/>
      <c r="D1699" s="31"/>
      <c r="E1699" s="32"/>
      <c r="F1699" s="32"/>
      <c r="G1699" s="32"/>
    </row>
    <row r="1700">
      <c r="A1700" s="31"/>
      <c r="B1700" s="31"/>
      <c r="C1700" s="31"/>
      <c r="D1700" s="31"/>
      <c r="E1700" s="32"/>
      <c r="F1700" s="32"/>
      <c r="G1700" s="32"/>
    </row>
    <row r="1701">
      <c r="A1701" s="31"/>
      <c r="B1701" s="31"/>
      <c r="C1701" s="31"/>
      <c r="D1701" s="31"/>
      <c r="E1701" s="32"/>
      <c r="F1701" s="32"/>
      <c r="G1701" s="32"/>
    </row>
    <row r="1702">
      <c r="A1702" s="31"/>
      <c r="B1702" s="31"/>
      <c r="C1702" s="31"/>
      <c r="D1702" s="31"/>
      <c r="E1702" s="32"/>
      <c r="F1702" s="32"/>
      <c r="G1702" s="32"/>
    </row>
    <row r="1703">
      <c r="A1703" s="31"/>
      <c r="B1703" s="31"/>
      <c r="C1703" s="31"/>
      <c r="D1703" s="31"/>
      <c r="E1703" s="32"/>
      <c r="F1703" s="32"/>
      <c r="G1703" s="32"/>
    </row>
    <row r="1704">
      <c r="A1704" s="31"/>
      <c r="B1704" s="31"/>
      <c r="C1704" s="31"/>
      <c r="D1704" s="31"/>
      <c r="E1704" s="32"/>
      <c r="F1704" s="32"/>
      <c r="G1704" s="32"/>
    </row>
    <row r="1705">
      <c r="A1705" s="31"/>
      <c r="B1705" s="31"/>
      <c r="C1705" s="31"/>
      <c r="D1705" s="31"/>
      <c r="E1705" s="32"/>
      <c r="F1705" s="32"/>
      <c r="G1705" s="32"/>
    </row>
    <row r="1706">
      <c r="A1706" s="31"/>
      <c r="B1706" s="31"/>
      <c r="C1706" s="31"/>
      <c r="D1706" s="31"/>
      <c r="E1706" s="32"/>
      <c r="F1706" s="32"/>
      <c r="G1706" s="32"/>
    </row>
    <row r="1707">
      <c r="A1707" s="31"/>
      <c r="B1707" s="31"/>
      <c r="C1707" s="31"/>
      <c r="D1707" s="31"/>
      <c r="E1707" s="32"/>
      <c r="F1707" s="32"/>
      <c r="G1707" s="32"/>
    </row>
    <row r="1708">
      <c r="A1708" s="31"/>
      <c r="B1708" s="31"/>
      <c r="C1708" s="31"/>
      <c r="D1708" s="31"/>
      <c r="E1708" s="32"/>
      <c r="F1708" s="32"/>
      <c r="G1708" s="32"/>
    </row>
    <row r="1709">
      <c r="A1709" s="31"/>
      <c r="B1709" s="31"/>
      <c r="C1709" s="31"/>
      <c r="D1709" s="31"/>
      <c r="E1709" s="32"/>
      <c r="F1709" s="32"/>
      <c r="G1709" s="32"/>
    </row>
    <row r="1710">
      <c r="A1710" s="31"/>
      <c r="B1710" s="31"/>
      <c r="C1710" s="31"/>
      <c r="D1710" s="31"/>
      <c r="E1710" s="32"/>
      <c r="F1710" s="32"/>
      <c r="G1710" s="32"/>
    </row>
    <row r="1711">
      <c r="A1711" s="31"/>
      <c r="B1711" s="31"/>
      <c r="C1711" s="31"/>
      <c r="D1711" s="31"/>
      <c r="E1711" s="32"/>
      <c r="F1711" s="32"/>
      <c r="G1711" s="32"/>
    </row>
    <row r="1712">
      <c r="A1712" s="31"/>
      <c r="B1712" s="31"/>
      <c r="C1712" s="31"/>
      <c r="D1712" s="31"/>
      <c r="E1712" s="32"/>
      <c r="F1712" s="32"/>
      <c r="G1712" s="32"/>
    </row>
    <row r="1713">
      <c r="A1713" s="31"/>
      <c r="B1713" s="31"/>
      <c r="C1713" s="31"/>
      <c r="D1713" s="31"/>
      <c r="E1713" s="32"/>
      <c r="F1713" s="32"/>
      <c r="G1713" s="32"/>
    </row>
    <row r="1714">
      <c r="A1714" s="31"/>
      <c r="B1714" s="31"/>
      <c r="C1714" s="31"/>
      <c r="D1714" s="31"/>
      <c r="E1714" s="32"/>
      <c r="F1714" s="32"/>
      <c r="G1714" s="32"/>
    </row>
    <row r="1715">
      <c r="A1715" s="31"/>
      <c r="B1715" s="31"/>
      <c r="C1715" s="31"/>
      <c r="D1715" s="31"/>
      <c r="E1715" s="32"/>
      <c r="F1715" s="32"/>
      <c r="G1715" s="32"/>
    </row>
    <row r="1716">
      <c r="A1716" s="31"/>
      <c r="B1716" s="31"/>
      <c r="C1716" s="31"/>
      <c r="D1716" s="31"/>
      <c r="E1716" s="32"/>
      <c r="F1716" s="32"/>
      <c r="G1716" s="32"/>
    </row>
    <row r="1717">
      <c r="A1717" s="31"/>
      <c r="B1717" s="31"/>
      <c r="C1717" s="31"/>
      <c r="D1717" s="31"/>
      <c r="E1717" s="32"/>
      <c r="F1717" s="32"/>
      <c r="G1717" s="32"/>
    </row>
    <row r="1718">
      <c r="A1718" s="31"/>
      <c r="B1718" s="31"/>
      <c r="C1718" s="31"/>
      <c r="D1718" s="31"/>
      <c r="E1718" s="32"/>
      <c r="F1718" s="32"/>
      <c r="G1718" s="32"/>
    </row>
    <row r="1719">
      <c r="A1719" s="31"/>
      <c r="B1719" s="31"/>
      <c r="C1719" s="31"/>
      <c r="D1719" s="31"/>
      <c r="E1719" s="32"/>
      <c r="F1719" s="32"/>
      <c r="G1719" s="32"/>
    </row>
    <row r="1720">
      <c r="A1720" s="31"/>
      <c r="B1720" s="31"/>
      <c r="C1720" s="31"/>
      <c r="D1720" s="31"/>
      <c r="E1720" s="32"/>
      <c r="F1720" s="32"/>
      <c r="G1720" s="32"/>
    </row>
    <row r="1721">
      <c r="A1721" s="31"/>
      <c r="B1721" s="31"/>
      <c r="C1721" s="31"/>
      <c r="D1721" s="31"/>
      <c r="E1721" s="32"/>
      <c r="F1721" s="32"/>
      <c r="G1721" s="32"/>
    </row>
    <row r="1722">
      <c r="A1722" s="31"/>
      <c r="B1722" s="31"/>
      <c r="C1722" s="31"/>
      <c r="D1722" s="31"/>
      <c r="E1722" s="32"/>
      <c r="F1722" s="32"/>
      <c r="G1722" s="32"/>
    </row>
    <row r="1723">
      <c r="A1723" s="31"/>
      <c r="B1723" s="31"/>
      <c r="C1723" s="31"/>
      <c r="D1723" s="31"/>
      <c r="E1723" s="32"/>
      <c r="F1723" s="32"/>
      <c r="G1723" s="32"/>
    </row>
    <row r="1724">
      <c r="A1724" s="31"/>
      <c r="B1724" s="31"/>
      <c r="C1724" s="31"/>
      <c r="D1724" s="31"/>
      <c r="E1724" s="32"/>
      <c r="F1724" s="32"/>
      <c r="G1724" s="32"/>
    </row>
    <row r="1725">
      <c r="A1725" s="31"/>
      <c r="B1725" s="31"/>
      <c r="C1725" s="31"/>
      <c r="D1725" s="31"/>
      <c r="E1725" s="32"/>
      <c r="F1725" s="32"/>
      <c r="G1725" s="32"/>
    </row>
    <row r="1726">
      <c r="A1726" s="31"/>
      <c r="B1726" s="31"/>
      <c r="C1726" s="31"/>
      <c r="D1726" s="31"/>
      <c r="E1726" s="32"/>
      <c r="F1726" s="32"/>
      <c r="G1726" s="32"/>
    </row>
    <row r="1727">
      <c r="A1727" s="31"/>
      <c r="B1727" s="31"/>
      <c r="C1727" s="31"/>
      <c r="D1727" s="31"/>
      <c r="E1727" s="32"/>
      <c r="F1727" s="32"/>
      <c r="G1727" s="32"/>
    </row>
    <row r="1728">
      <c r="A1728" s="31"/>
      <c r="B1728" s="31"/>
      <c r="C1728" s="31"/>
      <c r="D1728" s="31"/>
      <c r="E1728" s="32"/>
      <c r="F1728" s="32"/>
      <c r="G1728" s="32"/>
    </row>
    <row r="1729">
      <c r="A1729" s="31"/>
      <c r="B1729" s="31"/>
      <c r="C1729" s="31"/>
      <c r="D1729" s="31"/>
      <c r="E1729" s="32"/>
      <c r="F1729" s="32"/>
      <c r="G1729" s="32"/>
    </row>
    <row r="1730">
      <c r="A1730" s="31"/>
      <c r="B1730" s="31"/>
      <c r="C1730" s="31"/>
      <c r="D1730" s="31"/>
      <c r="E1730" s="32"/>
      <c r="F1730" s="32"/>
      <c r="G1730" s="32"/>
    </row>
    <row r="1731">
      <c r="A1731" s="31"/>
      <c r="B1731" s="31"/>
      <c r="C1731" s="31"/>
      <c r="D1731" s="31"/>
      <c r="E1731" s="32"/>
      <c r="F1731" s="32"/>
      <c r="G1731" s="32"/>
    </row>
    <row r="1732">
      <c r="A1732" s="31"/>
      <c r="B1732" s="31"/>
      <c r="C1732" s="31"/>
      <c r="D1732" s="31"/>
      <c r="E1732" s="32"/>
      <c r="F1732" s="32"/>
      <c r="G1732" s="32"/>
    </row>
    <row r="1733">
      <c r="A1733" s="31"/>
      <c r="B1733" s="31"/>
      <c r="C1733" s="31"/>
      <c r="D1733" s="31"/>
      <c r="E1733" s="32"/>
      <c r="F1733" s="32"/>
      <c r="G1733" s="32"/>
    </row>
    <row r="1734">
      <c r="A1734" s="31"/>
      <c r="B1734" s="31"/>
      <c r="C1734" s="31"/>
      <c r="D1734" s="31"/>
      <c r="E1734" s="32"/>
      <c r="F1734" s="32"/>
      <c r="G1734" s="32"/>
    </row>
    <row r="1735">
      <c r="A1735" s="31"/>
      <c r="B1735" s="31"/>
      <c r="C1735" s="31"/>
      <c r="D1735" s="31"/>
      <c r="E1735" s="32"/>
      <c r="F1735" s="32"/>
      <c r="G1735" s="32"/>
    </row>
    <row r="1736">
      <c r="A1736" s="31"/>
      <c r="B1736" s="31"/>
      <c r="C1736" s="31"/>
      <c r="D1736" s="31"/>
      <c r="E1736" s="32"/>
      <c r="F1736" s="32"/>
      <c r="G1736" s="32"/>
    </row>
    <row r="1737">
      <c r="A1737" s="31"/>
      <c r="B1737" s="31"/>
      <c r="C1737" s="31"/>
      <c r="D1737" s="31"/>
      <c r="E1737" s="32"/>
      <c r="F1737" s="32"/>
      <c r="G1737" s="32"/>
    </row>
    <row r="1738">
      <c r="A1738" s="31"/>
      <c r="B1738" s="31"/>
      <c r="C1738" s="31"/>
      <c r="D1738" s="31"/>
      <c r="E1738" s="32"/>
      <c r="F1738" s="32"/>
      <c r="G1738" s="32"/>
    </row>
    <row r="1739">
      <c r="A1739" s="31"/>
      <c r="B1739" s="31"/>
      <c r="C1739" s="31"/>
      <c r="D1739" s="31"/>
      <c r="E1739" s="32"/>
      <c r="F1739" s="32"/>
      <c r="G1739" s="32"/>
    </row>
    <row r="1740">
      <c r="A1740" s="31"/>
      <c r="B1740" s="31"/>
      <c r="C1740" s="31"/>
      <c r="D1740" s="31"/>
      <c r="E1740" s="32"/>
      <c r="F1740" s="32"/>
      <c r="G1740" s="32"/>
    </row>
    <row r="1741">
      <c r="A1741" s="31"/>
      <c r="B1741" s="31"/>
      <c r="C1741" s="31"/>
      <c r="D1741" s="31"/>
      <c r="E1741" s="32"/>
      <c r="F1741" s="32"/>
      <c r="G1741" s="32"/>
    </row>
    <row r="1742">
      <c r="A1742" s="31"/>
      <c r="B1742" s="31"/>
      <c r="C1742" s="31"/>
      <c r="D1742" s="31"/>
      <c r="E1742" s="32"/>
      <c r="F1742" s="32"/>
      <c r="G1742" s="32"/>
    </row>
    <row r="1743">
      <c r="A1743" s="31"/>
      <c r="B1743" s="31"/>
      <c r="C1743" s="31"/>
      <c r="D1743" s="31"/>
      <c r="E1743" s="32"/>
      <c r="F1743" s="32"/>
      <c r="G1743" s="32"/>
    </row>
    <row r="1744">
      <c r="A1744" s="31"/>
      <c r="B1744" s="31"/>
      <c r="C1744" s="31"/>
      <c r="D1744" s="31"/>
      <c r="E1744" s="32"/>
      <c r="F1744" s="32"/>
      <c r="G1744" s="32"/>
    </row>
    <row r="1745">
      <c r="A1745" s="31"/>
      <c r="B1745" s="31"/>
      <c r="C1745" s="31"/>
      <c r="D1745" s="31"/>
      <c r="E1745" s="32"/>
      <c r="F1745" s="32"/>
      <c r="G1745" s="32"/>
    </row>
    <row r="1746">
      <c r="A1746" s="31"/>
      <c r="B1746" s="31"/>
      <c r="C1746" s="31"/>
      <c r="D1746" s="31"/>
      <c r="E1746" s="32"/>
      <c r="F1746" s="32"/>
      <c r="G1746" s="32"/>
    </row>
    <row r="1747">
      <c r="A1747" s="31"/>
      <c r="B1747" s="31"/>
      <c r="C1747" s="31"/>
      <c r="D1747" s="31"/>
      <c r="E1747" s="32"/>
      <c r="F1747" s="32"/>
      <c r="G1747" s="32"/>
    </row>
    <row r="1748">
      <c r="A1748" s="31"/>
      <c r="B1748" s="31"/>
      <c r="C1748" s="31"/>
      <c r="D1748" s="31"/>
      <c r="E1748" s="32"/>
      <c r="F1748" s="32"/>
      <c r="G1748" s="32"/>
    </row>
    <row r="1749">
      <c r="A1749" s="31"/>
      <c r="B1749" s="31"/>
      <c r="C1749" s="31"/>
      <c r="D1749" s="31"/>
      <c r="E1749" s="32"/>
      <c r="F1749" s="32"/>
      <c r="G1749" s="32"/>
    </row>
    <row r="1750">
      <c r="A1750" s="31"/>
      <c r="B1750" s="31"/>
      <c r="C1750" s="31"/>
      <c r="D1750" s="31"/>
      <c r="E1750" s="32"/>
      <c r="F1750" s="32"/>
      <c r="G1750" s="32"/>
    </row>
    <row r="1751">
      <c r="A1751" s="31"/>
      <c r="B1751" s="31"/>
      <c r="C1751" s="31"/>
      <c r="D1751" s="31"/>
      <c r="E1751" s="32"/>
      <c r="F1751" s="32"/>
      <c r="G1751" s="32"/>
    </row>
    <row r="1752">
      <c r="A1752" s="31"/>
      <c r="B1752" s="31"/>
      <c r="C1752" s="31"/>
      <c r="D1752" s="31"/>
      <c r="E1752" s="32"/>
      <c r="F1752" s="32"/>
      <c r="G1752" s="32"/>
    </row>
    <row r="1753">
      <c r="A1753" s="31"/>
      <c r="B1753" s="31"/>
      <c r="C1753" s="31"/>
      <c r="D1753" s="31"/>
      <c r="E1753" s="32"/>
      <c r="F1753" s="32"/>
      <c r="G1753" s="32"/>
    </row>
    <row r="1754">
      <c r="A1754" s="31"/>
      <c r="B1754" s="31"/>
      <c r="C1754" s="31"/>
      <c r="D1754" s="31"/>
      <c r="E1754" s="32"/>
      <c r="F1754" s="32"/>
      <c r="G1754" s="32"/>
    </row>
    <row r="1755">
      <c r="A1755" s="31"/>
      <c r="B1755" s="31"/>
      <c r="C1755" s="31"/>
      <c r="D1755" s="31"/>
      <c r="E1755" s="32"/>
      <c r="F1755" s="32"/>
      <c r="G1755" s="32"/>
    </row>
    <row r="1756">
      <c r="A1756" s="31"/>
      <c r="B1756" s="31"/>
      <c r="C1756" s="31"/>
      <c r="D1756" s="31"/>
      <c r="E1756" s="32"/>
      <c r="F1756" s="32"/>
      <c r="G1756" s="32"/>
    </row>
    <row r="1757">
      <c r="A1757" s="31"/>
      <c r="B1757" s="31"/>
      <c r="C1757" s="31"/>
      <c r="D1757" s="31"/>
      <c r="E1757" s="32"/>
      <c r="F1757" s="32"/>
      <c r="G1757" s="32"/>
    </row>
    <row r="1758">
      <c r="A1758" s="31"/>
      <c r="B1758" s="31"/>
      <c r="C1758" s="31"/>
      <c r="D1758" s="31"/>
      <c r="E1758" s="32"/>
      <c r="F1758" s="32"/>
      <c r="G1758" s="32"/>
    </row>
    <row r="1759">
      <c r="A1759" s="31"/>
      <c r="B1759" s="31"/>
      <c r="C1759" s="31"/>
      <c r="D1759" s="31"/>
      <c r="E1759" s="32"/>
      <c r="F1759" s="32"/>
      <c r="G1759" s="32"/>
    </row>
    <row r="1760">
      <c r="A1760" s="31"/>
      <c r="B1760" s="31"/>
      <c r="C1760" s="31"/>
      <c r="D1760" s="31"/>
      <c r="E1760" s="32"/>
      <c r="F1760" s="32"/>
      <c r="G1760" s="32"/>
    </row>
    <row r="1761">
      <c r="A1761" s="31"/>
      <c r="B1761" s="31"/>
      <c r="C1761" s="31"/>
      <c r="D1761" s="31"/>
      <c r="E1761" s="32"/>
      <c r="F1761" s="32"/>
      <c r="G1761" s="32"/>
    </row>
    <row r="1762">
      <c r="A1762" s="31"/>
      <c r="B1762" s="31"/>
      <c r="C1762" s="31"/>
      <c r="D1762" s="31"/>
      <c r="E1762" s="32"/>
      <c r="F1762" s="32"/>
      <c r="G1762" s="32"/>
    </row>
    <row r="1763">
      <c r="A1763" s="31"/>
      <c r="B1763" s="31"/>
      <c r="C1763" s="31"/>
      <c r="D1763" s="31"/>
      <c r="E1763" s="32"/>
      <c r="F1763" s="32"/>
      <c r="G1763" s="32"/>
    </row>
    <row r="1764">
      <c r="A1764" s="31"/>
      <c r="B1764" s="31"/>
      <c r="C1764" s="31"/>
      <c r="D1764" s="31"/>
      <c r="E1764" s="32"/>
      <c r="F1764" s="32"/>
      <c r="G1764" s="32"/>
    </row>
    <row r="1765">
      <c r="A1765" s="31"/>
      <c r="B1765" s="31"/>
      <c r="C1765" s="31"/>
      <c r="D1765" s="31"/>
      <c r="E1765" s="32"/>
      <c r="F1765" s="32"/>
      <c r="G1765" s="32"/>
    </row>
    <row r="1766">
      <c r="A1766" s="31"/>
      <c r="B1766" s="31"/>
      <c r="C1766" s="31"/>
      <c r="D1766" s="31"/>
      <c r="E1766" s="32"/>
      <c r="F1766" s="32"/>
      <c r="G1766" s="32"/>
    </row>
    <row r="1767">
      <c r="A1767" s="31"/>
      <c r="B1767" s="31"/>
      <c r="C1767" s="31"/>
      <c r="D1767" s="31"/>
      <c r="E1767" s="32"/>
      <c r="F1767" s="32"/>
      <c r="G1767" s="32"/>
    </row>
    <row r="1768">
      <c r="A1768" s="31"/>
      <c r="B1768" s="31"/>
      <c r="C1768" s="31"/>
      <c r="D1768" s="31"/>
      <c r="E1768" s="32"/>
      <c r="F1768" s="32"/>
      <c r="G1768" s="32"/>
    </row>
    <row r="1769">
      <c r="A1769" s="31"/>
      <c r="B1769" s="31"/>
      <c r="C1769" s="31"/>
      <c r="D1769" s="31"/>
      <c r="E1769" s="32"/>
      <c r="F1769" s="32"/>
      <c r="G1769" s="32"/>
    </row>
    <row r="1770">
      <c r="A1770" s="31"/>
      <c r="B1770" s="31"/>
      <c r="C1770" s="31"/>
      <c r="D1770" s="31"/>
      <c r="E1770" s="32"/>
      <c r="F1770" s="32"/>
      <c r="G1770" s="32"/>
    </row>
    <row r="1771">
      <c r="A1771" s="31"/>
      <c r="B1771" s="31"/>
      <c r="C1771" s="31"/>
      <c r="D1771" s="31"/>
      <c r="E1771" s="32"/>
      <c r="F1771" s="32"/>
      <c r="G1771" s="32"/>
    </row>
    <row r="1772">
      <c r="A1772" s="31"/>
      <c r="B1772" s="31"/>
      <c r="C1772" s="31"/>
      <c r="D1772" s="31"/>
      <c r="E1772" s="32"/>
      <c r="F1772" s="32"/>
      <c r="G1772" s="32"/>
    </row>
    <row r="1773">
      <c r="A1773" s="31"/>
      <c r="B1773" s="31"/>
      <c r="C1773" s="31"/>
      <c r="D1773" s="31"/>
      <c r="E1773" s="32"/>
      <c r="F1773" s="32"/>
      <c r="G1773" s="32"/>
    </row>
    <row r="1774">
      <c r="A1774" s="31"/>
      <c r="B1774" s="31"/>
      <c r="C1774" s="31"/>
      <c r="D1774" s="31"/>
      <c r="E1774" s="32"/>
      <c r="F1774" s="32"/>
      <c r="G1774" s="32"/>
    </row>
    <row r="1775">
      <c r="A1775" s="31"/>
      <c r="B1775" s="31"/>
      <c r="C1775" s="31"/>
      <c r="D1775" s="31"/>
      <c r="E1775" s="32"/>
      <c r="F1775" s="32"/>
      <c r="G1775" s="32"/>
    </row>
    <row r="1776">
      <c r="A1776" s="31"/>
      <c r="B1776" s="31"/>
      <c r="C1776" s="31"/>
      <c r="D1776" s="31"/>
      <c r="E1776" s="32"/>
      <c r="F1776" s="32"/>
      <c r="G1776" s="32"/>
    </row>
    <row r="1777">
      <c r="A1777" s="31"/>
      <c r="B1777" s="31"/>
      <c r="C1777" s="31"/>
      <c r="D1777" s="31"/>
      <c r="E1777" s="32"/>
      <c r="F1777" s="32"/>
      <c r="G1777" s="32"/>
    </row>
    <row r="1778">
      <c r="A1778" s="31"/>
      <c r="B1778" s="31"/>
      <c r="C1778" s="31"/>
      <c r="D1778" s="31"/>
      <c r="E1778" s="32"/>
      <c r="F1778" s="32"/>
      <c r="G1778" s="32"/>
    </row>
    <row r="1779">
      <c r="A1779" s="31"/>
      <c r="B1779" s="31"/>
      <c r="C1779" s="31"/>
      <c r="D1779" s="31"/>
      <c r="E1779" s="32"/>
      <c r="F1779" s="32"/>
      <c r="G1779" s="32"/>
    </row>
    <row r="1780">
      <c r="A1780" s="31"/>
      <c r="B1780" s="31"/>
      <c r="C1780" s="31"/>
      <c r="D1780" s="31"/>
      <c r="E1780" s="32"/>
      <c r="F1780" s="32"/>
      <c r="G1780" s="32"/>
    </row>
    <row r="1781">
      <c r="A1781" s="31"/>
      <c r="B1781" s="31"/>
      <c r="C1781" s="31"/>
      <c r="D1781" s="31"/>
      <c r="E1781" s="32"/>
      <c r="F1781" s="32"/>
      <c r="G1781" s="32"/>
    </row>
    <row r="1782">
      <c r="A1782" s="31"/>
      <c r="B1782" s="31"/>
      <c r="C1782" s="31"/>
      <c r="D1782" s="31"/>
      <c r="E1782" s="32"/>
      <c r="F1782" s="32"/>
      <c r="G1782" s="32"/>
    </row>
    <row r="1783">
      <c r="A1783" s="31"/>
      <c r="B1783" s="31"/>
      <c r="C1783" s="31"/>
      <c r="D1783" s="31"/>
      <c r="E1783" s="32"/>
      <c r="F1783" s="32"/>
      <c r="G1783" s="32"/>
    </row>
    <row r="1784">
      <c r="A1784" s="31"/>
      <c r="B1784" s="31"/>
      <c r="C1784" s="31"/>
      <c r="D1784" s="31"/>
      <c r="E1784" s="32"/>
      <c r="F1784" s="32"/>
      <c r="G1784" s="32"/>
    </row>
    <row r="1785">
      <c r="A1785" s="31"/>
      <c r="B1785" s="31"/>
      <c r="C1785" s="31"/>
      <c r="D1785" s="31"/>
      <c r="E1785" s="32"/>
      <c r="F1785" s="32"/>
      <c r="G1785" s="32"/>
    </row>
    <row r="1786">
      <c r="A1786" s="31"/>
      <c r="B1786" s="31"/>
      <c r="C1786" s="31"/>
      <c r="D1786" s="31"/>
      <c r="E1786" s="32"/>
      <c r="F1786" s="32"/>
      <c r="G1786" s="32"/>
    </row>
    <row r="1787">
      <c r="A1787" s="31"/>
      <c r="B1787" s="31"/>
      <c r="C1787" s="31"/>
      <c r="D1787" s="31"/>
      <c r="E1787" s="32"/>
      <c r="F1787" s="32"/>
      <c r="G1787" s="32"/>
    </row>
    <row r="1788">
      <c r="A1788" s="31"/>
      <c r="B1788" s="31"/>
      <c r="C1788" s="31"/>
      <c r="D1788" s="31"/>
      <c r="E1788" s="32"/>
      <c r="F1788" s="32"/>
      <c r="G1788" s="32"/>
    </row>
    <row r="1789">
      <c r="A1789" s="31"/>
      <c r="B1789" s="31"/>
      <c r="C1789" s="31"/>
      <c r="D1789" s="31"/>
      <c r="E1789" s="32"/>
      <c r="F1789" s="32"/>
      <c r="G1789" s="32"/>
    </row>
    <row r="1790">
      <c r="A1790" s="31"/>
      <c r="B1790" s="31"/>
      <c r="C1790" s="31"/>
      <c r="D1790" s="31"/>
      <c r="E1790" s="32"/>
      <c r="F1790" s="32"/>
      <c r="G1790" s="32"/>
    </row>
    <row r="1791">
      <c r="A1791" s="31"/>
      <c r="B1791" s="31"/>
      <c r="C1791" s="31"/>
      <c r="D1791" s="31"/>
      <c r="E1791" s="32"/>
      <c r="F1791" s="32"/>
      <c r="G1791" s="32"/>
    </row>
    <row r="1792">
      <c r="A1792" s="31"/>
      <c r="B1792" s="31"/>
      <c r="C1792" s="31"/>
      <c r="D1792" s="31"/>
      <c r="E1792" s="32"/>
      <c r="F1792" s="32"/>
      <c r="G1792" s="32"/>
    </row>
    <row r="1793">
      <c r="A1793" s="31"/>
      <c r="B1793" s="31"/>
      <c r="C1793" s="31"/>
      <c r="D1793" s="31"/>
      <c r="E1793" s="32"/>
      <c r="F1793" s="32"/>
      <c r="G1793" s="32"/>
    </row>
    <row r="1794">
      <c r="A1794" s="31"/>
      <c r="B1794" s="31"/>
      <c r="C1794" s="31"/>
      <c r="D1794" s="31"/>
      <c r="E1794" s="32"/>
      <c r="F1794" s="32"/>
      <c r="G1794" s="32"/>
    </row>
    <row r="1795">
      <c r="A1795" s="31"/>
      <c r="B1795" s="31"/>
      <c r="C1795" s="31"/>
      <c r="D1795" s="31"/>
      <c r="E1795" s="32"/>
      <c r="F1795" s="32"/>
      <c r="G1795" s="32"/>
    </row>
    <row r="1796">
      <c r="A1796" s="31"/>
      <c r="B1796" s="31"/>
      <c r="C1796" s="31"/>
      <c r="D1796" s="31"/>
      <c r="E1796" s="32"/>
      <c r="F1796" s="32"/>
      <c r="G1796" s="32"/>
    </row>
    <row r="1797">
      <c r="A1797" s="31"/>
      <c r="B1797" s="31"/>
      <c r="C1797" s="31"/>
      <c r="D1797" s="31"/>
      <c r="E1797" s="32"/>
      <c r="F1797" s="32"/>
      <c r="G1797" s="32"/>
    </row>
    <row r="1798">
      <c r="A1798" s="31"/>
      <c r="B1798" s="31"/>
      <c r="C1798" s="31"/>
      <c r="D1798" s="31"/>
      <c r="E1798" s="32"/>
      <c r="F1798" s="32"/>
      <c r="G1798" s="32"/>
    </row>
    <row r="1799">
      <c r="A1799" s="31"/>
      <c r="B1799" s="31"/>
      <c r="C1799" s="31"/>
      <c r="D1799" s="31"/>
      <c r="E1799" s="32"/>
      <c r="F1799" s="32"/>
      <c r="G1799" s="32"/>
    </row>
    <row r="1800">
      <c r="A1800" s="31"/>
      <c r="B1800" s="31"/>
      <c r="C1800" s="31"/>
      <c r="D1800" s="31"/>
      <c r="E1800" s="32"/>
      <c r="F1800" s="32"/>
      <c r="G1800" s="32"/>
    </row>
    <row r="1801">
      <c r="A1801" s="31"/>
      <c r="B1801" s="31"/>
      <c r="C1801" s="31"/>
      <c r="D1801" s="31"/>
      <c r="E1801" s="32"/>
      <c r="F1801" s="32"/>
      <c r="G1801" s="32"/>
    </row>
    <row r="1802">
      <c r="A1802" s="31"/>
      <c r="B1802" s="31"/>
      <c r="C1802" s="31"/>
      <c r="D1802" s="31"/>
      <c r="E1802" s="32"/>
      <c r="F1802" s="32"/>
      <c r="G1802" s="32"/>
    </row>
    <row r="1803">
      <c r="A1803" s="31"/>
      <c r="B1803" s="31"/>
      <c r="C1803" s="31"/>
      <c r="D1803" s="31"/>
      <c r="E1803" s="32"/>
      <c r="F1803" s="32"/>
      <c r="G1803" s="32"/>
    </row>
    <row r="1804">
      <c r="A1804" s="31"/>
      <c r="B1804" s="31"/>
      <c r="C1804" s="31"/>
      <c r="D1804" s="31"/>
      <c r="E1804" s="32"/>
      <c r="F1804" s="32"/>
      <c r="G1804" s="32"/>
    </row>
    <row r="1805">
      <c r="A1805" s="31"/>
      <c r="B1805" s="31"/>
      <c r="C1805" s="31"/>
      <c r="D1805" s="31"/>
      <c r="E1805" s="32"/>
      <c r="F1805" s="32"/>
      <c r="G1805" s="32"/>
    </row>
    <row r="1806">
      <c r="A1806" s="31"/>
      <c r="B1806" s="31"/>
      <c r="C1806" s="31"/>
      <c r="D1806" s="31"/>
      <c r="E1806" s="32"/>
      <c r="F1806" s="32"/>
      <c r="G1806" s="32"/>
    </row>
    <row r="1807">
      <c r="A1807" s="31"/>
      <c r="B1807" s="31"/>
      <c r="C1807" s="31"/>
      <c r="D1807" s="31"/>
      <c r="E1807" s="32"/>
      <c r="F1807" s="32"/>
      <c r="G1807" s="32"/>
    </row>
    <row r="1808">
      <c r="A1808" s="31"/>
      <c r="B1808" s="31"/>
      <c r="C1808" s="31"/>
      <c r="D1808" s="31"/>
      <c r="E1808" s="32"/>
      <c r="F1808" s="32"/>
      <c r="G1808" s="32"/>
    </row>
    <row r="1809">
      <c r="A1809" s="31"/>
      <c r="B1809" s="31"/>
      <c r="C1809" s="31"/>
      <c r="D1809" s="31"/>
      <c r="E1809" s="32"/>
      <c r="F1809" s="32"/>
      <c r="G1809" s="32"/>
    </row>
    <row r="1810">
      <c r="A1810" s="31"/>
      <c r="B1810" s="31"/>
      <c r="C1810" s="31"/>
      <c r="D1810" s="31"/>
      <c r="E1810" s="32"/>
      <c r="F1810" s="32"/>
      <c r="G1810" s="32"/>
    </row>
    <row r="1811">
      <c r="A1811" s="31"/>
      <c r="B1811" s="31"/>
      <c r="C1811" s="31"/>
      <c r="D1811" s="31"/>
      <c r="E1811" s="32"/>
      <c r="F1811" s="32"/>
      <c r="G1811" s="32"/>
    </row>
    <row r="1812">
      <c r="A1812" s="31"/>
      <c r="B1812" s="31"/>
      <c r="C1812" s="31"/>
      <c r="D1812" s="31"/>
      <c r="E1812" s="32"/>
      <c r="F1812" s="32"/>
      <c r="G1812" s="32"/>
    </row>
    <row r="1813">
      <c r="A1813" s="31"/>
      <c r="B1813" s="31"/>
      <c r="C1813" s="31"/>
      <c r="D1813" s="31"/>
      <c r="E1813" s="32"/>
      <c r="F1813" s="32"/>
      <c r="G1813" s="32"/>
    </row>
    <row r="1814">
      <c r="A1814" s="31"/>
      <c r="B1814" s="31"/>
      <c r="C1814" s="31"/>
      <c r="D1814" s="31"/>
      <c r="E1814" s="32"/>
      <c r="F1814" s="32"/>
      <c r="G1814" s="32"/>
    </row>
    <row r="1815">
      <c r="A1815" s="31"/>
      <c r="B1815" s="31"/>
      <c r="C1815" s="31"/>
      <c r="D1815" s="31"/>
      <c r="E1815" s="32"/>
      <c r="F1815" s="32"/>
      <c r="G1815" s="32"/>
    </row>
    <row r="1816">
      <c r="A1816" s="31"/>
      <c r="B1816" s="31"/>
      <c r="C1816" s="31"/>
      <c r="D1816" s="31"/>
      <c r="E1816" s="32"/>
      <c r="F1816" s="32"/>
      <c r="G1816" s="32"/>
    </row>
    <row r="1817">
      <c r="A1817" s="31"/>
      <c r="B1817" s="31"/>
      <c r="C1817" s="31"/>
      <c r="D1817" s="31"/>
      <c r="E1817" s="32"/>
      <c r="F1817" s="32"/>
      <c r="G1817" s="32"/>
    </row>
    <row r="1818">
      <c r="A1818" s="31"/>
      <c r="B1818" s="31"/>
      <c r="C1818" s="31"/>
      <c r="D1818" s="31"/>
      <c r="E1818" s="32"/>
      <c r="F1818" s="32"/>
      <c r="G1818" s="32"/>
    </row>
    <row r="1819">
      <c r="A1819" s="31"/>
      <c r="B1819" s="31"/>
      <c r="C1819" s="31"/>
      <c r="D1819" s="31"/>
      <c r="E1819" s="32"/>
      <c r="F1819" s="32"/>
      <c r="G1819" s="32"/>
    </row>
    <row r="1820">
      <c r="A1820" s="31"/>
      <c r="B1820" s="31"/>
      <c r="C1820" s="31"/>
      <c r="D1820" s="31"/>
      <c r="E1820" s="32"/>
      <c r="F1820" s="32"/>
      <c r="G1820" s="32"/>
    </row>
    <row r="1821">
      <c r="A1821" s="31"/>
      <c r="B1821" s="31"/>
      <c r="C1821" s="31"/>
      <c r="D1821" s="31"/>
      <c r="E1821" s="32"/>
      <c r="F1821" s="32"/>
      <c r="G1821" s="32"/>
    </row>
    <row r="1822">
      <c r="A1822" s="31"/>
      <c r="B1822" s="31"/>
      <c r="C1822" s="31"/>
      <c r="D1822" s="31"/>
      <c r="E1822" s="32"/>
      <c r="F1822" s="32"/>
      <c r="G1822" s="32"/>
    </row>
    <row r="1823">
      <c r="A1823" s="31"/>
      <c r="B1823" s="31"/>
      <c r="C1823" s="31"/>
      <c r="D1823" s="31"/>
      <c r="E1823" s="32"/>
      <c r="F1823" s="32"/>
      <c r="G1823" s="32"/>
    </row>
    <row r="1824">
      <c r="A1824" s="31"/>
      <c r="B1824" s="31"/>
      <c r="C1824" s="31"/>
      <c r="D1824" s="31"/>
      <c r="E1824" s="32"/>
      <c r="F1824" s="32"/>
      <c r="G1824" s="32"/>
    </row>
    <row r="1825">
      <c r="A1825" s="31"/>
      <c r="B1825" s="31"/>
      <c r="C1825" s="31"/>
      <c r="D1825" s="31"/>
      <c r="E1825" s="32"/>
      <c r="F1825" s="32"/>
      <c r="G1825" s="32"/>
    </row>
    <row r="1826">
      <c r="A1826" s="31"/>
      <c r="B1826" s="31"/>
      <c r="C1826" s="31"/>
      <c r="D1826" s="31"/>
      <c r="E1826" s="32"/>
      <c r="F1826" s="32"/>
      <c r="G1826" s="32"/>
    </row>
    <row r="1827">
      <c r="A1827" s="31"/>
      <c r="B1827" s="31"/>
      <c r="C1827" s="31"/>
      <c r="D1827" s="31"/>
      <c r="E1827" s="32"/>
      <c r="F1827" s="32"/>
      <c r="G1827" s="32"/>
    </row>
    <row r="1828">
      <c r="A1828" s="31"/>
      <c r="B1828" s="31"/>
      <c r="C1828" s="31"/>
      <c r="D1828" s="31"/>
      <c r="E1828" s="32"/>
      <c r="F1828" s="32"/>
      <c r="G1828" s="32"/>
    </row>
    <row r="1829">
      <c r="A1829" s="31"/>
      <c r="B1829" s="31"/>
      <c r="C1829" s="31"/>
      <c r="D1829" s="31"/>
      <c r="E1829" s="32"/>
      <c r="F1829" s="32"/>
      <c r="G1829" s="32"/>
    </row>
    <row r="1830">
      <c r="A1830" s="31"/>
      <c r="B1830" s="31"/>
      <c r="C1830" s="31"/>
      <c r="D1830" s="31"/>
      <c r="E1830" s="32"/>
      <c r="F1830" s="32"/>
      <c r="G1830" s="32"/>
    </row>
    <row r="1831">
      <c r="A1831" s="31"/>
      <c r="B1831" s="31"/>
      <c r="C1831" s="31"/>
      <c r="D1831" s="31"/>
      <c r="E1831" s="32"/>
      <c r="F1831" s="32"/>
      <c r="G1831" s="32"/>
    </row>
    <row r="1832">
      <c r="A1832" s="31"/>
      <c r="B1832" s="31"/>
      <c r="C1832" s="31"/>
      <c r="D1832" s="31"/>
      <c r="E1832" s="32"/>
      <c r="F1832" s="32"/>
      <c r="G1832" s="32"/>
    </row>
    <row r="1833">
      <c r="A1833" s="31"/>
      <c r="B1833" s="31"/>
      <c r="C1833" s="31"/>
      <c r="D1833" s="31"/>
      <c r="E1833" s="32"/>
      <c r="F1833" s="32"/>
      <c r="G1833" s="32"/>
    </row>
    <row r="1834">
      <c r="A1834" s="31"/>
      <c r="B1834" s="31"/>
      <c r="C1834" s="31"/>
      <c r="D1834" s="31"/>
      <c r="E1834" s="32"/>
      <c r="F1834" s="32"/>
      <c r="G1834" s="32"/>
    </row>
    <row r="1835">
      <c r="A1835" s="31"/>
      <c r="B1835" s="31"/>
      <c r="C1835" s="31"/>
      <c r="D1835" s="31"/>
      <c r="E1835" s="32"/>
      <c r="F1835" s="32"/>
      <c r="G1835" s="32"/>
    </row>
    <row r="1836">
      <c r="A1836" s="31"/>
      <c r="B1836" s="31"/>
      <c r="C1836" s="31"/>
      <c r="D1836" s="31"/>
      <c r="E1836" s="32"/>
      <c r="F1836" s="32"/>
      <c r="G1836" s="32"/>
    </row>
    <row r="1837">
      <c r="A1837" s="31"/>
      <c r="B1837" s="31"/>
      <c r="C1837" s="31"/>
      <c r="D1837" s="31"/>
      <c r="E1837" s="32"/>
      <c r="F1837" s="32"/>
      <c r="G1837" s="32"/>
    </row>
    <row r="1838">
      <c r="A1838" s="31"/>
      <c r="B1838" s="31"/>
      <c r="C1838" s="31"/>
      <c r="D1838" s="31"/>
      <c r="E1838" s="32"/>
      <c r="F1838" s="32"/>
      <c r="G1838" s="32"/>
    </row>
    <row r="1839">
      <c r="A1839" s="31"/>
      <c r="B1839" s="31"/>
      <c r="C1839" s="31"/>
      <c r="D1839" s="31"/>
      <c r="E1839" s="32"/>
      <c r="F1839" s="32"/>
      <c r="G1839" s="32"/>
    </row>
    <row r="1840">
      <c r="A1840" s="31"/>
      <c r="B1840" s="31"/>
      <c r="C1840" s="31"/>
      <c r="D1840" s="31"/>
      <c r="E1840" s="32"/>
      <c r="F1840" s="32"/>
      <c r="G1840" s="32"/>
    </row>
    <row r="1841">
      <c r="A1841" s="31"/>
      <c r="B1841" s="31"/>
      <c r="C1841" s="31"/>
      <c r="D1841" s="31"/>
      <c r="E1841" s="32"/>
      <c r="F1841" s="32"/>
      <c r="G1841" s="32"/>
    </row>
    <row r="1842">
      <c r="A1842" s="31"/>
      <c r="B1842" s="31"/>
      <c r="C1842" s="31"/>
      <c r="D1842" s="31"/>
      <c r="E1842" s="32"/>
      <c r="F1842" s="32"/>
      <c r="G1842" s="32"/>
    </row>
    <row r="1843">
      <c r="A1843" s="31"/>
      <c r="B1843" s="31"/>
      <c r="C1843" s="31"/>
      <c r="D1843" s="31"/>
      <c r="E1843" s="32"/>
      <c r="F1843" s="32"/>
      <c r="G1843" s="32"/>
    </row>
    <row r="1844">
      <c r="A1844" s="31"/>
      <c r="B1844" s="31"/>
      <c r="C1844" s="31"/>
      <c r="D1844" s="31"/>
      <c r="E1844" s="32"/>
      <c r="F1844" s="32"/>
      <c r="G1844" s="32"/>
    </row>
    <row r="1845">
      <c r="A1845" s="31"/>
      <c r="B1845" s="31"/>
      <c r="C1845" s="31"/>
      <c r="D1845" s="31"/>
      <c r="E1845" s="32"/>
      <c r="F1845" s="32"/>
      <c r="G1845" s="32"/>
    </row>
    <row r="1846">
      <c r="A1846" s="31"/>
      <c r="B1846" s="31"/>
      <c r="C1846" s="31"/>
      <c r="D1846" s="31"/>
      <c r="E1846" s="32"/>
      <c r="F1846" s="32"/>
      <c r="G1846" s="32"/>
    </row>
    <row r="1847">
      <c r="A1847" s="31"/>
      <c r="B1847" s="31"/>
      <c r="C1847" s="31"/>
      <c r="D1847" s="31"/>
      <c r="E1847" s="32"/>
      <c r="F1847" s="32"/>
      <c r="G1847" s="32"/>
    </row>
    <row r="1848">
      <c r="A1848" s="31"/>
      <c r="B1848" s="31"/>
      <c r="C1848" s="31"/>
      <c r="D1848" s="31"/>
      <c r="E1848" s="32"/>
      <c r="F1848" s="32"/>
      <c r="G1848" s="32"/>
    </row>
    <row r="1849">
      <c r="A1849" s="31"/>
      <c r="B1849" s="31"/>
      <c r="C1849" s="31"/>
      <c r="D1849" s="31"/>
      <c r="E1849" s="32"/>
      <c r="F1849" s="32"/>
      <c r="G1849" s="32"/>
    </row>
    <row r="1850">
      <c r="A1850" s="31"/>
      <c r="B1850" s="31"/>
      <c r="C1850" s="31"/>
      <c r="D1850" s="31"/>
      <c r="E1850" s="32"/>
      <c r="F1850" s="32"/>
      <c r="G1850" s="32"/>
    </row>
    <row r="1851">
      <c r="A1851" s="31"/>
      <c r="B1851" s="31"/>
      <c r="C1851" s="31"/>
      <c r="D1851" s="31"/>
      <c r="E1851" s="32"/>
      <c r="F1851" s="32"/>
      <c r="G1851" s="32"/>
    </row>
    <row r="1852">
      <c r="A1852" s="31"/>
      <c r="B1852" s="31"/>
      <c r="C1852" s="31"/>
      <c r="D1852" s="31"/>
      <c r="E1852" s="32"/>
      <c r="F1852" s="32"/>
      <c r="G1852" s="32"/>
    </row>
    <row r="1853">
      <c r="A1853" s="31"/>
      <c r="B1853" s="31"/>
      <c r="C1853" s="31"/>
      <c r="D1853" s="31"/>
      <c r="E1853" s="32"/>
      <c r="F1853" s="32"/>
      <c r="G1853" s="32"/>
    </row>
    <row r="1854">
      <c r="A1854" s="31"/>
      <c r="B1854" s="31"/>
      <c r="C1854" s="31"/>
      <c r="D1854" s="31"/>
      <c r="E1854" s="32"/>
      <c r="F1854" s="32"/>
      <c r="G1854" s="32"/>
    </row>
    <row r="1855">
      <c r="A1855" s="31"/>
      <c r="B1855" s="31"/>
      <c r="C1855" s="31"/>
      <c r="D1855" s="31"/>
      <c r="E1855" s="32"/>
      <c r="F1855" s="32"/>
      <c r="G1855" s="32"/>
    </row>
    <row r="1856">
      <c r="A1856" s="31"/>
      <c r="B1856" s="31"/>
      <c r="C1856" s="31"/>
      <c r="D1856" s="31"/>
      <c r="E1856" s="32"/>
      <c r="F1856" s="32"/>
      <c r="G1856" s="32"/>
    </row>
    <row r="1857">
      <c r="A1857" s="31"/>
      <c r="B1857" s="31"/>
      <c r="C1857" s="31"/>
      <c r="D1857" s="31"/>
      <c r="E1857" s="32"/>
      <c r="F1857" s="32"/>
      <c r="G1857" s="32"/>
    </row>
    <row r="1858">
      <c r="A1858" s="31"/>
      <c r="B1858" s="31"/>
      <c r="C1858" s="31"/>
      <c r="D1858" s="31"/>
      <c r="E1858" s="32"/>
      <c r="F1858" s="32"/>
      <c r="G1858" s="32"/>
    </row>
    <row r="1859">
      <c r="A1859" s="31"/>
      <c r="B1859" s="31"/>
      <c r="C1859" s="31"/>
      <c r="D1859" s="31"/>
      <c r="E1859" s="32"/>
      <c r="F1859" s="32"/>
      <c r="G1859" s="32"/>
    </row>
    <row r="1860">
      <c r="A1860" s="31"/>
      <c r="B1860" s="31"/>
      <c r="C1860" s="31"/>
      <c r="D1860" s="31"/>
      <c r="E1860" s="32"/>
      <c r="F1860" s="32"/>
      <c r="G1860" s="32"/>
    </row>
    <row r="1861">
      <c r="A1861" s="31"/>
      <c r="B1861" s="31"/>
      <c r="C1861" s="31"/>
      <c r="D1861" s="31"/>
      <c r="E1861" s="32"/>
      <c r="F1861" s="32"/>
      <c r="G1861" s="32"/>
    </row>
    <row r="1862">
      <c r="A1862" s="31"/>
      <c r="B1862" s="31"/>
      <c r="C1862" s="31"/>
      <c r="D1862" s="31"/>
      <c r="E1862" s="32"/>
      <c r="F1862" s="32"/>
      <c r="G1862" s="32"/>
    </row>
    <row r="1863">
      <c r="A1863" s="31"/>
      <c r="B1863" s="31"/>
      <c r="C1863" s="31"/>
      <c r="D1863" s="31"/>
      <c r="E1863" s="32"/>
      <c r="F1863" s="32"/>
      <c r="G1863" s="32"/>
    </row>
    <row r="1864">
      <c r="A1864" s="31"/>
      <c r="B1864" s="31"/>
      <c r="C1864" s="31"/>
      <c r="D1864" s="31"/>
      <c r="E1864" s="32"/>
      <c r="F1864" s="32"/>
      <c r="G1864" s="32"/>
    </row>
    <row r="1865">
      <c r="A1865" s="31"/>
      <c r="B1865" s="31"/>
      <c r="C1865" s="31"/>
      <c r="D1865" s="31"/>
      <c r="E1865" s="32"/>
      <c r="F1865" s="32"/>
      <c r="G1865" s="32"/>
    </row>
    <row r="1866">
      <c r="A1866" s="31"/>
      <c r="B1866" s="31"/>
      <c r="C1866" s="31"/>
      <c r="D1866" s="31"/>
      <c r="E1866" s="32"/>
      <c r="F1866" s="32"/>
      <c r="G1866" s="32"/>
    </row>
    <row r="1867">
      <c r="A1867" s="31"/>
      <c r="B1867" s="31"/>
      <c r="C1867" s="31"/>
      <c r="D1867" s="31"/>
      <c r="E1867" s="32"/>
      <c r="F1867" s="32"/>
      <c r="G1867" s="32"/>
    </row>
    <row r="1868">
      <c r="A1868" s="31"/>
      <c r="B1868" s="31"/>
      <c r="C1868" s="31"/>
      <c r="D1868" s="31"/>
      <c r="E1868" s="32"/>
      <c r="F1868" s="32"/>
      <c r="G1868" s="32"/>
    </row>
    <row r="1869">
      <c r="A1869" s="31"/>
      <c r="B1869" s="31"/>
      <c r="C1869" s="31"/>
      <c r="D1869" s="31"/>
      <c r="E1869" s="32"/>
      <c r="F1869" s="32"/>
      <c r="G1869" s="32"/>
    </row>
    <row r="1870">
      <c r="A1870" s="31"/>
      <c r="B1870" s="31"/>
      <c r="C1870" s="31"/>
      <c r="D1870" s="31"/>
      <c r="E1870" s="32"/>
      <c r="F1870" s="32"/>
      <c r="G1870" s="32"/>
    </row>
    <row r="1871">
      <c r="A1871" s="31"/>
      <c r="B1871" s="31"/>
      <c r="C1871" s="31"/>
      <c r="D1871" s="31"/>
      <c r="E1871" s="32"/>
      <c r="F1871" s="32"/>
      <c r="G1871" s="32"/>
    </row>
    <row r="1872">
      <c r="A1872" s="31"/>
      <c r="B1872" s="31"/>
      <c r="C1872" s="31"/>
      <c r="D1872" s="31"/>
      <c r="E1872" s="32"/>
      <c r="F1872" s="32"/>
      <c r="G1872" s="32"/>
    </row>
    <row r="1873">
      <c r="A1873" s="31"/>
      <c r="B1873" s="31"/>
      <c r="C1873" s="31"/>
      <c r="D1873" s="31"/>
      <c r="E1873" s="32"/>
      <c r="F1873" s="32"/>
      <c r="G1873" s="32"/>
    </row>
    <row r="1874">
      <c r="A1874" s="31"/>
      <c r="B1874" s="31"/>
      <c r="C1874" s="31"/>
      <c r="D1874" s="31"/>
      <c r="E1874" s="32"/>
      <c r="F1874" s="32"/>
      <c r="G1874" s="32"/>
    </row>
    <row r="1875">
      <c r="A1875" s="31"/>
      <c r="B1875" s="31"/>
      <c r="C1875" s="31"/>
      <c r="D1875" s="31"/>
      <c r="E1875" s="32"/>
      <c r="F1875" s="32"/>
      <c r="G1875" s="32"/>
    </row>
    <row r="1876">
      <c r="A1876" s="31"/>
      <c r="B1876" s="31"/>
      <c r="C1876" s="31"/>
      <c r="D1876" s="31"/>
      <c r="E1876" s="32"/>
      <c r="F1876" s="32"/>
      <c r="G1876" s="32"/>
    </row>
    <row r="1877">
      <c r="A1877" s="31"/>
      <c r="B1877" s="31"/>
      <c r="C1877" s="31"/>
      <c r="D1877" s="31"/>
      <c r="E1877" s="32"/>
      <c r="F1877" s="32"/>
      <c r="G1877" s="32"/>
    </row>
    <row r="1878">
      <c r="A1878" s="31"/>
      <c r="B1878" s="31"/>
      <c r="C1878" s="31"/>
      <c r="D1878" s="31"/>
      <c r="E1878" s="32"/>
      <c r="F1878" s="32"/>
      <c r="G1878" s="32"/>
    </row>
    <row r="1879">
      <c r="A1879" s="31"/>
      <c r="B1879" s="31"/>
      <c r="C1879" s="31"/>
      <c r="D1879" s="31"/>
      <c r="E1879" s="32"/>
      <c r="F1879" s="32"/>
      <c r="G1879" s="32"/>
    </row>
    <row r="1880">
      <c r="A1880" s="31"/>
      <c r="B1880" s="31"/>
      <c r="C1880" s="31"/>
      <c r="D1880" s="31"/>
      <c r="E1880" s="32"/>
      <c r="F1880" s="32"/>
      <c r="G1880" s="32"/>
    </row>
    <row r="1881">
      <c r="A1881" s="31"/>
      <c r="B1881" s="31"/>
      <c r="C1881" s="31"/>
      <c r="D1881" s="31"/>
      <c r="E1881" s="32"/>
      <c r="F1881" s="32"/>
      <c r="G1881" s="32"/>
    </row>
    <row r="1882">
      <c r="A1882" s="31"/>
      <c r="B1882" s="31"/>
      <c r="C1882" s="31"/>
      <c r="D1882" s="31"/>
      <c r="E1882" s="32"/>
      <c r="F1882" s="32"/>
      <c r="G1882" s="32"/>
    </row>
    <row r="1883">
      <c r="A1883" s="31"/>
      <c r="B1883" s="31"/>
      <c r="C1883" s="31"/>
      <c r="D1883" s="31"/>
      <c r="E1883" s="32"/>
      <c r="F1883" s="32"/>
      <c r="G1883" s="32"/>
    </row>
    <row r="1884">
      <c r="A1884" s="31"/>
      <c r="B1884" s="31"/>
      <c r="C1884" s="31"/>
      <c r="D1884" s="31"/>
      <c r="E1884" s="32"/>
      <c r="F1884" s="32"/>
      <c r="G1884" s="32"/>
    </row>
    <row r="1885">
      <c r="A1885" s="31"/>
      <c r="B1885" s="31"/>
      <c r="C1885" s="31"/>
      <c r="D1885" s="31"/>
      <c r="E1885" s="32"/>
      <c r="F1885" s="32"/>
      <c r="G1885" s="32"/>
    </row>
    <row r="1886">
      <c r="A1886" s="31"/>
      <c r="B1886" s="31"/>
      <c r="C1886" s="31"/>
      <c r="D1886" s="31"/>
      <c r="E1886" s="32"/>
      <c r="F1886" s="32"/>
      <c r="G1886" s="32"/>
    </row>
    <row r="1887">
      <c r="A1887" s="31"/>
      <c r="B1887" s="31"/>
      <c r="C1887" s="31"/>
      <c r="D1887" s="31"/>
      <c r="E1887" s="32"/>
      <c r="F1887" s="32"/>
      <c r="G1887" s="32"/>
    </row>
    <row r="1888">
      <c r="A1888" s="31"/>
      <c r="B1888" s="31"/>
      <c r="C1888" s="31"/>
      <c r="D1888" s="31"/>
      <c r="E1888" s="32"/>
      <c r="F1888" s="32"/>
      <c r="G1888" s="32"/>
    </row>
    <row r="1889">
      <c r="A1889" s="31"/>
      <c r="B1889" s="31"/>
      <c r="C1889" s="31"/>
      <c r="D1889" s="31"/>
      <c r="E1889" s="32"/>
      <c r="F1889" s="32"/>
      <c r="G1889" s="32"/>
    </row>
    <row r="1890">
      <c r="A1890" s="31"/>
      <c r="B1890" s="31"/>
      <c r="C1890" s="31"/>
      <c r="D1890" s="31"/>
      <c r="E1890" s="32"/>
      <c r="F1890" s="32"/>
      <c r="G1890" s="32"/>
    </row>
    <row r="1891">
      <c r="A1891" s="31"/>
      <c r="B1891" s="31"/>
      <c r="C1891" s="31"/>
      <c r="D1891" s="31"/>
      <c r="E1891" s="32"/>
      <c r="F1891" s="32"/>
      <c r="G1891" s="32"/>
    </row>
    <row r="1892">
      <c r="A1892" s="31"/>
      <c r="B1892" s="31"/>
      <c r="C1892" s="31"/>
      <c r="D1892" s="31"/>
      <c r="E1892" s="32"/>
      <c r="F1892" s="32"/>
      <c r="G1892" s="32"/>
    </row>
    <row r="1893">
      <c r="A1893" s="31"/>
      <c r="B1893" s="31"/>
      <c r="C1893" s="31"/>
      <c r="D1893" s="31"/>
      <c r="E1893" s="32"/>
      <c r="F1893" s="32"/>
      <c r="G1893" s="32"/>
    </row>
    <row r="1894">
      <c r="A1894" s="31"/>
      <c r="B1894" s="31"/>
      <c r="C1894" s="31"/>
      <c r="D1894" s="31"/>
      <c r="E1894" s="32"/>
      <c r="F1894" s="32"/>
      <c r="G1894" s="32"/>
    </row>
    <row r="1895">
      <c r="A1895" s="31"/>
      <c r="B1895" s="31"/>
      <c r="C1895" s="31"/>
      <c r="D1895" s="31"/>
      <c r="E1895" s="32"/>
      <c r="F1895" s="32"/>
      <c r="G1895" s="32"/>
    </row>
    <row r="1896">
      <c r="A1896" s="31"/>
      <c r="B1896" s="31"/>
      <c r="C1896" s="31"/>
      <c r="D1896" s="31"/>
      <c r="E1896" s="32"/>
      <c r="F1896" s="32"/>
      <c r="G1896" s="32"/>
    </row>
    <row r="1897">
      <c r="A1897" s="31"/>
      <c r="B1897" s="31"/>
      <c r="C1897" s="31"/>
      <c r="D1897" s="31"/>
      <c r="E1897" s="32"/>
      <c r="F1897" s="32"/>
      <c r="G1897" s="32"/>
    </row>
    <row r="1898">
      <c r="A1898" s="31"/>
      <c r="B1898" s="31"/>
      <c r="C1898" s="31"/>
      <c r="D1898" s="31"/>
      <c r="E1898" s="32"/>
      <c r="F1898" s="32"/>
      <c r="G1898" s="32"/>
    </row>
    <row r="1899">
      <c r="A1899" s="31"/>
      <c r="B1899" s="31"/>
      <c r="C1899" s="31"/>
      <c r="D1899" s="31"/>
      <c r="E1899" s="32"/>
      <c r="F1899" s="32"/>
      <c r="G1899" s="32"/>
    </row>
    <row r="1900">
      <c r="A1900" s="31"/>
      <c r="B1900" s="31"/>
      <c r="C1900" s="31"/>
      <c r="D1900" s="31"/>
      <c r="E1900" s="32"/>
      <c r="F1900" s="32"/>
      <c r="G1900" s="32"/>
    </row>
    <row r="1901">
      <c r="A1901" s="31"/>
      <c r="B1901" s="31"/>
      <c r="C1901" s="31"/>
      <c r="D1901" s="31"/>
      <c r="E1901" s="32"/>
      <c r="F1901" s="32"/>
      <c r="G1901" s="32"/>
    </row>
    <row r="1902">
      <c r="A1902" s="31"/>
      <c r="B1902" s="31"/>
      <c r="C1902" s="31"/>
      <c r="D1902" s="31"/>
      <c r="E1902" s="32"/>
      <c r="F1902" s="32"/>
      <c r="G1902" s="32"/>
    </row>
    <row r="1903">
      <c r="A1903" s="31"/>
      <c r="B1903" s="31"/>
      <c r="C1903" s="31"/>
      <c r="D1903" s="31"/>
      <c r="E1903" s="32"/>
      <c r="F1903" s="32"/>
      <c r="G1903" s="32"/>
    </row>
    <row r="1904">
      <c r="A1904" s="31"/>
      <c r="B1904" s="31"/>
      <c r="C1904" s="31"/>
      <c r="D1904" s="31"/>
      <c r="E1904" s="32"/>
      <c r="F1904" s="32"/>
      <c r="G1904" s="32"/>
    </row>
    <row r="1905">
      <c r="A1905" s="31"/>
      <c r="B1905" s="31"/>
      <c r="C1905" s="31"/>
      <c r="D1905" s="31"/>
      <c r="E1905" s="32"/>
      <c r="F1905" s="32"/>
      <c r="G1905" s="32"/>
    </row>
    <row r="1906">
      <c r="A1906" s="31"/>
      <c r="B1906" s="31"/>
      <c r="C1906" s="31"/>
      <c r="D1906" s="31"/>
      <c r="E1906" s="32"/>
      <c r="F1906" s="32"/>
      <c r="G1906" s="32"/>
    </row>
    <row r="1907">
      <c r="A1907" s="31"/>
      <c r="B1907" s="31"/>
      <c r="C1907" s="31"/>
      <c r="D1907" s="31"/>
      <c r="E1907" s="32"/>
      <c r="F1907" s="32"/>
      <c r="G1907" s="32"/>
    </row>
    <row r="1908">
      <c r="A1908" s="31"/>
      <c r="B1908" s="31"/>
      <c r="C1908" s="31"/>
      <c r="D1908" s="31"/>
      <c r="E1908" s="32"/>
      <c r="F1908" s="32"/>
      <c r="G1908" s="32"/>
    </row>
    <row r="1909">
      <c r="A1909" s="31"/>
      <c r="B1909" s="31"/>
      <c r="C1909" s="31"/>
      <c r="D1909" s="31"/>
      <c r="E1909" s="32"/>
      <c r="F1909" s="32"/>
      <c r="G1909" s="32"/>
    </row>
    <row r="1910">
      <c r="A1910" s="31"/>
      <c r="B1910" s="31"/>
      <c r="C1910" s="31"/>
      <c r="D1910" s="31"/>
      <c r="E1910" s="32"/>
      <c r="F1910" s="32"/>
      <c r="G1910" s="32"/>
    </row>
    <row r="1911">
      <c r="A1911" s="31"/>
      <c r="B1911" s="31"/>
      <c r="C1911" s="31"/>
      <c r="D1911" s="31"/>
      <c r="E1911" s="32"/>
      <c r="F1911" s="32"/>
      <c r="G1911" s="32"/>
    </row>
    <row r="1912">
      <c r="A1912" s="31"/>
      <c r="B1912" s="31"/>
      <c r="C1912" s="31"/>
      <c r="D1912" s="31"/>
      <c r="E1912" s="32"/>
      <c r="F1912" s="32"/>
      <c r="G1912" s="32"/>
    </row>
    <row r="1913">
      <c r="A1913" s="31"/>
      <c r="B1913" s="31"/>
      <c r="C1913" s="31"/>
      <c r="D1913" s="31"/>
      <c r="E1913" s="32"/>
      <c r="F1913" s="32"/>
      <c r="G1913" s="32"/>
    </row>
    <row r="1914">
      <c r="A1914" s="31"/>
      <c r="B1914" s="31"/>
      <c r="C1914" s="31"/>
      <c r="D1914" s="31"/>
      <c r="E1914" s="32"/>
      <c r="F1914" s="32"/>
      <c r="G1914" s="32"/>
    </row>
    <row r="1915">
      <c r="A1915" s="31"/>
      <c r="B1915" s="31"/>
      <c r="C1915" s="31"/>
      <c r="D1915" s="31"/>
      <c r="E1915" s="32"/>
      <c r="F1915" s="32"/>
      <c r="G1915" s="32"/>
    </row>
    <row r="1916">
      <c r="A1916" s="31"/>
      <c r="B1916" s="31"/>
      <c r="C1916" s="31"/>
      <c r="D1916" s="31"/>
      <c r="E1916" s="32"/>
      <c r="F1916" s="32"/>
      <c r="G1916" s="32"/>
    </row>
    <row r="1917">
      <c r="A1917" s="31"/>
      <c r="B1917" s="31"/>
      <c r="C1917" s="31"/>
      <c r="D1917" s="31"/>
      <c r="E1917" s="32"/>
      <c r="F1917" s="32"/>
      <c r="G1917" s="32"/>
    </row>
    <row r="1918">
      <c r="A1918" s="31"/>
      <c r="B1918" s="31"/>
      <c r="C1918" s="31"/>
      <c r="D1918" s="31"/>
      <c r="E1918" s="32"/>
      <c r="F1918" s="32"/>
      <c r="G1918" s="32"/>
    </row>
    <row r="1919">
      <c r="A1919" s="31"/>
      <c r="B1919" s="31"/>
      <c r="C1919" s="31"/>
      <c r="D1919" s="31"/>
      <c r="E1919" s="32"/>
      <c r="F1919" s="32"/>
      <c r="G1919" s="32"/>
    </row>
    <row r="1920">
      <c r="A1920" s="31"/>
      <c r="B1920" s="31"/>
      <c r="C1920" s="31"/>
      <c r="D1920" s="31"/>
      <c r="E1920" s="32"/>
      <c r="F1920" s="32"/>
      <c r="G1920" s="32"/>
    </row>
    <row r="1921">
      <c r="A1921" s="31"/>
      <c r="B1921" s="31"/>
      <c r="C1921" s="31"/>
      <c r="D1921" s="31"/>
      <c r="E1921" s="32"/>
      <c r="F1921" s="32"/>
      <c r="G1921" s="32"/>
    </row>
    <row r="1922">
      <c r="A1922" s="31"/>
      <c r="B1922" s="31"/>
      <c r="C1922" s="31"/>
      <c r="D1922" s="31"/>
      <c r="E1922" s="32"/>
      <c r="F1922" s="32"/>
      <c r="G1922" s="32"/>
    </row>
    <row r="1923">
      <c r="A1923" s="31"/>
      <c r="B1923" s="31"/>
      <c r="C1923" s="31"/>
      <c r="D1923" s="31"/>
      <c r="E1923" s="32"/>
      <c r="F1923" s="32"/>
      <c r="G1923" s="32"/>
    </row>
    <row r="1924">
      <c r="A1924" s="31"/>
      <c r="B1924" s="31"/>
      <c r="C1924" s="31"/>
      <c r="D1924" s="31"/>
      <c r="E1924" s="32"/>
      <c r="F1924" s="32"/>
      <c r="G1924" s="32"/>
    </row>
    <row r="1925">
      <c r="A1925" s="31"/>
      <c r="B1925" s="31"/>
      <c r="C1925" s="31"/>
      <c r="D1925" s="31"/>
      <c r="E1925" s="32"/>
      <c r="F1925" s="32"/>
      <c r="G1925" s="32"/>
    </row>
    <row r="1926">
      <c r="A1926" s="31"/>
      <c r="B1926" s="31"/>
      <c r="C1926" s="31"/>
      <c r="D1926" s="31"/>
      <c r="E1926" s="32"/>
      <c r="F1926" s="32"/>
      <c r="G1926" s="32"/>
    </row>
    <row r="1927">
      <c r="A1927" s="31"/>
      <c r="B1927" s="31"/>
      <c r="C1927" s="31"/>
      <c r="D1927" s="31"/>
      <c r="E1927" s="32"/>
      <c r="F1927" s="32"/>
      <c r="G1927" s="32"/>
    </row>
    <row r="1928">
      <c r="A1928" s="31"/>
      <c r="B1928" s="31"/>
      <c r="C1928" s="31"/>
      <c r="D1928" s="31"/>
      <c r="E1928" s="32"/>
      <c r="F1928" s="32"/>
      <c r="G1928" s="32"/>
    </row>
    <row r="1929">
      <c r="A1929" s="31"/>
      <c r="B1929" s="31"/>
      <c r="C1929" s="31"/>
      <c r="D1929" s="31"/>
      <c r="E1929" s="32"/>
      <c r="F1929" s="32"/>
      <c r="G1929" s="32"/>
    </row>
    <row r="1930">
      <c r="A1930" s="31"/>
      <c r="B1930" s="31"/>
      <c r="C1930" s="31"/>
      <c r="D1930" s="31"/>
      <c r="E1930" s="32"/>
      <c r="F1930" s="32"/>
      <c r="G1930" s="32"/>
    </row>
    <row r="1931">
      <c r="A1931" s="31"/>
      <c r="B1931" s="31"/>
      <c r="C1931" s="31"/>
      <c r="D1931" s="31"/>
      <c r="E1931" s="32"/>
      <c r="F1931" s="32"/>
      <c r="G1931" s="32"/>
    </row>
    <row r="1932">
      <c r="A1932" s="31"/>
      <c r="B1932" s="31"/>
      <c r="C1932" s="31"/>
      <c r="D1932" s="31"/>
      <c r="E1932" s="32"/>
      <c r="F1932" s="32"/>
      <c r="G1932" s="32"/>
    </row>
    <row r="1933">
      <c r="A1933" s="31"/>
      <c r="B1933" s="31"/>
      <c r="C1933" s="31"/>
      <c r="D1933" s="31"/>
      <c r="E1933" s="32"/>
      <c r="F1933" s="32"/>
      <c r="G1933" s="32"/>
    </row>
    <row r="1934">
      <c r="A1934" s="31"/>
      <c r="B1934" s="31"/>
      <c r="C1934" s="31"/>
      <c r="D1934" s="31"/>
      <c r="E1934" s="32"/>
      <c r="F1934" s="32"/>
      <c r="G1934" s="32"/>
    </row>
    <row r="1935">
      <c r="A1935" s="31"/>
      <c r="B1935" s="31"/>
      <c r="C1935" s="31"/>
      <c r="D1935" s="31"/>
      <c r="E1935" s="32"/>
      <c r="F1935" s="32"/>
      <c r="G1935" s="32"/>
    </row>
    <row r="1936">
      <c r="A1936" s="31"/>
      <c r="B1936" s="31"/>
      <c r="C1936" s="31"/>
      <c r="D1936" s="31"/>
      <c r="E1936" s="32"/>
      <c r="F1936" s="32"/>
      <c r="G1936" s="32"/>
    </row>
    <row r="1937">
      <c r="A1937" s="31"/>
      <c r="B1937" s="31"/>
      <c r="C1937" s="31"/>
      <c r="D1937" s="31"/>
      <c r="E1937" s="32"/>
      <c r="F1937" s="32"/>
      <c r="G1937" s="32"/>
    </row>
    <row r="1938">
      <c r="A1938" s="31"/>
      <c r="B1938" s="31"/>
      <c r="C1938" s="31"/>
      <c r="D1938" s="31"/>
      <c r="E1938" s="32"/>
      <c r="F1938" s="32"/>
      <c r="G1938" s="32"/>
    </row>
    <row r="1939">
      <c r="A1939" s="31"/>
      <c r="B1939" s="31"/>
      <c r="C1939" s="31"/>
      <c r="D1939" s="31"/>
      <c r="E1939" s="32"/>
      <c r="F1939" s="32"/>
      <c r="G1939" s="32"/>
    </row>
    <row r="1940">
      <c r="A1940" s="31"/>
      <c r="B1940" s="31"/>
      <c r="C1940" s="31"/>
      <c r="D1940" s="31"/>
      <c r="E1940" s="32"/>
      <c r="F1940" s="32"/>
      <c r="G1940" s="32"/>
    </row>
    <row r="1941">
      <c r="A1941" s="31"/>
      <c r="B1941" s="31"/>
      <c r="C1941" s="31"/>
      <c r="D1941" s="31"/>
      <c r="E1941" s="32"/>
      <c r="F1941" s="32"/>
      <c r="G1941" s="32"/>
    </row>
    <row r="1942">
      <c r="A1942" s="31"/>
      <c r="B1942" s="31"/>
      <c r="C1942" s="31"/>
      <c r="D1942" s="31"/>
      <c r="E1942" s="32"/>
      <c r="F1942" s="32"/>
      <c r="G1942" s="32"/>
    </row>
    <row r="1943">
      <c r="A1943" s="31"/>
      <c r="B1943" s="31"/>
      <c r="C1943" s="31"/>
      <c r="D1943" s="31"/>
      <c r="E1943" s="32"/>
      <c r="F1943" s="32"/>
      <c r="G1943" s="32"/>
    </row>
    <row r="1944">
      <c r="A1944" s="31"/>
      <c r="B1944" s="31"/>
      <c r="C1944" s="31"/>
      <c r="D1944" s="31"/>
      <c r="E1944" s="32"/>
      <c r="F1944" s="32"/>
      <c r="G1944" s="32"/>
    </row>
    <row r="1945">
      <c r="A1945" s="31"/>
      <c r="B1945" s="31"/>
      <c r="C1945" s="31"/>
      <c r="D1945" s="31"/>
      <c r="E1945" s="32"/>
      <c r="F1945" s="32"/>
      <c r="G1945" s="32"/>
    </row>
    <row r="1946">
      <c r="A1946" s="31"/>
      <c r="B1946" s="31"/>
      <c r="C1946" s="31"/>
      <c r="D1946" s="31"/>
      <c r="E1946" s="32"/>
      <c r="F1946" s="32"/>
      <c r="G1946" s="32"/>
    </row>
    <row r="1947">
      <c r="A1947" s="31"/>
      <c r="B1947" s="31"/>
      <c r="C1947" s="31"/>
      <c r="D1947" s="31"/>
      <c r="E1947" s="32"/>
      <c r="F1947" s="32"/>
      <c r="G1947" s="32"/>
    </row>
    <row r="1948">
      <c r="A1948" s="31"/>
      <c r="B1948" s="31"/>
      <c r="C1948" s="31"/>
      <c r="D1948" s="31"/>
      <c r="E1948" s="32"/>
      <c r="F1948" s="32"/>
      <c r="G1948" s="32"/>
    </row>
    <row r="1949">
      <c r="A1949" s="31"/>
      <c r="B1949" s="31"/>
      <c r="C1949" s="31"/>
      <c r="D1949" s="31"/>
      <c r="E1949" s="32"/>
      <c r="F1949" s="32"/>
      <c r="G1949" s="32"/>
    </row>
    <row r="1950">
      <c r="A1950" s="31"/>
      <c r="B1950" s="31"/>
      <c r="C1950" s="31"/>
      <c r="D1950" s="31"/>
      <c r="E1950" s="32"/>
      <c r="F1950" s="32"/>
      <c r="G1950" s="32"/>
    </row>
    <row r="1951">
      <c r="A1951" s="31"/>
      <c r="B1951" s="31"/>
      <c r="C1951" s="31"/>
      <c r="D1951" s="31"/>
      <c r="E1951" s="32"/>
      <c r="F1951" s="32"/>
      <c r="G1951" s="32"/>
    </row>
    <row r="1952">
      <c r="A1952" s="31"/>
      <c r="B1952" s="31"/>
      <c r="C1952" s="31"/>
      <c r="D1952" s="31"/>
      <c r="E1952" s="32"/>
      <c r="F1952" s="32"/>
      <c r="G1952" s="32"/>
    </row>
    <row r="1953">
      <c r="A1953" s="31"/>
      <c r="B1953" s="31"/>
      <c r="C1953" s="31"/>
      <c r="D1953" s="31"/>
      <c r="E1953" s="32"/>
      <c r="F1953" s="32"/>
      <c r="G1953" s="32"/>
    </row>
    <row r="1954">
      <c r="A1954" s="31"/>
      <c r="B1954" s="31"/>
      <c r="C1954" s="31"/>
      <c r="D1954" s="31"/>
      <c r="E1954" s="32"/>
      <c r="F1954" s="32"/>
      <c r="G1954" s="32"/>
    </row>
    <row r="1955">
      <c r="A1955" s="31"/>
      <c r="B1955" s="31"/>
      <c r="C1955" s="31"/>
      <c r="D1955" s="31"/>
      <c r="E1955" s="32"/>
      <c r="F1955" s="32"/>
      <c r="G1955" s="32"/>
    </row>
    <row r="1956">
      <c r="A1956" s="31"/>
      <c r="B1956" s="31"/>
      <c r="C1956" s="31"/>
      <c r="D1956" s="31"/>
      <c r="E1956" s="32"/>
      <c r="F1956" s="32"/>
      <c r="G1956" s="32"/>
    </row>
    <row r="1957">
      <c r="A1957" s="31"/>
      <c r="B1957" s="31"/>
      <c r="C1957" s="31"/>
      <c r="D1957" s="31"/>
      <c r="E1957" s="32"/>
      <c r="F1957" s="32"/>
      <c r="G1957" s="32"/>
    </row>
    <row r="1958">
      <c r="A1958" s="31"/>
      <c r="B1958" s="31"/>
      <c r="C1958" s="31"/>
      <c r="D1958" s="31"/>
      <c r="E1958" s="32"/>
      <c r="F1958" s="32"/>
      <c r="G1958" s="32"/>
    </row>
    <row r="1959">
      <c r="A1959" s="31"/>
      <c r="B1959" s="31"/>
      <c r="C1959" s="31"/>
      <c r="D1959" s="31"/>
      <c r="E1959" s="32"/>
      <c r="F1959" s="32"/>
      <c r="G1959" s="32"/>
    </row>
    <row r="1960">
      <c r="A1960" s="31"/>
      <c r="B1960" s="31"/>
      <c r="C1960" s="31"/>
      <c r="D1960" s="31"/>
      <c r="E1960" s="32"/>
      <c r="F1960" s="32"/>
      <c r="G1960" s="32"/>
    </row>
    <row r="1961">
      <c r="A1961" s="31"/>
      <c r="B1961" s="31"/>
      <c r="C1961" s="31"/>
      <c r="D1961" s="31"/>
      <c r="E1961" s="32"/>
      <c r="F1961" s="32"/>
      <c r="G1961" s="32"/>
    </row>
    <row r="1962">
      <c r="A1962" s="31"/>
      <c r="B1962" s="31"/>
      <c r="C1962" s="31"/>
      <c r="D1962" s="31"/>
      <c r="E1962" s="32"/>
      <c r="F1962" s="32"/>
      <c r="G1962" s="32"/>
    </row>
    <row r="1963">
      <c r="A1963" s="31"/>
      <c r="B1963" s="31"/>
      <c r="C1963" s="31"/>
      <c r="D1963" s="31"/>
      <c r="E1963" s="32"/>
      <c r="F1963" s="32"/>
      <c r="G1963" s="32"/>
    </row>
    <row r="1964">
      <c r="A1964" s="31"/>
      <c r="B1964" s="31"/>
      <c r="C1964" s="31"/>
      <c r="D1964" s="31"/>
      <c r="E1964" s="32"/>
      <c r="F1964" s="32"/>
      <c r="G1964" s="32"/>
    </row>
    <row r="1965">
      <c r="A1965" s="31"/>
      <c r="B1965" s="31"/>
      <c r="C1965" s="31"/>
      <c r="D1965" s="31"/>
      <c r="E1965" s="32"/>
      <c r="F1965" s="32"/>
      <c r="G1965" s="32"/>
    </row>
    <row r="1966">
      <c r="A1966" s="31"/>
      <c r="B1966" s="31"/>
      <c r="C1966" s="31"/>
      <c r="D1966" s="31"/>
      <c r="E1966" s="32"/>
      <c r="F1966" s="32"/>
      <c r="G1966" s="32"/>
    </row>
    <row r="1967">
      <c r="A1967" s="31"/>
      <c r="B1967" s="31"/>
      <c r="C1967" s="31"/>
      <c r="D1967" s="31"/>
      <c r="E1967" s="32"/>
      <c r="F1967" s="32"/>
      <c r="G1967" s="32"/>
    </row>
    <row r="1968">
      <c r="A1968" s="31"/>
      <c r="B1968" s="31"/>
      <c r="C1968" s="31"/>
      <c r="D1968" s="31"/>
      <c r="E1968" s="32"/>
      <c r="F1968" s="32"/>
      <c r="G1968" s="32"/>
    </row>
    <row r="1969">
      <c r="A1969" s="31"/>
      <c r="B1969" s="31"/>
      <c r="C1969" s="31"/>
      <c r="D1969" s="31"/>
      <c r="E1969" s="32"/>
      <c r="F1969" s="32"/>
      <c r="G1969" s="32"/>
    </row>
    <row r="1970">
      <c r="A1970" s="31"/>
      <c r="B1970" s="31"/>
      <c r="C1970" s="31"/>
      <c r="D1970" s="31"/>
      <c r="E1970" s="32"/>
      <c r="F1970" s="32"/>
      <c r="G1970" s="32"/>
    </row>
    <row r="1971">
      <c r="A1971" s="31"/>
      <c r="B1971" s="31"/>
      <c r="C1971" s="31"/>
      <c r="D1971" s="31"/>
      <c r="E1971" s="32"/>
      <c r="F1971" s="32"/>
      <c r="G1971" s="32"/>
    </row>
    <row r="1972">
      <c r="A1972" s="31"/>
      <c r="B1972" s="31"/>
      <c r="C1972" s="31"/>
      <c r="D1972" s="31"/>
      <c r="E1972" s="32"/>
      <c r="F1972" s="32"/>
      <c r="G1972" s="32"/>
    </row>
    <row r="1973">
      <c r="A1973" s="31"/>
      <c r="B1973" s="31"/>
      <c r="C1973" s="31"/>
      <c r="D1973" s="31"/>
      <c r="E1973" s="32"/>
      <c r="F1973" s="32"/>
      <c r="G1973" s="32"/>
    </row>
    <row r="1974">
      <c r="A1974" s="31"/>
      <c r="B1974" s="31"/>
      <c r="C1974" s="31"/>
      <c r="D1974" s="31"/>
      <c r="E1974" s="32"/>
      <c r="F1974" s="32"/>
      <c r="G1974" s="32"/>
    </row>
    <row r="1975">
      <c r="A1975" s="31"/>
      <c r="B1975" s="31"/>
      <c r="C1975" s="31"/>
      <c r="D1975" s="31"/>
      <c r="E1975" s="32"/>
      <c r="F1975" s="32"/>
      <c r="G1975" s="32"/>
    </row>
    <row r="1976">
      <c r="A1976" s="31"/>
      <c r="B1976" s="31"/>
      <c r="C1976" s="31"/>
      <c r="D1976" s="31"/>
      <c r="E1976" s="32"/>
      <c r="F1976" s="32"/>
      <c r="G1976" s="32"/>
    </row>
    <row r="1977">
      <c r="A1977" s="31"/>
      <c r="B1977" s="31"/>
      <c r="C1977" s="31"/>
      <c r="D1977" s="31"/>
      <c r="E1977" s="32"/>
      <c r="F1977" s="32"/>
      <c r="G1977" s="32"/>
    </row>
    <row r="1978">
      <c r="A1978" s="31"/>
      <c r="B1978" s="31"/>
      <c r="C1978" s="31"/>
      <c r="D1978" s="31"/>
      <c r="E1978" s="32"/>
      <c r="F1978" s="32"/>
      <c r="G1978" s="32"/>
    </row>
    <row r="1979">
      <c r="A1979" s="31"/>
      <c r="B1979" s="31"/>
      <c r="C1979" s="31"/>
      <c r="D1979" s="31"/>
      <c r="E1979" s="32"/>
      <c r="F1979" s="32"/>
      <c r="G1979" s="32"/>
    </row>
    <row r="1980">
      <c r="A1980" s="31"/>
      <c r="B1980" s="31"/>
      <c r="C1980" s="31"/>
      <c r="D1980" s="31"/>
      <c r="E1980" s="32"/>
      <c r="F1980" s="32"/>
      <c r="G1980" s="32"/>
    </row>
    <row r="1981">
      <c r="A1981" s="31"/>
      <c r="B1981" s="31"/>
      <c r="C1981" s="31"/>
      <c r="D1981" s="31"/>
      <c r="E1981" s="32"/>
      <c r="F1981" s="32"/>
      <c r="G1981" s="32"/>
    </row>
    <row r="1982">
      <c r="A1982" s="31"/>
      <c r="B1982" s="31"/>
      <c r="C1982" s="31"/>
      <c r="D1982" s="31"/>
      <c r="E1982" s="32"/>
      <c r="F1982" s="32"/>
      <c r="G1982" s="32"/>
    </row>
    <row r="1983">
      <c r="A1983" s="31"/>
      <c r="B1983" s="31"/>
      <c r="C1983" s="31"/>
      <c r="D1983" s="31"/>
      <c r="E1983" s="32"/>
      <c r="F1983" s="32"/>
      <c r="G1983" s="32"/>
    </row>
    <row r="1984">
      <c r="A1984" s="31"/>
      <c r="B1984" s="31"/>
      <c r="C1984" s="31"/>
      <c r="D1984" s="31"/>
      <c r="E1984" s="32"/>
      <c r="F1984" s="32"/>
      <c r="G1984" s="32"/>
    </row>
    <row r="1985">
      <c r="A1985" s="31"/>
      <c r="B1985" s="31"/>
      <c r="C1985" s="31"/>
      <c r="D1985" s="31"/>
      <c r="E1985" s="32"/>
      <c r="F1985" s="32"/>
      <c r="G1985" s="32"/>
    </row>
    <row r="1986">
      <c r="A1986" s="31"/>
      <c r="B1986" s="31"/>
      <c r="C1986" s="31"/>
      <c r="D1986" s="31"/>
      <c r="E1986" s="32"/>
      <c r="F1986" s="32"/>
      <c r="G1986" s="32"/>
    </row>
    <row r="1987">
      <c r="A1987" s="31"/>
      <c r="B1987" s="31"/>
      <c r="C1987" s="31"/>
      <c r="D1987" s="31"/>
      <c r="E1987" s="32"/>
      <c r="F1987" s="32"/>
      <c r="G1987" s="32"/>
    </row>
    <row r="1988">
      <c r="A1988" s="31"/>
      <c r="B1988" s="31"/>
      <c r="C1988" s="31"/>
      <c r="D1988" s="31"/>
      <c r="E1988" s="32"/>
      <c r="F1988" s="32"/>
      <c r="G1988" s="32"/>
    </row>
    <row r="1989">
      <c r="A1989" s="31"/>
      <c r="B1989" s="31"/>
      <c r="C1989" s="31"/>
      <c r="D1989" s="31"/>
      <c r="E1989" s="32"/>
      <c r="F1989" s="32"/>
      <c r="G1989" s="32"/>
    </row>
    <row r="1990">
      <c r="A1990" s="31"/>
      <c r="B1990" s="31"/>
      <c r="C1990" s="31"/>
      <c r="D1990" s="31"/>
      <c r="E1990" s="32"/>
      <c r="F1990" s="32"/>
      <c r="G1990" s="32"/>
    </row>
    <row r="1991">
      <c r="A1991" s="31"/>
      <c r="B1991" s="31"/>
      <c r="C1991" s="31"/>
      <c r="D1991" s="31"/>
      <c r="E1991" s="32"/>
      <c r="F1991" s="32"/>
      <c r="G1991" s="32"/>
    </row>
    <row r="1992">
      <c r="A1992" s="31"/>
      <c r="B1992" s="31"/>
      <c r="C1992" s="31"/>
      <c r="D1992" s="31"/>
      <c r="E1992" s="32"/>
      <c r="F1992" s="32"/>
      <c r="G1992" s="32"/>
    </row>
    <row r="1993">
      <c r="A1993" s="31"/>
      <c r="B1993" s="31"/>
      <c r="C1993" s="31"/>
      <c r="D1993" s="31"/>
      <c r="E1993" s="32"/>
      <c r="F1993" s="32"/>
      <c r="G1993" s="32"/>
    </row>
    <row r="1994">
      <c r="A1994" s="31"/>
      <c r="B1994" s="31"/>
      <c r="C1994" s="31"/>
      <c r="D1994" s="31"/>
      <c r="E1994" s="32"/>
      <c r="F1994" s="32"/>
      <c r="G1994" s="32"/>
    </row>
    <row r="1995">
      <c r="A1995" s="31"/>
      <c r="B1995" s="31"/>
      <c r="C1995" s="31"/>
      <c r="D1995" s="31"/>
      <c r="E1995" s="32"/>
      <c r="F1995" s="32"/>
      <c r="G1995" s="32"/>
    </row>
    <row r="1996">
      <c r="A1996" s="31"/>
      <c r="B1996" s="31"/>
      <c r="C1996" s="31"/>
      <c r="D1996" s="31"/>
      <c r="E1996" s="32"/>
      <c r="F1996" s="32"/>
      <c r="G1996" s="32"/>
    </row>
    <row r="1997">
      <c r="A1997" s="31"/>
      <c r="B1997" s="31"/>
      <c r="C1997" s="31"/>
      <c r="D1997" s="31"/>
      <c r="E1997" s="32"/>
      <c r="F1997" s="32"/>
      <c r="G1997" s="32"/>
    </row>
    <row r="1998">
      <c r="A1998" s="31"/>
      <c r="B1998" s="31"/>
      <c r="C1998" s="31"/>
      <c r="D1998" s="31"/>
      <c r="E1998" s="32"/>
      <c r="F1998" s="32"/>
      <c r="G1998" s="32"/>
    </row>
    <row r="1999">
      <c r="A1999" s="31"/>
      <c r="B1999" s="31"/>
      <c r="C1999" s="31"/>
      <c r="D1999" s="31"/>
      <c r="E1999" s="32"/>
      <c r="F1999" s="32"/>
      <c r="G1999" s="32"/>
    </row>
    <row r="2000">
      <c r="A2000" s="31"/>
      <c r="B2000" s="31"/>
      <c r="C2000" s="31"/>
      <c r="D2000" s="31"/>
      <c r="E2000" s="32"/>
      <c r="F2000" s="32"/>
      <c r="G2000" s="32"/>
    </row>
    <row r="2001">
      <c r="A2001" s="31"/>
      <c r="B2001" s="31"/>
      <c r="C2001" s="31"/>
      <c r="D2001" s="31"/>
      <c r="E2001" s="32"/>
      <c r="F2001" s="32"/>
      <c r="G2001" s="32"/>
    </row>
    <row r="2002">
      <c r="A2002" s="31"/>
      <c r="B2002" s="31"/>
      <c r="C2002" s="31"/>
      <c r="D2002" s="31"/>
      <c r="E2002" s="32"/>
      <c r="F2002" s="32"/>
      <c r="G2002" s="32"/>
    </row>
    <row r="2003">
      <c r="A2003" s="31"/>
      <c r="B2003" s="31"/>
      <c r="C2003" s="31"/>
      <c r="D2003" s="31"/>
      <c r="E2003" s="32"/>
      <c r="F2003" s="32"/>
      <c r="G2003" s="32"/>
    </row>
    <row r="2004">
      <c r="A2004" s="31"/>
      <c r="B2004" s="31"/>
      <c r="C2004" s="31"/>
      <c r="D2004" s="31"/>
      <c r="E2004" s="32"/>
      <c r="F2004" s="32"/>
      <c r="G2004" s="32"/>
    </row>
    <row r="2005">
      <c r="A2005" s="31"/>
      <c r="B2005" s="31"/>
      <c r="C2005" s="31"/>
      <c r="D2005" s="31"/>
      <c r="E2005" s="32"/>
      <c r="F2005" s="32"/>
      <c r="G2005" s="32"/>
    </row>
    <row r="2006">
      <c r="A2006" s="31"/>
      <c r="B2006" s="31"/>
      <c r="C2006" s="31"/>
      <c r="D2006" s="31"/>
      <c r="E2006" s="32"/>
      <c r="F2006" s="32"/>
      <c r="G2006" s="32"/>
    </row>
    <row r="2007">
      <c r="A2007" s="31"/>
      <c r="B2007" s="31"/>
      <c r="C2007" s="31"/>
      <c r="D2007" s="31"/>
      <c r="E2007" s="32"/>
      <c r="F2007" s="32"/>
      <c r="G2007" s="32"/>
    </row>
    <row r="2008">
      <c r="A2008" s="31"/>
      <c r="B2008" s="31"/>
      <c r="C2008" s="31"/>
      <c r="D2008" s="31"/>
      <c r="E2008" s="32"/>
      <c r="F2008" s="32"/>
      <c r="G2008" s="32"/>
    </row>
    <row r="2009">
      <c r="A2009" s="31"/>
      <c r="B2009" s="31"/>
      <c r="C2009" s="31"/>
      <c r="D2009" s="31"/>
      <c r="E2009" s="32"/>
      <c r="F2009" s="32"/>
      <c r="G2009" s="32"/>
    </row>
    <row r="2010">
      <c r="A2010" s="31"/>
      <c r="B2010" s="31"/>
      <c r="C2010" s="31"/>
      <c r="D2010" s="31"/>
      <c r="E2010" s="32"/>
      <c r="F2010" s="32"/>
      <c r="G2010" s="32"/>
    </row>
    <row r="2011">
      <c r="A2011" s="31"/>
      <c r="B2011" s="31"/>
      <c r="C2011" s="31"/>
      <c r="D2011" s="31"/>
      <c r="E2011" s="32"/>
      <c r="F2011" s="32"/>
      <c r="G2011" s="32"/>
    </row>
    <row r="2012">
      <c r="A2012" s="31"/>
      <c r="B2012" s="31"/>
      <c r="C2012" s="31"/>
      <c r="D2012" s="31"/>
      <c r="E2012" s="32"/>
      <c r="F2012" s="32"/>
      <c r="G2012" s="32"/>
    </row>
    <row r="2013">
      <c r="A2013" s="31"/>
      <c r="B2013" s="31"/>
      <c r="C2013" s="31"/>
      <c r="D2013" s="31"/>
      <c r="E2013" s="32"/>
      <c r="F2013" s="32"/>
      <c r="G2013" s="32"/>
    </row>
    <row r="2014">
      <c r="A2014" s="31"/>
      <c r="B2014" s="31"/>
      <c r="C2014" s="31"/>
      <c r="D2014" s="31"/>
      <c r="E2014" s="32"/>
      <c r="F2014" s="32"/>
      <c r="G2014" s="32"/>
    </row>
    <row r="2015">
      <c r="A2015" s="31"/>
      <c r="B2015" s="31"/>
      <c r="C2015" s="31"/>
      <c r="D2015" s="31"/>
      <c r="E2015" s="32"/>
      <c r="F2015" s="32"/>
      <c r="G2015" s="32"/>
    </row>
    <row r="2016">
      <c r="A2016" s="31"/>
      <c r="B2016" s="31"/>
      <c r="C2016" s="31"/>
      <c r="D2016" s="31"/>
      <c r="E2016" s="32"/>
      <c r="F2016" s="32"/>
      <c r="G2016" s="32"/>
    </row>
    <row r="2017">
      <c r="A2017" s="31"/>
      <c r="B2017" s="31"/>
      <c r="C2017" s="31"/>
      <c r="D2017" s="31"/>
      <c r="E2017" s="32"/>
      <c r="F2017" s="32"/>
      <c r="G2017" s="32"/>
    </row>
    <row r="2018">
      <c r="A2018" s="31"/>
      <c r="B2018" s="31"/>
      <c r="C2018" s="31"/>
      <c r="D2018" s="31"/>
      <c r="E2018" s="32"/>
      <c r="F2018" s="32"/>
      <c r="G2018" s="32"/>
    </row>
    <row r="2019">
      <c r="A2019" s="31"/>
      <c r="B2019" s="31"/>
      <c r="C2019" s="31"/>
      <c r="D2019" s="31"/>
      <c r="E2019" s="32"/>
      <c r="F2019" s="32"/>
      <c r="G2019" s="32"/>
    </row>
    <row r="2020">
      <c r="A2020" s="31"/>
      <c r="B2020" s="31"/>
      <c r="C2020" s="31"/>
      <c r="D2020" s="31"/>
      <c r="E2020" s="32"/>
      <c r="F2020" s="32"/>
      <c r="G2020" s="32"/>
    </row>
    <row r="2021">
      <c r="A2021" s="31"/>
      <c r="B2021" s="31"/>
      <c r="C2021" s="31"/>
      <c r="D2021" s="31"/>
      <c r="E2021" s="32"/>
      <c r="F2021" s="32"/>
      <c r="G2021" s="32"/>
    </row>
    <row r="2022">
      <c r="A2022" s="31"/>
      <c r="B2022" s="31"/>
      <c r="C2022" s="31"/>
      <c r="D2022" s="31"/>
      <c r="E2022" s="32"/>
      <c r="F2022" s="32"/>
      <c r="G2022" s="32"/>
    </row>
    <row r="2023">
      <c r="A2023" s="31"/>
      <c r="B2023" s="31"/>
      <c r="C2023" s="31"/>
      <c r="D2023" s="31"/>
      <c r="E2023" s="32"/>
      <c r="F2023" s="32"/>
      <c r="G2023" s="32"/>
    </row>
    <row r="2024">
      <c r="A2024" s="31"/>
      <c r="B2024" s="31"/>
      <c r="C2024" s="31"/>
      <c r="D2024" s="31"/>
      <c r="E2024" s="32"/>
      <c r="F2024" s="32"/>
      <c r="G2024" s="32"/>
    </row>
    <row r="2025">
      <c r="A2025" s="31"/>
      <c r="B2025" s="31"/>
      <c r="C2025" s="31"/>
      <c r="D2025" s="31"/>
      <c r="E2025" s="32"/>
      <c r="F2025" s="32"/>
      <c r="G2025" s="32"/>
    </row>
    <row r="2026">
      <c r="A2026" s="31"/>
      <c r="B2026" s="31"/>
      <c r="C2026" s="31"/>
      <c r="D2026" s="31"/>
      <c r="E2026" s="32"/>
      <c r="F2026" s="32"/>
      <c r="G2026" s="32"/>
    </row>
    <row r="2027">
      <c r="A2027" s="31"/>
      <c r="B2027" s="31"/>
      <c r="C2027" s="31"/>
      <c r="D2027" s="31"/>
      <c r="E2027" s="32"/>
      <c r="F2027" s="32"/>
      <c r="G2027" s="32"/>
    </row>
    <row r="2028">
      <c r="A2028" s="31"/>
      <c r="B2028" s="31"/>
      <c r="C2028" s="31"/>
      <c r="D2028" s="31"/>
      <c r="E2028" s="32"/>
      <c r="F2028" s="32"/>
      <c r="G2028" s="32"/>
    </row>
    <row r="2029">
      <c r="A2029" s="31"/>
      <c r="B2029" s="31"/>
      <c r="C2029" s="31"/>
      <c r="D2029" s="31"/>
      <c r="E2029" s="32"/>
      <c r="F2029" s="32"/>
      <c r="G2029" s="32"/>
    </row>
    <row r="2030">
      <c r="A2030" s="31"/>
      <c r="B2030" s="31"/>
      <c r="C2030" s="31"/>
      <c r="D2030" s="31"/>
      <c r="E2030" s="32"/>
      <c r="F2030" s="32"/>
      <c r="G2030" s="32"/>
    </row>
    <row r="2031">
      <c r="A2031" s="31"/>
      <c r="B2031" s="31"/>
      <c r="C2031" s="31"/>
      <c r="D2031" s="31"/>
      <c r="E2031" s="32"/>
      <c r="F2031" s="32"/>
      <c r="G2031" s="32"/>
    </row>
    <row r="2032">
      <c r="A2032" s="31"/>
      <c r="B2032" s="31"/>
      <c r="C2032" s="31"/>
      <c r="D2032" s="31"/>
      <c r="E2032" s="32"/>
      <c r="F2032" s="32"/>
      <c r="G2032" s="32"/>
    </row>
    <row r="2033">
      <c r="A2033" s="31"/>
      <c r="B2033" s="31"/>
      <c r="C2033" s="31"/>
      <c r="D2033" s="31"/>
      <c r="E2033" s="32"/>
      <c r="F2033" s="32"/>
      <c r="G2033" s="32"/>
    </row>
    <row r="2034">
      <c r="A2034" s="31"/>
      <c r="B2034" s="31"/>
      <c r="C2034" s="31"/>
      <c r="D2034" s="31"/>
      <c r="E2034" s="32"/>
      <c r="F2034" s="32"/>
      <c r="G2034" s="32"/>
    </row>
    <row r="2035">
      <c r="A2035" s="31"/>
      <c r="B2035" s="31"/>
      <c r="C2035" s="31"/>
      <c r="D2035" s="31"/>
      <c r="E2035" s="32"/>
      <c r="F2035" s="32"/>
      <c r="G2035" s="32"/>
    </row>
    <row r="2036">
      <c r="A2036" s="31"/>
      <c r="B2036" s="31"/>
      <c r="C2036" s="31"/>
      <c r="D2036" s="31"/>
      <c r="E2036" s="32"/>
      <c r="F2036" s="32"/>
      <c r="G2036" s="32"/>
    </row>
    <row r="2037">
      <c r="A2037" s="31"/>
      <c r="B2037" s="31"/>
      <c r="C2037" s="31"/>
      <c r="D2037" s="31"/>
      <c r="E2037" s="32"/>
      <c r="F2037" s="32"/>
      <c r="G2037" s="32"/>
    </row>
    <row r="2038">
      <c r="A2038" s="31"/>
      <c r="B2038" s="31"/>
      <c r="C2038" s="31"/>
      <c r="D2038" s="31"/>
      <c r="E2038" s="32"/>
      <c r="F2038" s="32"/>
      <c r="G2038" s="32"/>
    </row>
    <row r="2039">
      <c r="A2039" s="31"/>
      <c r="B2039" s="31"/>
      <c r="C2039" s="31"/>
      <c r="D2039" s="31"/>
      <c r="E2039" s="32"/>
      <c r="F2039" s="32"/>
      <c r="G2039" s="32"/>
    </row>
    <row r="2040">
      <c r="A2040" s="31"/>
      <c r="B2040" s="31"/>
      <c r="C2040" s="31"/>
      <c r="D2040" s="31"/>
      <c r="E2040" s="32"/>
      <c r="F2040" s="32"/>
      <c r="G2040" s="32"/>
    </row>
    <row r="2041">
      <c r="A2041" s="31"/>
      <c r="B2041" s="31"/>
      <c r="C2041" s="31"/>
      <c r="D2041" s="31"/>
      <c r="E2041" s="32"/>
      <c r="F2041" s="32"/>
      <c r="G2041" s="32"/>
    </row>
    <row r="2042">
      <c r="A2042" s="31"/>
      <c r="B2042" s="31"/>
      <c r="C2042" s="31"/>
      <c r="D2042" s="31"/>
      <c r="E2042" s="32"/>
      <c r="F2042" s="32"/>
      <c r="G2042" s="32"/>
    </row>
    <row r="2043">
      <c r="A2043" s="31"/>
      <c r="B2043" s="31"/>
      <c r="C2043" s="31"/>
      <c r="D2043" s="31"/>
      <c r="E2043" s="32"/>
      <c r="F2043" s="32"/>
      <c r="G2043" s="32"/>
    </row>
    <row r="2044">
      <c r="A2044" s="31"/>
      <c r="B2044" s="31"/>
      <c r="C2044" s="31"/>
      <c r="D2044" s="31"/>
      <c r="E2044" s="32"/>
      <c r="F2044" s="32"/>
      <c r="G2044" s="32"/>
    </row>
    <row r="2045">
      <c r="A2045" s="31"/>
      <c r="B2045" s="31"/>
      <c r="C2045" s="31"/>
      <c r="D2045" s="31"/>
      <c r="E2045" s="32"/>
      <c r="F2045" s="32"/>
      <c r="G2045" s="32"/>
    </row>
    <row r="2046">
      <c r="A2046" s="31"/>
      <c r="B2046" s="31"/>
      <c r="C2046" s="31"/>
      <c r="D2046" s="31"/>
      <c r="E2046" s="32"/>
      <c r="F2046" s="32"/>
      <c r="G2046" s="32"/>
    </row>
    <row r="2047">
      <c r="A2047" s="31"/>
      <c r="B2047" s="31"/>
      <c r="C2047" s="31"/>
      <c r="D2047" s="31"/>
      <c r="E2047" s="32"/>
      <c r="F2047" s="32"/>
      <c r="G2047" s="32"/>
    </row>
    <row r="2048">
      <c r="A2048" s="31"/>
      <c r="B2048" s="31"/>
      <c r="C2048" s="31"/>
      <c r="D2048" s="31"/>
      <c r="E2048" s="32"/>
      <c r="F2048" s="32"/>
      <c r="G2048" s="32"/>
    </row>
    <row r="2049">
      <c r="A2049" s="31"/>
      <c r="B2049" s="31"/>
      <c r="C2049" s="31"/>
      <c r="D2049" s="31"/>
      <c r="E2049" s="32"/>
      <c r="F2049" s="32"/>
      <c r="G2049" s="32"/>
    </row>
    <row r="2050">
      <c r="A2050" s="31"/>
      <c r="B2050" s="31"/>
      <c r="C2050" s="31"/>
      <c r="D2050" s="31"/>
      <c r="E2050" s="32"/>
      <c r="F2050" s="32"/>
      <c r="G2050" s="32"/>
    </row>
    <row r="2051">
      <c r="A2051" s="31"/>
      <c r="B2051" s="31"/>
      <c r="C2051" s="31"/>
      <c r="D2051" s="31"/>
      <c r="E2051" s="32"/>
      <c r="F2051" s="32"/>
      <c r="G2051" s="32"/>
    </row>
    <row r="2052">
      <c r="A2052" s="31"/>
      <c r="B2052" s="31"/>
      <c r="C2052" s="31"/>
      <c r="D2052" s="31"/>
      <c r="E2052" s="32"/>
      <c r="F2052" s="32"/>
      <c r="G2052" s="32"/>
    </row>
    <row r="2053">
      <c r="A2053" s="31"/>
      <c r="B2053" s="31"/>
      <c r="C2053" s="31"/>
      <c r="D2053" s="31"/>
      <c r="E2053" s="32"/>
      <c r="F2053" s="32"/>
      <c r="G2053" s="32"/>
    </row>
    <row r="2054">
      <c r="A2054" s="31"/>
      <c r="B2054" s="31"/>
      <c r="C2054" s="31"/>
      <c r="D2054" s="31"/>
      <c r="E2054" s="32"/>
      <c r="F2054" s="32"/>
      <c r="G2054" s="32"/>
    </row>
    <row r="2055">
      <c r="A2055" s="31"/>
      <c r="B2055" s="31"/>
      <c r="C2055" s="31"/>
      <c r="D2055" s="31"/>
      <c r="E2055" s="32"/>
      <c r="F2055" s="32"/>
      <c r="G2055" s="32"/>
    </row>
    <row r="2056">
      <c r="A2056" s="31"/>
      <c r="B2056" s="31"/>
      <c r="C2056" s="31"/>
      <c r="D2056" s="31"/>
      <c r="E2056" s="32"/>
      <c r="F2056" s="32"/>
      <c r="G2056" s="32"/>
    </row>
    <row r="2057">
      <c r="A2057" s="31"/>
      <c r="B2057" s="31"/>
      <c r="C2057" s="31"/>
      <c r="D2057" s="31"/>
      <c r="E2057" s="32"/>
      <c r="F2057" s="32"/>
      <c r="G2057" s="32"/>
    </row>
    <row r="2058">
      <c r="A2058" s="31"/>
      <c r="B2058" s="31"/>
      <c r="C2058" s="31"/>
      <c r="D2058" s="31"/>
      <c r="E2058" s="32"/>
      <c r="F2058" s="32"/>
      <c r="G2058" s="32"/>
    </row>
    <row r="2059">
      <c r="A2059" s="31"/>
      <c r="B2059" s="31"/>
      <c r="C2059" s="31"/>
      <c r="D2059" s="31"/>
      <c r="E2059" s="32"/>
      <c r="F2059" s="32"/>
      <c r="G2059" s="32"/>
    </row>
    <row r="2060">
      <c r="A2060" s="31"/>
      <c r="B2060" s="31"/>
      <c r="C2060" s="31"/>
      <c r="D2060" s="31"/>
      <c r="E2060" s="32"/>
      <c r="F2060" s="32"/>
      <c r="G2060" s="32"/>
    </row>
    <row r="2061">
      <c r="A2061" s="31"/>
      <c r="B2061" s="31"/>
      <c r="C2061" s="31"/>
      <c r="D2061" s="31"/>
      <c r="E2061" s="32"/>
      <c r="F2061" s="32"/>
      <c r="G2061" s="32"/>
    </row>
    <row r="2062">
      <c r="A2062" s="31"/>
      <c r="B2062" s="31"/>
      <c r="C2062" s="31"/>
      <c r="D2062" s="31"/>
      <c r="E2062" s="32"/>
      <c r="F2062" s="32"/>
      <c r="G2062" s="32"/>
    </row>
    <row r="2063">
      <c r="A2063" s="31"/>
      <c r="B2063" s="31"/>
      <c r="C2063" s="31"/>
      <c r="D2063" s="31"/>
      <c r="E2063" s="32"/>
      <c r="F2063" s="32"/>
      <c r="G2063" s="32"/>
    </row>
    <row r="2064">
      <c r="A2064" s="31"/>
      <c r="B2064" s="31"/>
      <c r="C2064" s="31"/>
      <c r="D2064" s="31"/>
      <c r="E2064" s="32"/>
      <c r="F2064" s="32"/>
      <c r="G2064" s="32"/>
    </row>
    <row r="2065">
      <c r="A2065" s="31"/>
      <c r="B2065" s="31"/>
      <c r="C2065" s="31"/>
      <c r="D2065" s="31"/>
      <c r="E2065" s="32"/>
      <c r="F2065" s="32"/>
      <c r="G2065" s="32"/>
    </row>
    <row r="2066">
      <c r="A2066" s="31"/>
      <c r="B2066" s="31"/>
      <c r="C2066" s="31"/>
      <c r="D2066" s="31"/>
      <c r="E2066" s="32"/>
      <c r="F2066" s="32"/>
      <c r="G2066" s="32"/>
    </row>
    <row r="2067">
      <c r="A2067" s="31"/>
      <c r="B2067" s="31"/>
      <c r="C2067" s="31"/>
      <c r="D2067" s="31"/>
      <c r="E2067" s="32"/>
      <c r="F2067" s="32"/>
      <c r="G2067" s="32"/>
    </row>
    <row r="2068">
      <c r="A2068" s="31"/>
      <c r="B2068" s="31"/>
      <c r="C2068" s="31"/>
      <c r="D2068" s="31"/>
      <c r="E2068" s="32"/>
      <c r="F2068" s="32"/>
      <c r="G2068" s="32"/>
    </row>
    <row r="2069">
      <c r="A2069" s="31"/>
      <c r="B2069" s="31"/>
      <c r="C2069" s="31"/>
      <c r="D2069" s="31"/>
      <c r="E2069" s="32"/>
      <c r="F2069" s="32"/>
      <c r="G2069" s="32"/>
    </row>
    <row r="2070">
      <c r="A2070" s="31"/>
      <c r="B2070" s="31"/>
      <c r="C2070" s="31"/>
      <c r="D2070" s="31"/>
      <c r="E2070" s="32"/>
      <c r="F2070" s="32"/>
      <c r="G2070" s="32"/>
    </row>
    <row r="2071">
      <c r="A2071" s="31"/>
      <c r="B2071" s="31"/>
      <c r="C2071" s="31"/>
      <c r="D2071" s="31"/>
      <c r="E2071" s="32"/>
      <c r="F2071" s="32"/>
      <c r="G2071" s="32"/>
    </row>
    <row r="2072">
      <c r="A2072" s="31"/>
      <c r="B2072" s="31"/>
      <c r="C2072" s="31"/>
      <c r="D2072" s="31"/>
      <c r="E2072" s="32"/>
      <c r="F2072" s="32"/>
      <c r="G2072" s="32"/>
    </row>
    <row r="2073">
      <c r="A2073" s="31"/>
      <c r="B2073" s="31"/>
      <c r="C2073" s="31"/>
      <c r="D2073" s="31"/>
      <c r="E2073" s="32"/>
      <c r="F2073" s="32"/>
      <c r="G2073" s="32"/>
    </row>
    <row r="2074">
      <c r="A2074" s="31"/>
      <c r="B2074" s="31"/>
      <c r="C2074" s="31"/>
      <c r="D2074" s="31"/>
      <c r="E2074" s="32"/>
      <c r="F2074" s="32"/>
      <c r="G2074" s="32"/>
    </row>
    <row r="2075">
      <c r="A2075" s="31"/>
      <c r="B2075" s="31"/>
      <c r="C2075" s="31"/>
      <c r="D2075" s="31"/>
      <c r="E2075" s="32"/>
      <c r="F2075" s="32"/>
      <c r="G2075" s="32"/>
    </row>
    <row r="2076">
      <c r="A2076" s="31"/>
      <c r="B2076" s="31"/>
      <c r="C2076" s="31"/>
      <c r="D2076" s="31"/>
      <c r="E2076" s="32"/>
      <c r="F2076" s="32"/>
      <c r="G2076" s="32"/>
    </row>
    <row r="2077">
      <c r="A2077" s="31"/>
      <c r="B2077" s="31"/>
      <c r="C2077" s="31"/>
      <c r="D2077" s="31"/>
      <c r="E2077" s="32"/>
      <c r="F2077" s="32"/>
      <c r="G2077" s="32"/>
    </row>
    <row r="2078">
      <c r="A2078" s="31"/>
      <c r="B2078" s="31"/>
      <c r="C2078" s="31"/>
      <c r="D2078" s="31"/>
      <c r="E2078" s="32"/>
      <c r="F2078" s="32"/>
      <c r="G2078" s="32"/>
    </row>
    <row r="2079">
      <c r="A2079" s="31"/>
      <c r="B2079" s="31"/>
      <c r="C2079" s="31"/>
      <c r="D2079" s="31"/>
      <c r="E2079" s="32"/>
      <c r="F2079" s="32"/>
      <c r="G2079" s="32"/>
    </row>
    <row r="2080">
      <c r="A2080" s="31"/>
      <c r="B2080" s="31"/>
      <c r="C2080" s="31"/>
      <c r="D2080" s="31"/>
      <c r="E2080" s="32"/>
      <c r="F2080" s="32"/>
      <c r="G2080" s="32"/>
    </row>
    <row r="2081">
      <c r="A2081" s="31"/>
      <c r="B2081" s="31"/>
      <c r="C2081" s="31"/>
      <c r="D2081" s="31"/>
      <c r="E2081" s="32"/>
      <c r="F2081" s="32"/>
      <c r="G2081" s="32"/>
    </row>
    <row r="2082">
      <c r="A2082" s="31"/>
      <c r="B2082" s="31"/>
      <c r="C2082" s="31"/>
      <c r="D2082" s="31"/>
      <c r="E2082" s="32"/>
      <c r="F2082" s="32"/>
      <c r="G2082" s="32"/>
    </row>
    <row r="2083">
      <c r="A2083" s="31"/>
      <c r="B2083" s="31"/>
      <c r="C2083" s="31"/>
      <c r="D2083" s="31"/>
      <c r="E2083" s="32"/>
      <c r="F2083" s="32"/>
      <c r="G2083" s="32"/>
    </row>
    <row r="2084">
      <c r="A2084" s="31"/>
      <c r="B2084" s="31"/>
      <c r="C2084" s="31"/>
      <c r="D2084" s="31"/>
      <c r="E2084" s="32"/>
      <c r="F2084" s="32"/>
      <c r="G2084" s="32"/>
    </row>
    <row r="2085">
      <c r="A2085" s="31"/>
      <c r="B2085" s="31"/>
      <c r="C2085" s="31"/>
      <c r="D2085" s="31"/>
      <c r="E2085" s="32"/>
      <c r="F2085" s="32"/>
      <c r="G2085" s="32"/>
    </row>
    <row r="2086">
      <c r="A2086" s="31"/>
      <c r="B2086" s="31"/>
      <c r="C2086" s="31"/>
      <c r="D2086" s="31"/>
      <c r="E2086" s="32"/>
      <c r="F2086" s="32"/>
      <c r="G2086" s="32"/>
    </row>
    <row r="2087">
      <c r="A2087" s="31"/>
      <c r="B2087" s="31"/>
      <c r="C2087" s="31"/>
      <c r="D2087" s="31"/>
      <c r="E2087" s="32"/>
      <c r="F2087" s="32"/>
      <c r="G2087" s="32"/>
    </row>
    <row r="2088">
      <c r="A2088" s="31"/>
      <c r="B2088" s="31"/>
      <c r="C2088" s="31"/>
      <c r="D2088" s="31"/>
      <c r="E2088" s="32"/>
      <c r="F2088" s="32"/>
      <c r="G2088" s="32"/>
    </row>
    <row r="2089">
      <c r="A2089" s="31"/>
      <c r="B2089" s="31"/>
      <c r="C2089" s="31"/>
      <c r="D2089" s="31"/>
      <c r="E2089" s="32"/>
      <c r="F2089" s="32"/>
      <c r="G2089" s="32"/>
    </row>
    <row r="2090">
      <c r="A2090" s="31"/>
      <c r="B2090" s="31"/>
      <c r="C2090" s="31"/>
      <c r="D2090" s="31"/>
      <c r="E2090" s="32"/>
      <c r="F2090" s="32"/>
      <c r="G2090" s="32"/>
    </row>
    <row r="2091">
      <c r="A2091" s="31"/>
      <c r="B2091" s="31"/>
      <c r="C2091" s="31"/>
      <c r="D2091" s="31"/>
      <c r="E2091" s="32"/>
      <c r="F2091" s="32"/>
      <c r="G2091" s="32"/>
    </row>
    <row r="2092">
      <c r="A2092" s="31"/>
      <c r="B2092" s="31"/>
      <c r="C2092" s="31"/>
      <c r="D2092" s="31"/>
      <c r="E2092" s="32"/>
      <c r="F2092" s="32"/>
      <c r="G2092" s="32"/>
    </row>
    <row r="2093">
      <c r="A2093" s="31"/>
      <c r="B2093" s="31"/>
      <c r="C2093" s="31"/>
      <c r="D2093" s="31"/>
      <c r="E2093" s="32"/>
      <c r="F2093" s="32"/>
      <c r="G2093" s="32"/>
    </row>
    <row r="2094">
      <c r="A2094" s="31"/>
      <c r="B2094" s="31"/>
      <c r="C2094" s="31"/>
      <c r="D2094" s="31"/>
      <c r="E2094" s="32"/>
      <c r="F2094" s="32"/>
      <c r="G2094" s="32"/>
    </row>
    <row r="2095">
      <c r="A2095" s="31"/>
      <c r="B2095" s="31"/>
      <c r="C2095" s="31"/>
      <c r="D2095" s="31"/>
      <c r="E2095" s="32"/>
      <c r="F2095" s="32"/>
      <c r="G2095" s="32"/>
    </row>
    <row r="2096">
      <c r="A2096" s="31"/>
      <c r="B2096" s="31"/>
      <c r="C2096" s="31"/>
      <c r="D2096" s="31"/>
      <c r="E2096" s="32"/>
      <c r="F2096" s="32"/>
      <c r="G2096" s="32"/>
    </row>
    <row r="2097">
      <c r="A2097" s="31"/>
      <c r="B2097" s="31"/>
      <c r="C2097" s="31"/>
      <c r="D2097" s="31"/>
      <c r="E2097" s="32"/>
      <c r="F2097" s="32"/>
      <c r="G2097" s="32"/>
    </row>
    <row r="2098">
      <c r="A2098" s="31"/>
      <c r="B2098" s="31"/>
      <c r="C2098" s="31"/>
      <c r="D2098" s="31"/>
      <c r="E2098" s="32"/>
      <c r="F2098" s="32"/>
      <c r="G2098" s="32"/>
    </row>
    <row r="2099">
      <c r="A2099" s="31"/>
      <c r="B2099" s="31"/>
      <c r="C2099" s="31"/>
      <c r="D2099" s="31"/>
      <c r="E2099" s="32"/>
      <c r="F2099" s="32"/>
      <c r="G2099" s="32"/>
    </row>
    <row r="2100">
      <c r="A2100" s="31"/>
      <c r="B2100" s="31"/>
      <c r="C2100" s="31"/>
      <c r="D2100" s="31"/>
      <c r="E2100" s="32"/>
      <c r="F2100" s="32"/>
      <c r="G2100" s="32"/>
    </row>
    <row r="2101">
      <c r="A2101" s="31"/>
      <c r="B2101" s="31"/>
      <c r="C2101" s="31"/>
      <c r="D2101" s="31"/>
      <c r="E2101" s="32"/>
      <c r="F2101" s="32"/>
      <c r="G2101" s="32"/>
    </row>
    <row r="2102">
      <c r="A2102" s="31"/>
      <c r="B2102" s="31"/>
      <c r="C2102" s="31"/>
      <c r="D2102" s="31"/>
      <c r="E2102" s="32"/>
      <c r="F2102" s="32"/>
      <c r="G2102" s="32"/>
    </row>
    <row r="2103">
      <c r="A2103" s="31"/>
      <c r="B2103" s="31"/>
      <c r="C2103" s="31"/>
      <c r="D2103" s="31"/>
      <c r="E2103" s="32"/>
      <c r="F2103" s="32"/>
      <c r="G2103" s="32"/>
    </row>
    <row r="2104">
      <c r="A2104" s="31"/>
      <c r="B2104" s="31"/>
      <c r="C2104" s="31"/>
      <c r="D2104" s="31"/>
      <c r="E2104" s="32"/>
      <c r="F2104" s="32"/>
      <c r="G2104" s="32"/>
    </row>
    <row r="2105">
      <c r="A2105" s="31"/>
      <c r="B2105" s="31"/>
      <c r="C2105" s="31"/>
      <c r="D2105" s="31"/>
      <c r="E2105" s="32"/>
      <c r="F2105" s="32"/>
      <c r="G2105" s="32"/>
    </row>
    <row r="2106">
      <c r="A2106" s="31"/>
      <c r="B2106" s="31"/>
      <c r="C2106" s="31"/>
      <c r="D2106" s="31"/>
      <c r="E2106" s="32"/>
      <c r="F2106" s="32"/>
      <c r="G2106" s="32"/>
    </row>
    <row r="2107">
      <c r="A2107" s="31"/>
      <c r="B2107" s="31"/>
      <c r="C2107" s="31"/>
      <c r="D2107" s="31"/>
      <c r="E2107" s="32"/>
      <c r="F2107" s="32"/>
      <c r="G2107" s="32"/>
    </row>
    <row r="2108">
      <c r="A2108" s="31"/>
      <c r="B2108" s="31"/>
      <c r="C2108" s="31"/>
      <c r="D2108" s="31"/>
      <c r="E2108" s="32"/>
      <c r="F2108" s="32"/>
      <c r="G2108" s="32"/>
    </row>
    <row r="2109">
      <c r="A2109" s="31"/>
      <c r="B2109" s="31"/>
      <c r="C2109" s="31"/>
      <c r="D2109" s="31"/>
      <c r="E2109" s="32"/>
      <c r="F2109" s="32"/>
      <c r="G2109" s="32"/>
    </row>
    <row r="2110">
      <c r="A2110" s="31"/>
      <c r="B2110" s="31"/>
      <c r="C2110" s="31"/>
      <c r="D2110" s="31"/>
      <c r="E2110" s="32"/>
      <c r="F2110" s="32"/>
      <c r="G2110" s="32"/>
    </row>
    <row r="2111">
      <c r="A2111" s="31"/>
      <c r="B2111" s="31"/>
      <c r="C2111" s="31"/>
      <c r="D2111" s="31"/>
      <c r="E2111" s="32"/>
      <c r="F2111" s="32"/>
      <c r="G2111" s="32"/>
    </row>
    <row r="2112">
      <c r="A2112" s="31"/>
      <c r="B2112" s="31"/>
      <c r="C2112" s="31"/>
      <c r="D2112" s="31"/>
      <c r="E2112" s="32"/>
      <c r="F2112" s="32"/>
      <c r="G2112" s="32"/>
    </row>
    <row r="2113">
      <c r="A2113" s="31"/>
      <c r="B2113" s="31"/>
      <c r="C2113" s="31"/>
      <c r="D2113" s="31"/>
      <c r="E2113" s="32"/>
      <c r="F2113" s="32"/>
      <c r="G2113" s="32"/>
    </row>
    <row r="2114">
      <c r="A2114" s="31"/>
      <c r="B2114" s="31"/>
      <c r="C2114" s="31"/>
      <c r="D2114" s="31"/>
      <c r="E2114" s="32"/>
      <c r="F2114" s="32"/>
      <c r="G2114" s="32"/>
    </row>
    <row r="2115">
      <c r="A2115" s="31"/>
      <c r="B2115" s="31"/>
      <c r="C2115" s="31"/>
      <c r="D2115" s="31"/>
      <c r="E2115" s="32"/>
      <c r="F2115" s="32"/>
      <c r="G2115" s="32"/>
    </row>
    <row r="2116">
      <c r="A2116" s="31"/>
      <c r="B2116" s="31"/>
      <c r="C2116" s="31"/>
      <c r="D2116" s="31"/>
      <c r="E2116" s="32"/>
      <c r="F2116" s="32"/>
      <c r="G2116" s="32"/>
    </row>
    <row r="2117">
      <c r="A2117" s="31"/>
      <c r="B2117" s="31"/>
      <c r="C2117" s="31"/>
      <c r="D2117" s="31"/>
      <c r="E2117" s="32"/>
      <c r="F2117" s="32"/>
      <c r="G2117" s="32"/>
    </row>
    <row r="2118">
      <c r="A2118" s="31"/>
      <c r="B2118" s="31"/>
      <c r="C2118" s="31"/>
      <c r="D2118" s="31"/>
      <c r="E2118" s="32"/>
      <c r="F2118" s="32"/>
      <c r="G2118" s="32"/>
    </row>
    <row r="2119">
      <c r="A2119" s="31"/>
      <c r="B2119" s="31"/>
      <c r="C2119" s="31"/>
      <c r="D2119" s="31"/>
      <c r="E2119" s="32"/>
      <c r="F2119" s="32"/>
      <c r="G2119" s="32"/>
    </row>
    <row r="2120">
      <c r="A2120" s="31"/>
      <c r="B2120" s="31"/>
      <c r="C2120" s="31"/>
      <c r="D2120" s="31"/>
      <c r="E2120" s="32"/>
      <c r="F2120" s="32"/>
      <c r="G2120" s="32"/>
    </row>
  </sheetData>
  <autoFilter ref="$F$1:$F$2120"/>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38"/>
    <col customWidth="1" min="2" max="2" width="7.0"/>
    <col customWidth="1" min="3" max="3" width="7.25"/>
    <col customWidth="1" min="4" max="4" width="34.5"/>
    <col customWidth="1" min="5" max="5" width="19.63"/>
    <col customWidth="1" min="6" max="6" width="24.88"/>
    <col customWidth="1" min="7" max="7" width="17.75"/>
    <col customWidth="1" min="8" max="9" width="20.75"/>
    <col customWidth="1" min="10" max="10" width="30.0"/>
    <col customWidth="1" min="11" max="13" width="20.75"/>
  </cols>
  <sheetData>
    <row r="1">
      <c r="A1" s="33" t="s">
        <v>1</v>
      </c>
      <c r="B1" s="33" t="s">
        <v>2956</v>
      </c>
      <c r="C1" s="33" t="s">
        <v>2957</v>
      </c>
      <c r="D1" s="33" t="s">
        <v>2958</v>
      </c>
      <c r="E1" s="33" t="s">
        <v>2959</v>
      </c>
      <c r="F1" s="33" t="s">
        <v>2960</v>
      </c>
      <c r="G1" s="33" t="s">
        <v>2961</v>
      </c>
      <c r="H1" s="34" t="s">
        <v>26</v>
      </c>
      <c r="I1" s="35" t="s">
        <v>27</v>
      </c>
      <c r="J1" s="36" t="s">
        <v>28</v>
      </c>
      <c r="K1" s="36" t="s">
        <v>29</v>
      </c>
      <c r="L1" s="36" t="s">
        <v>30</v>
      </c>
      <c r="M1" s="37" t="s">
        <v>31</v>
      </c>
    </row>
    <row r="2">
      <c r="A2" s="38" t="s">
        <v>2962</v>
      </c>
      <c r="B2" s="38" t="s">
        <v>2963</v>
      </c>
      <c r="C2" s="38" t="s">
        <v>1273</v>
      </c>
      <c r="D2" s="39" t="s">
        <v>1274</v>
      </c>
      <c r="E2" s="38" t="s">
        <v>2964</v>
      </c>
      <c r="F2" s="40"/>
      <c r="G2" s="40"/>
      <c r="H2" s="41" t="str">
        <f>VLOOKUP(C2,Stores!$A$200:$G$1118,3,0)</f>
        <v>Opened Stores</v>
      </c>
      <c r="I2" s="41" t="str">
        <f>VLOOKUP(C2,Stores!$A$200:$G$1118,4,0)</f>
        <v>Stage 7 - Installed</v>
      </c>
      <c r="J2" s="41" t="str">
        <f>VLOOKUP(C2,Stores!$A$200:$G$1118,5,0)</f>
        <v>ZKTECO</v>
      </c>
      <c r="K2" s="41" t="str">
        <f>VLOOKUP(C2,Stores!$A$200:$G$1118,6,0)</f>
        <v>AKDG012351682</v>
      </c>
      <c r="L2" s="41" t="str">
        <f>VLOOKUP(C2,Stores!$A$200:$G$1118,7,0)</f>
        <v>192.168.1.201</v>
      </c>
      <c r="M2" s="42" t="s">
        <v>2965</v>
      </c>
    </row>
    <row r="3">
      <c r="A3" s="38" t="s">
        <v>2962</v>
      </c>
      <c r="B3" s="38" t="s">
        <v>2966</v>
      </c>
      <c r="C3" s="38" t="s">
        <v>957</v>
      </c>
      <c r="D3" s="39" t="s">
        <v>958</v>
      </c>
      <c r="E3" s="38" t="s">
        <v>2964</v>
      </c>
      <c r="F3" s="40"/>
      <c r="G3" s="40"/>
      <c r="H3" s="41" t="str">
        <f>VLOOKUP(C3,Stores!$A$200:$G$1118,3,0)</f>
        <v>Opened Stores</v>
      </c>
      <c r="I3" s="41" t="str">
        <f>VLOOKUP(C3,Stores!$A$200:$G$1118,4,0)</f>
        <v>Stage 7 - Installed</v>
      </c>
      <c r="J3" s="41" t="str">
        <f>VLOOKUP(C3,Stores!$A$200:$G$1118,5,0)</f>
        <v>FINGERTEC</v>
      </c>
      <c r="K3" s="41">
        <f>VLOOKUP(C3,Stores!$A$200:$G$1118,6,0)</f>
        <v>7425858</v>
      </c>
      <c r="L3" s="41" t="str">
        <f>VLOOKUP(C3,Stores!$A$200:$G$1118,7,0)</f>
        <v>192.168.1.201</v>
      </c>
      <c r="M3" s="42" t="s">
        <v>2965</v>
      </c>
    </row>
    <row r="4">
      <c r="A4" s="38" t="s">
        <v>2962</v>
      </c>
      <c r="B4" s="38" t="s">
        <v>2967</v>
      </c>
      <c r="C4" s="38" t="s">
        <v>464</v>
      </c>
      <c r="D4" s="39" t="s">
        <v>465</v>
      </c>
      <c r="E4" s="38" t="s">
        <v>2964</v>
      </c>
      <c r="F4" s="40"/>
      <c r="G4" s="40"/>
      <c r="H4" s="41" t="str">
        <f>VLOOKUP(C4,Stores!$A$200:$G$1118,3,0)</f>
        <v>Opened Stores</v>
      </c>
      <c r="I4" s="41" t="str">
        <f>VLOOKUP(C4,Stores!$A$200:$G$1118,4,0)</f>
        <v>Stage 7 - Installed</v>
      </c>
      <c r="J4" s="41" t="str">
        <f>VLOOKUP(C4,Stores!$A$200:$G$1118,5,0)</f>
        <v>FINGERTEC</v>
      </c>
      <c r="K4" s="41">
        <f>VLOOKUP(C4,Stores!$A$200:$G$1118,6,0)</f>
        <v>7417213</v>
      </c>
      <c r="L4" s="41" t="str">
        <f>VLOOKUP(C4,Stores!$A$200:$G$1118,7,0)</f>
        <v>192.168.1.201</v>
      </c>
      <c r="M4" s="42" t="s">
        <v>2965</v>
      </c>
    </row>
    <row r="5">
      <c r="A5" s="38" t="s">
        <v>2962</v>
      </c>
      <c r="B5" s="38" t="s">
        <v>2968</v>
      </c>
      <c r="C5" s="38" t="s">
        <v>502</v>
      </c>
      <c r="D5" s="39" t="s">
        <v>503</v>
      </c>
      <c r="E5" s="38" t="s">
        <v>2964</v>
      </c>
      <c r="F5" s="40"/>
      <c r="G5" s="40"/>
      <c r="H5" s="41" t="str">
        <f>VLOOKUP(C5,Stores!$A$200:$G$1118,3,0)</f>
        <v>Opened Stores</v>
      </c>
      <c r="I5" s="41" t="str">
        <f>VLOOKUP(C5,Stores!$A$200:$G$1118,4,0)</f>
        <v>Stage 7 - Installed</v>
      </c>
      <c r="J5" s="41" t="str">
        <f>VLOOKUP(C5,Stores!$A$200:$G$1118,5,0)</f>
        <v>FINGERTEC</v>
      </c>
      <c r="K5" s="41">
        <f>VLOOKUP(C5,Stores!$A$200:$G$1118,6,0)</f>
        <v>7417485</v>
      </c>
      <c r="L5" s="41" t="str">
        <f>VLOOKUP(C5,Stores!$A$200:$G$1118,7,0)</f>
        <v>192.168.1.201</v>
      </c>
      <c r="M5" s="42" t="s">
        <v>2965</v>
      </c>
    </row>
    <row r="6">
      <c r="A6" s="38" t="s">
        <v>2962</v>
      </c>
      <c r="B6" s="38" t="s">
        <v>2969</v>
      </c>
      <c r="C6" s="38" t="s">
        <v>2712</v>
      </c>
      <c r="D6" s="39" t="s">
        <v>2713</v>
      </c>
      <c r="E6" s="38" t="s">
        <v>2964</v>
      </c>
      <c r="F6" s="40"/>
      <c r="G6" s="40"/>
      <c r="H6" s="41" t="str">
        <f>VLOOKUP(C6,Stores!$A$200:$G$1118,3,0)</f>
        <v>Opened Stores</v>
      </c>
      <c r="I6" s="41" t="str">
        <f>VLOOKUP(C6,Stores!$A$200:$G$1118,4,0)</f>
        <v>Stage 7 - Installed</v>
      </c>
      <c r="J6" s="41" t="str">
        <f>VLOOKUP(C6,Stores!$A$200:$G$1118,5,0)</f>
        <v>ZKTECO</v>
      </c>
      <c r="K6" s="41" t="str">
        <f>VLOOKUP(C6,Stores!$A$200:$G$1118,6,0)</f>
        <v>PAS4252900187</v>
      </c>
      <c r="L6" s="41" t="str">
        <f>VLOOKUP(C6,Stores!$A$200:$G$1118,7,0)</f>
        <v>192.168.1.201</v>
      </c>
      <c r="M6" s="42" t="s">
        <v>2965</v>
      </c>
    </row>
    <row r="7">
      <c r="A7" s="38" t="s">
        <v>2962</v>
      </c>
      <c r="B7" s="38" t="s">
        <v>2970</v>
      </c>
      <c r="C7" s="38" t="s">
        <v>466</v>
      </c>
      <c r="D7" s="39" t="s">
        <v>467</v>
      </c>
      <c r="E7" s="38" t="s">
        <v>2964</v>
      </c>
      <c r="F7" s="40"/>
      <c r="G7" s="40"/>
      <c r="H7" s="41" t="str">
        <f>VLOOKUP(C7,Stores!$A$200:$G$1118,3,0)</f>
        <v>Opened Stores</v>
      </c>
      <c r="I7" s="41" t="str">
        <f>VLOOKUP(C7,Stores!$A$200:$G$1118,4,0)</f>
        <v>Stage 7 - Installed</v>
      </c>
      <c r="J7" s="41" t="str">
        <f>VLOOKUP(C7,Stores!$A$200:$G$1118,5,0)</f>
        <v>ZKTECO</v>
      </c>
      <c r="K7" s="41" t="str">
        <f>VLOOKUP(C7,Stores!$A$200:$G$1118,6,0)</f>
        <v>ZKM6245100263</v>
      </c>
      <c r="L7" s="41" t="str">
        <f>VLOOKUP(C7,Stores!$A$200:$G$1118,7,0)</f>
        <v>192.168.201</v>
      </c>
      <c r="M7" s="42" t="s">
        <v>2965</v>
      </c>
    </row>
    <row r="8">
      <c r="A8" s="38" t="s">
        <v>2962</v>
      </c>
      <c r="B8" s="38" t="s">
        <v>2971</v>
      </c>
      <c r="C8" s="38" t="s">
        <v>978</v>
      </c>
      <c r="D8" s="39" t="s">
        <v>979</v>
      </c>
      <c r="E8" s="38" t="s">
        <v>2964</v>
      </c>
      <c r="F8" s="40"/>
      <c r="G8" s="40"/>
      <c r="H8" s="41" t="str">
        <f>VLOOKUP(C8,Stores!$A$200:$G$1118,3,0)</f>
        <v>Opened Stores</v>
      </c>
      <c r="I8" s="41" t="str">
        <f>VLOOKUP(C8,Stores!$A$200:$G$1118,4,0)</f>
        <v>Stage 7 - Installed</v>
      </c>
      <c r="J8" s="41" t="str">
        <f>VLOOKUP(C8,Stores!$A$200:$G$1118,5,0)</f>
        <v>ZKTECO</v>
      </c>
      <c r="K8" s="41" t="str">
        <f>VLOOKUP(C8,Stores!$A$200:$G$1118,6,0)</f>
        <v>ABN5221960318</v>
      </c>
      <c r="L8" s="41" t="str">
        <f>VLOOKUP(C8,Stores!$A$200:$G$1118,7,0)</f>
        <v>192.168.1.201</v>
      </c>
      <c r="M8" s="42" t="s">
        <v>2965</v>
      </c>
    </row>
    <row r="9">
      <c r="A9" s="38" t="s">
        <v>2962</v>
      </c>
      <c r="B9" s="38" t="s">
        <v>2972</v>
      </c>
      <c r="C9" s="38" t="s">
        <v>1502</v>
      </c>
      <c r="D9" s="39" t="s">
        <v>1503</v>
      </c>
      <c r="E9" s="38" t="s">
        <v>2964</v>
      </c>
      <c r="F9" s="40"/>
      <c r="G9" s="40"/>
      <c r="H9" s="41" t="str">
        <f>VLOOKUP(C9,Stores!$A$200:$G$1118,3,0)</f>
        <v>Opened Stores</v>
      </c>
      <c r="I9" s="41" t="str">
        <f>VLOOKUP(C9,Stores!$A$200:$G$1118,4,0)</f>
        <v>Stage 7 - Installed</v>
      </c>
      <c r="J9" s="41" t="str">
        <f>VLOOKUP(C9,Stores!$A$200:$G$1118,5,0)</f>
        <v>ZKTECO</v>
      </c>
      <c r="K9" s="41" t="str">
        <f>VLOOKUP(C9,Stores!$A$200:$G$1118,6,0)</f>
        <v>AEYU082360228</v>
      </c>
      <c r="L9" s="41" t="str">
        <f>VLOOKUP(C9,Stores!$A$200:$G$1118,7,0)</f>
        <v>192.168.1.201</v>
      </c>
      <c r="M9" s="42" t="s">
        <v>2965</v>
      </c>
    </row>
    <row r="10">
      <c r="A10" s="38" t="s">
        <v>2962</v>
      </c>
      <c r="B10" s="38" t="s">
        <v>2973</v>
      </c>
      <c r="C10" s="38" t="s">
        <v>470</v>
      </c>
      <c r="D10" s="39" t="s">
        <v>471</v>
      </c>
      <c r="E10" s="38" t="s">
        <v>2964</v>
      </c>
      <c r="F10" s="40"/>
      <c r="G10" s="40"/>
      <c r="H10" s="41" t="str">
        <f>VLOOKUP(C10,Stores!$A$200:$G$1118,3,0)</f>
        <v>Opened Stores</v>
      </c>
      <c r="I10" s="41" t="str">
        <f>VLOOKUP(C10,Stores!$A$200:$G$1118,4,0)</f>
        <v>Stage 7 - Installed</v>
      </c>
      <c r="J10" s="41" t="str">
        <f>VLOOKUP(C10,Stores!$A$200:$G$1118,5,0)</f>
        <v>FINGERTEC</v>
      </c>
      <c r="K10" s="41">
        <f>VLOOKUP(C10,Stores!$A$200:$G$1118,6,0)</f>
        <v>7417201</v>
      </c>
      <c r="L10" s="41" t="str">
        <f>VLOOKUP(C10,Stores!$A$200:$G$1118,7,0)</f>
        <v>192.168.1.201</v>
      </c>
      <c r="M10" s="42" t="s">
        <v>2965</v>
      </c>
    </row>
    <row r="11">
      <c r="A11" s="38" t="s">
        <v>2962</v>
      </c>
      <c r="B11" s="38" t="s">
        <v>2974</v>
      </c>
      <c r="C11" s="38" t="s">
        <v>734</v>
      </c>
      <c r="D11" s="39" t="s">
        <v>2975</v>
      </c>
      <c r="E11" s="38" t="s">
        <v>2964</v>
      </c>
      <c r="F11" s="40"/>
      <c r="G11" s="40"/>
      <c r="H11" s="41" t="str">
        <f>VLOOKUP(C11,Stores!$A$200:$G$1118,3,0)</f>
        <v>Opened Stores</v>
      </c>
      <c r="I11" s="41" t="str">
        <f>VLOOKUP(C11,Stores!$A$200:$G$1118,4,0)</f>
        <v>Stage 7 - Installed</v>
      </c>
      <c r="J11" s="41" t="str">
        <f>VLOOKUP(C11,Stores!$A$200:$G$1118,5,0)</f>
        <v>FINGERTEC</v>
      </c>
      <c r="K11" s="41">
        <f>VLOOKUP(C11,Stores!$A$200:$G$1118,6,0)</f>
        <v>7423721</v>
      </c>
      <c r="L11" s="41" t="str">
        <f>VLOOKUP(C11,Stores!$A$200:$G$1118,7,0)</f>
        <v>192.168.1.201</v>
      </c>
      <c r="M11" s="42" t="s">
        <v>2965</v>
      </c>
    </row>
    <row r="12">
      <c r="A12" s="38" t="s">
        <v>2962</v>
      </c>
      <c r="B12" s="38" t="s">
        <v>2976</v>
      </c>
      <c r="C12" s="38" t="s">
        <v>517</v>
      </c>
      <c r="D12" s="39" t="s">
        <v>518</v>
      </c>
      <c r="E12" s="38" t="s">
        <v>2964</v>
      </c>
      <c r="F12" s="40"/>
      <c r="G12" s="40"/>
      <c r="H12" s="41" t="str">
        <f>VLOOKUP(C12,Stores!$A$200:$G$1118,3,0)</f>
        <v>Opened Stores</v>
      </c>
      <c r="I12" s="41" t="str">
        <f>VLOOKUP(C12,Stores!$A$200:$G$1118,4,0)</f>
        <v>Stage 7 - Installed</v>
      </c>
      <c r="J12" s="41" t="str">
        <f>VLOOKUP(C12,Stores!$A$200:$G$1118,5,0)</f>
        <v>FINGERTEC</v>
      </c>
      <c r="K12" s="41">
        <f>VLOOKUP(C12,Stores!$A$200:$G$1118,6,0)</f>
        <v>7419182</v>
      </c>
      <c r="L12" s="41" t="str">
        <f>VLOOKUP(C12,Stores!$A$200:$G$1118,7,0)</f>
        <v>192.168.1.201</v>
      </c>
      <c r="M12" s="42" t="s">
        <v>2965</v>
      </c>
    </row>
    <row r="13">
      <c r="A13" s="38" t="s">
        <v>2962</v>
      </c>
      <c r="B13" s="38" t="s">
        <v>2977</v>
      </c>
      <c r="C13" s="38" t="s">
        <v>970</v>
      </c>
      <c r="D13" s="39" t="s">
        <v>971</v>
      </c>
      <c r="E13" s="38" t="s">
        <v>2964</v>
      </c>
      <c r="F13" s="40"/>
      <c r="G13" s="40"/>
      <c r="H13" s="41" t="str">
        <f>VLOOKUP(C13,Stores!$A$200:$G$1118,3,0)</f>
        <v>Opened Stores</v>
      </c>
      <c r="I13" s="41" t="str">
        <f>VLOOKUP(C13,Stores!$A$200:$G$1118,4,0)</f>
        <v>Stage 7 - Installed</v>
      </c>
      <c r="J13" s="41" t="str">
        <f>VLOOKUP(C13,Stores!$A$200:$G$1118,5,0)</f>
        <v>FINGERTEC</v>
      </c>
      <c r="K13" s="41">
        <f>VLOOKUP(C13,Stores!$A$200:$G$1118,6,0)</f>
        <v>7425874</v>
      </c>
      <c r="L13" s="41" t="str">
        <f>VLOOKUP(C13,Stores!$A$200:$G$1118,7,0)</f>
        <v>192.168.1.201</v>
      </c>
      <c r="M13" s="42" t="s">
        <v>2965</v>
      </c>
    </row>
    <row r="14">
      <c r="A14" s="38" t="s">
        <v>2962</v>
      </c>
      <c r="B14" s="38" t="s">
        <v>2978</v>
      </c>
      <c r="C14" s="38" t="s">
        <v>1794</v>
      </c>
      <c r="D14" s="39" t="s">
        <v>1795</v>
      </c>
      <c r="E14" s="38" t="s">
        <v>2964</v>
      </c>
      <c r="F14" s="40"/>
      <c r="G14" s="40"/>
      <c r="H14" s="41" t="str">
        <f>VLOOKUP(C14,Stores!$A$200:$G$1118,3,0)</f>
        <v>Opened Stores</v>
      </c>
      <c r="I14" s="41" t="str">
        <f>VLOOKUP(C14,Stores!$A$200:$G$1118,4,0)</f>
        <v>Stage 7 - Installed</v>
      </c>
      <c r="J14" s="41" t="str">
        <f>VLOOKUP(C14,Stores!$A$200:$G$1118,5,0)</f>
        <v>ZKTECO</v>
      </c>
      <c r="K14" s="41" t="str">
        <f>VLOOKUP(C14,Stores!$A$200:$G$1118,6,0)</f>
        <v>CQUJ233560579</v>
      </c>
      <c r="L14" s="41" t="str">
        <f>VLOOKUP(C14,Stores!$A$200:$G$1118,7,0)</f>
        <v>192.168.1.201</v>
      </c>
      <c r="M14" s="42" t="s">
        <v>2965</v>
      </c>
    </row>
    <row r="15">
      <c r="A15" s="38" t="s">
        <v>2962</v>
      </c>
      <c r="B15" s="38" t="s">
        <v>2979</v>
      </c>
      <c r="C15" s="38" t="s">
        <v>678</v>
      </c>
      <c r="D15" s="39" t="s">
        <v>679</v>
      </c>
      <c r="E15" s="38" t="s">
        <v>2964</v>
      </c>
      <c r="F15" s="40"/>
      <c r="G15" s="40"/>
      <c r="H15" s="41" t="str">
        <f>VLOOKUP(C15,Stores!$A$200:$G$1118,3,0)</f>
        <v>Opened Stores</v>
      </c>
      <c r="I15" s="41" t="str">
        <f>VLOOKUP(C15,Stores!$A$200:$G$1118,4,0)</f>
        <v>Stage 7 - Installed</v>
      </c>
      <c r="J15" s="41" t="str">
        <f>VLOOKUP(C15,Stores!$A$200:$G$1118,5,0)</f>
        <v>FINGERTEC</v>
      </c>
      <c r="K15" s="41">
        <f>VLOOKUP(C15,Stores!$A$200:$G$1118,6,0)</f>
        <v>7423456</v>
      </c>
      <c r="L15" s="41" t="str">
        <f>VLOOKUP(C15,Stores!$A$200:$G$1118,7,0)</f>
        <v>192.168.3.44</v>
      </c>
      <c r="M15" s="42" t="s">
        <v>2965</v>
      </c>
    </row>
    <row r="16">
      <c r="A16" s="38" t="s">
        <v>2962</v>
      </c>
      <c r="B16" s="38" t="s">
        <v>2980</v>
      </c>
      <c r="C16" s="38" t="s">
        <v>669</v>
      </c>
      <c r="D16" s="39" t="s">
        <v>670</v>
      </c>
      <c r="E16" s="38" t="s">
        <v>2964</v>
      </c>
      <c r="F16" s="40"/>
      <c r="G16" s="40"/>
      <c r="H16" s="41" t="str">
        <f>VLOOKUP(C16,Stores!$A$200:$G$1118,3,0)</f>
        <v>Opened Stores</v>
      </c>
      <c r="I16" s="41" t="str">
        <f>VLOOKUP(C16,Stores!$A$200:$G$1118,4,0)</f>
        <v>Stage 7 - Installed</v>
      </c>
      <c r="J16" s="41" t="str">
        <f>VLOOKUP(C16,Stores!$A$200:$G$1118,5,0)</f>
        <v>FINGERTEC</v>
      </c>
      <c r="K16" s="41">
        <f>VLOOKUP(C16,Stores!$A$200:$G$1118,6,0)</f>
        <v>7422150</v>
      </c>
      <c r="L16" s="41" t="str">
        <f>VLOOKUP(C16,Stores!$A$200:$G$1118,7,0)</f>
        <v>192.168.1.201</v>
      </c>
      <c r="M16" s="42" t="s">
        <v>2965</v>
      </c>
    </row>
    <row r="17">
      <c r="A17" s="38" t="s">
        <v>2962</v>
      </c>
      <c r="B17" s="38" t="s">
        <v>2981</v>
      </c>
      <c r="C17" s="38" t="s">
        <v>1203</v>
      </c>
      <c r="D17" s="39" t="s">
        <v>1204</v>
      </c>
      <c r="E17" s="38" t="s">
        <v>2964</v>
      </c>
      <c r="F17" s="40"/>
      <c r="G17" s="40"/>
      <c r="H17" s="41" t="str">
        <f>VLOOKUP(C17,Stores!$A$200:$G$1118,3,0)</f>
        <v>Opened Stores</v>
      </c>
      <c r="I17" s="41" t="str">
        <f>VLOOKUP(C17,Stores!$A$200:$G$1118,4,0)</f>
        <v>Stage 7 - Installed</v>
      </c>
      <c r="J17" s="41" t="str">
        <f>VLOOKUP(C17,Stores!$A$200:$G$1118,5,0)</f>
        <v>ZKTECO</v>
      </c>
      <c r="K17" s="41" t="str">
        <f>VLOOKUP(C17,Stores!$A$200:$G$1118,6,0)</f>
        <v>ZKM6251700239</v>
      </c>
      <c r="L17" s="41" t="str">
        <f>VLOOKUP(C17,Stores!$A$200:$G$1118,7,0)</f>
        <v>192.168.1.201</v>
      </c>
      <c r="M17" s="42" t="s">
        <v>2965</v>
      </c>
    </row>
    <row r="18">
      <c r="A18" s="38" t="s">
        <v>2962</v>
      </c>
      <c r="B18" s="38" t="s">
        <v>2982</v>
      </c>
      <c r="C18" s="38" t="s">
        <v>2102</v>
      </c>
      <c r="D18" s="39" t="s">
        <v>2103</v>
      </c>
      <c r="E18" s="38" t="s">
        <v>2964</v>
      </c>
      <c r="F18" s="40"/>
      <c r="G18" s="40"/>
      <c r="H18" s="41" t="str">
        <f>VLOOKUP(C18,Stores!$A$200:$G$1118,3,0)</f>
        <v>Opened Stores</v>
      </c>
      <c r="I18" s="41" t="str">
        <f>VLOOKUP(C18,Stores!$A$200:$G$1118,4,0)</f>
        <v>Stage 7 - Installed</v>
      </c>
      <c r="J18" s="41" t="str">
        <f>VLOOKUP(C18,Stores!$A$200:$G$1118,5,0)</f>
        <v>FINGERTEC</v>
      </c>
      <c r="K18" s="41">
        <f>VLOOKUP(C18,Stores!$A$200:$G$1118,6,0)</f>
        <v>7420087</v>
      </c>
      <c r="L18" s="41" t="str">
        <f>VLOOKUP(C18,Stores!$A$200:$G$1118,7,0)</f>
        <v>192.168.1.205</v>
      </c>
      <c r="M18" s="42" t="s">
        <v>2965</v>
      </c>
    </row>
    <row r="19">
      <c r="A19" s="38" t="s">
        <v>2962</v>
      </c>
      <c r="B19" s="38" t="s">
        <v>2983</v>
      </c>
      <c r="C19" s="38" t="s">
        <v>1746</v>
      </c>
      <c r="D19" s="39" t="s">
        <v>1747</v>
      </c>
      <c r="E19" s="38" t="s">
        <v>2964</v>
      </c>
      <c r="F19" s="40"/>
      <c r="G19" s="40"/>
      <c r="H19" s="41" t="str">
        <f>VLOOKUP(C19,Stores!$A$200:$G$1118,3,0)</f>
        <v>Opened Stores</v>
      </c>
      <c r="I19" s="41" t="str">
        <f>VLOOKUP(C19,Stores!$A$200:$G$1118,4,0)</f>
        <v>Stage 7 - Installed</v>
      </c>
      <c r="J19" s="41" t="str">
        <f>VLOOKUP(C19,Stores!$A$200:$G$1118,5,0)</f>
        <v>ZKTECO</v>
      </c>
      <c r="K19" s="41" t="str">
        <f>VLOOKUP(C19,Stores!$A$200:$G$1118,6,0)</f>
        <v>CQUJ233560581</v>
      </c>
      <c r="L19" s="41" t="str">
        <f>VLOOKUP(C19,Stores!$A$200:$G$1118,7,0)</f>
        <v>192.168.1.201</v>
      </c>
      <c r="M19" s="42" t="s">
        <v>2965</v>
      </c>
    </row>
    <row r="20">
      <c r="A20" s="38" t="s">
        <v>2962</v>
      </c>
      <c r="B20" s="38" t="s">
        <v>2984</v>
      </c>
      <c r="C20" s="38" t="s">
        <v>452</v>
      </c>
      <c r="D20" s="39" t="s">
        <v>453</v>
      </c>
      <c r="E20" s="38" t="s">
        <v>2964</v>
      </c>
      <c r="F20" s="40"/>
      <c r="G20" s="40"/>
      <c r="H20" s="41" t="str">
        <f>VLOOKUP(C20,Stores!$A$200:$G$1118,3,0)</f>
        <v>Opened Stores</v>
      </c>
      <c r="I20" s="41" t="str">
        <f>VLOOKUP(C20,Stores!$A$200:$G$1118,4,0)</f>
        <v>Stage 7 - Installed</v>
      </c>
      <c r="J20" s="41" t="str">
        <f>VLOOKUP(C20,Stores!$A$200:$G$1118,5,0)</f>
        <v>FINGERTEC</v>
      </c>
      <c r="K20" s="41">
        <f>VLOOKUP(C20,Stores!$A$200:$G$1118,6,0)</f>
        <v>7417215</v>
      </c>
      <c r="L20" s="41" t="str">
        <f>VLOOKUP(C20,Stores!$A$200:$G$1118,7,0)</f>
        <v>192.168.1.206</v>
      </c>
      <c r="M20" s="42" t="s">
        <v>2965</v>
      </c>
    </row>
    <row r="21">
      <c r="A21" s="38" t="s">
        <v>2962</v>
      </c>
      <c r="B21" s="43" t="s">
        <v>2985</v>
      </c>
      <c r="C21" s="38" t="s">
        <v>870</v>
      </c>
      <c r="D21" s="39" t="s">
        <v>871</v>
      </c>
      <c r="E21" s="38" t="s">
        <v>2964</v>
      </c>
      <c r="F21" s="40"/>
      <c r="G21" s="40"/>
      <c r="H21" s="41" t="str">
        <f>VLOOKUP(C21,Stores!$A$200:$G$1118,3,0)</f>
        <v>Opened Stores</v>
      </c>
      <c r="I21" s="41" t="str">
        <f>VLOOKUP(C21,Stores!$A$200:$G$1118,4,0)</f>
        <v>Stage 7 - Installed</v>
      </c>
      <c r="J21" s="41" t="str">
        <f>VLOOKUP(C21,Stores!$A$200:$G$1118,5,0)</f>
        <v>FINGERTEC</v>
      </c>
      <c r="K21" s="41">
        <f>VLOOKUP(C21,Stores!$A$200:$G$1118,6,0)</f>
        <v>7425868</v>
      </c>
      <c r="L21" s="41" t="str">
        <f>VLOOKUP(C21,Stores!$A$200:$G$1118,7,0)</f>
        <v>192.168.1.201</v>
      </c>
      <c r="M21" s="42" t="s">
        <v>2965</v>
      </c>
    </row>
    <row r="22">
      <c r="A22" s="38" t="s">
        <v>2962</v>
      </c>
      <c r="B22" s="38" t="s">
        <v>2986</v>
      </c>
      <c r="C22" s="38" t="s">
        <v>1570</v>
      </c>
      <c r="D22" s="39" t="s">
        <v>1571</v>
      </c>
      <c r="E22" s="38" t="s">
        <v>2964</v>
      </c>
      <c r="F22" s="40"/>
      <c r="G22" s="40"/>
      <c r="H22" s="41" t="str">
        <f>VLOOKUP(C22,Stores!$A$200:$G$1118,3,0)</f>
        <v>Opened Stores</v>
      </c>
      <c r="I22" s="41" t="str">
        <f>VLOOKUP(C22,Stores!$A$200:$G$1118,4,0)</f>
        <v>Stage 7 - Installed</v>
      </c>
      <c r="J22" s="41" t="str">
        <f>VLOOKUP(C22,Stores!$A$200:$G$1118,5,0)</f>
        <v>ZKTECO</v>
      </c>
      <c r="K22" s="41" t="str">
        <f>VLOOKUP(C22,Stores!$A$200:$G$1118,6,0)</f>
        <v>AEYU082360248</v>
      </c>
      <c r="L22" s="41" t="str">
        <f>VLOOKUP(C22,Stores!$A$200:$G$1118,7,0)</f>
        <v>192.168.1.201</v>
      </c>
      <c r="M22" s="42" t="s">
        <v>2965</v>
      </c>
    </row>
    <row r="23">
      <c r="A23" s="38" t="s">
        <v>2962</v>
      </c>
      <c r="B23" s="38" t="s">
        <v>2987</v>
      </c>
      <c r="C23" s="38" t="s">
        <v>413</v>
      </c>
      <c r="D23" s="39" t="s">
        <v>414</v>
      </c>
      <c r="E23" s="38" t="s">
        <v>2964</v>
      </c>
      <c r="F23" s="40"/>
      <c r="G23" s="40"/>
      <c r="H23" s="41" t="str">
        <f>VLOOKUP(C23,Stores!$A$200:$G$1118,3,0)</f>
        <v>Opened Stores</v>
      </c>
      <c r="I23" s="41" t="str">
        <f>VLOOKUP(C23,Stores!$A$200:$G$1118,4,0)</f>
        <v>Stage 7 - Installed</v>
      </c>
      <c r="J23" s="41" t="str">
        <f>VLOOKUP(C23,Stores!$A$200:$G$1118,5,0)</f>
        <v>ZKTECO</v>
      </c>
      <c r="K23" s="41" t="str">
        <f>VLOOKUP(C23,Stores!$A$200:$G$1118,6,0)</f>
        <v>ZKM6245100111</v>
      </c>
      <c r="L23" s="41" t="str">
        <f>VLOOKUP(C23,Stores!$A$200:$G$1118,7,0)</f>
        <v>192.168.1.201</v>
      </c>
      <c r="M23" s="42" t="s">
        <v>2965</v>
      </c>
    </row>
    <row r="24">
      <c r="A24" s="38" t="s">
        <v>2962</v>
      </c>
      <c r="B24" s="38" t="s">
        <v>2988</v>
      </c>
      <c r="C24" s="38" t="s">
        <v>472</v>
      </c>
      <c r="D24" s="39" t="s">
        <v>473</v>
      </c>
      <c r="E24" s="38" t="s">
        <v>2964</v>
      </c>
      <c r="F24" s="40"/>
      <c r="G24" s="40"/>
      <c r="H24" s="41" t="str">
        <f>VLOOKUP(C24,Stores!$A$200:$G$1118,3,0)</f>
        <v>Opened Stores</v>
      </c>
      <c r="I24" s="41" t="str">
        <f>VLOOKUP(C24,Stores!$A$200:$G$1118,4,0)</f>
        <v>Stage 7 - Installed</v>
      </c>
      <c r="J24" s="41" t="str">
        <f>VLOOKUP(C24,Stores!$A$200:$G$1118,5,0)</f>
        <v>FINGERTEC</v>
      </c>
      <c r="K24" s="41">
        <f>VLOOKUP(C24,Stores!$A$200:$G$1118,6,0)</f>
        <v>7416585</v>
      </c>
      <c r="L24" s="41" t="str">
        <f>VLOOKUP(C24,Stores!$A$200:$G$1118,7,0)</f>
        <v>192.168.1.201</v>
      </c>
      <c r="M24" s="42" t="s">
        <v>2965</v>
      </c>
    </row>
    <row r="25">
      <c r="A25" s="38" t="s">
        <v>2962</v>
      </c>
      <c r="B25" s="38" t="s">
        <v>2989</v>
      </c>
      <c r="C25" s="38" t="s">
        <v>1231</v>
      </c>
      <c r="D25" s="39" t="s">
        <v>1232</v>
      </c>
      <c r="E25" s="38" t="s">
        <v>2964</v>
      </c>
      <c r="F25" s="40"/>
      <c r="G25" s="40"/>
      <c r="H25" s="41" t="str">
        <f>VLOOKUP(C25,Stores!$A$200:$G$1118,3,0)</f>
        <v>Opened Stores</v>
      </c>
      <c r="I25" s="41" t="str">
        <f>VLOOKUP(C25,Stores!$A$200:$G$1118,4,0)</f>
        <v>Stage 7 - Installed</v>
      </c>
      <c r="J25" s="41" t="str">
        <f>VLOOKUP(C25,Stores!$A$200:$G$1118,5,0)</f>
        <v>ZKTECO</v>
      </c>
      <c r="K25" s="41" t="str">
        <f>VLOOKUP(C25,Stores!$A$200:$G$1118,6,0)</f>
        <v>PAS4253000123</v>
      </c>
      <c r="L25" s="41" t="str">
        <f>VLOOKUP(C25,Stores!$A$200:$G$1118,7,0)</f>
        <v>192.168.1.201</v>
      </c>
      <c r="M25" s="42" t="s">
        <v>2965</v>
      </c>
    </row>
    <row r="26">
      <c r="A26" s="38" t="s">
        <v>2962</v>
      </c>
      <c r="B26" s="38" t="s">
        <v>2990</v>
      </c>
      <c r="C26" s="38" t="s">
        <v>1657</v>
      </c>
      <c r="D26" s="39" t="s">
        <v>1658</v>
      </c>
      <c r="E26" s="38" t="s">
        <v>2964</v>
      </c>
      <c r="F26" s="40"/>
      <c r="G26" s="40"/>
      <c r="H26" s="41" t="str">
        <f>VLOOKUP(C26,Stores!$A$200:$G$1118,3,0)</f>
        <v>Opened Stores</v>
      </c>
      <c r="I26" s="41" t="str">
        <f>VLOOKUP(C26,Stores!$A$200:$G$1118,4,0)</f>
        <v>Stage 7 - Installed</v>
      </c>
      <c r="J26" s="41" t="str">
        <f>VLOOKUP(C26,Stores!$A$200:$G$1118,5,0)</f>
        <v>ZKTECO</v>
      </c>
      <c r="K26" s="41" t="str">
        <f>VLOOKUP(C26,Stores!$A$200:$G$1118,6,0)</f>
        <v>AEYU082360286</v>
      </c>
      <c r="L26" s="41" t="str">
        <f>VLOOKUP(C26,Stores!$A$200:$G$1118,7,0)</f>
        <v>192.168.1.201</v>
      </c>
      <c r="M26" s="42" t="s">
        <v>2965</v>
      </c>
    </row>
    <row r="27">
      <c r="A27" s="38" t="s">
        <v>2962</v>
      </c>
      <c r="B27" s="38" t="s">
        <v>2991</v>
      </c>
      <c r="C27" s="38" t="s">
        <v>2030</v>
      </c>
      <c r="D27" s="39" t="s">
        <v>2031</v>
      </c>
      <c r="E27" s="38" t="s">
        <v>2964</v>
      </c>
      <c r="F27" s="40"/>
      <c r="G27" s="40"/>
      <c r="H27" s="41" t="str">
        <f>VLOOKUP(C27,Stores!$A$200:$G$1118,3,0)</f>
        <v>Opened Stores</v>
      </c>
      <c r="I27" s="41" t="str">
        <f>VLOOKUP(C27,Stores!$A$200:$G$1118,4,0)</f>
        <v>Stage 7 - Installed</v>
      </c>
      <c r="J27" s="41" t="str">
        <f>VLOOKUP(C27,Stores!$A$200:$G$1118,5,0)</f>
        <v>ZKTECO</v>
      </c>
      <c r="K27" s="41" t="str">
        <f>VLOOKUP(C27,Stores!$A$200:$G$1118,6,0)</f>
        <v>CQUJ233560624</v>
      </c>
      <c r="L27" s="41" t="str">
        <f>VLOOKUP(C27,Stores!$A$200:$G$1118,7,0)</f>
        <v>192.168.1.201</v>
      </c>
      <c r="M27" s="42" t="s">
        <v>2965</v>
      </c>
    </row>
    <row r="28">
      <c r="A28" s="38" t="s">
        <v>2962</v>
      </c>
      <c r="B28" s="38" t="s">
        <v>2992</v>
      </c>
      <c r="C28" s="38" t="s">
        <v>643</v>
      </c>
      <c r="D28" s="39" t="s">
        <v>644</v>
      </c>
      <c r="E28" s="38" t="s">
        <v>2964</v>
      </c>
      <c r="F28" s="40"/>
      <c r="G28" s="40"/>
      <c r="H28" s="41" t="str">
        <f>VLOOKUP(C28,Stores!$A$200:$G$1118,3,0)</f>
        <v>Opened Stores</v>
      </c>
      <c r="I28" s="41" t="str">
        <f>VLOOKUP(C28,Stores!$A$200:$G$1118,4,0)</f>
        <v>Stage 7 - Installed</v>
      </c>
      <c r="J28" s="41" t="str">
        <f>VLOOKUP(C28,Stores!$A$200:$G$1118,5,0)</f>
        <v>FINGERTEC</v>
      </c>
      <c r="K28" s="41">
        <f>VLOOKUP(C28,Stores!$A$200:$G$1118,6,0)</f>
        <v>7422144</v>
      </c>
      <c r="L28" s="41" t="str">
        <f>VLOOKUP(C28,Stores!$A$200:$G$1118,7,0)</f>
        <v>192.168.1.201</v>
      </c>
      <c r="M28" s="42" t="s">
        <v>2965</v>
      </c>
    </row>
    <row r="29">
      <c r="A29" s="38" t="s">
        <v>2962</v>
      </c>
      <c r="B29" s="38" t="s">
        <v>2993</v>
      </c>
      <c r="C29" s="38" t="s">
        <v>975</v>
      </c>
      <c r="D29" s="39" t="s">
        <v>976</v>
      </c>
      <c r="E29" s="38" t="s">
        <v>2964</v>
      </c>
      <c r="F29" s="40"/>
      <c r="G29" s="40"/>
      <c r="H29" s="41" t="str">
        <f>VLOOKUP(C29,Stores!$A$200:$G$1118,3,0)</f>
        <v>Opened Stores</v>
      </c>
      <c r="I29" s="41" t="str">
        <f>VLOOKUP(C29,Stores!$A$200:$G$1118,4,0)</f>
        <v>Stage 7 - Installed</v>
      </c>
      <c r="J29" s="41" t="str">
        <f>VLOOKUP(C29,Stores!$A$200:$G$1118,5,0)</f>
        <v>ZKTECO</v>
      </c>
      <c r="K29" s="41" t="str">
        <f>VLOOKUP(C29,Stores!$A$200:$G$1118,6,0)</f>
        <v>ABN5221960309</v>
      </c>
      <c r="L29" s="41" t="str">
        <f>VLOOKUP(C29,Stores!$A$200:$G$1118,7,0)</f>
        <v>192.168.1.201</v>
      </c>
      <c r="M29" s="42" t="s">
        <v>2965</v>
      </c>
    </row>
    <row r="30">
      <c r="A30" s="38" t="s">
        <v>2962</v>
      </c>
      <c r="B30" s="38" t="s">
        <v>2994</v>
      </c>
      <c r="C30" s="38" t="s">
        <v>1523</v>
      </c>
      <c r="D30" s="39" t="s">
        <v>1524</v>
      </c>
      <c r="E30" s="38" t="s">
        <v>2964</v>
      </c>
      <c r="F30" s="40"/>
      <c r="G30" s="40"/>
      <c r="H30" s="41" t="str">
        <f>VLOOKUP(C30,Stores!$A$200:$G$1118,3,0)</f>
        <v>Opened Stores</v>
      </c>
      <c r="I30" s="41" t="str">
        <f>VLOOKUP(C30,Stores!$A$200:$G$1118,4,0)</f>
        <v>Stage 7 - Installed</v>
      </c>
      <c r="J30" s="41" t="str">
        <f>VLOOKUP(C30,Stores!$A$200:$G$1118,5,0)</f>
        <v>ZKTECO</v>
      </c>
      <c r="K30" s="41" t="str">
        <f>VLOOKUP(C30,Stores!$A$200:$G$1118,6,0)</f>
        <v>PAS4253000048</v>
      </c>
      <c r="L30" s="41" t="str">
        <f>VLOOKUP(C30,Stores!$A$200:$G$1118,7,0)</f>
        <v>192.168.1.201</v>
      </c>
      <c r="M30" s="42" t="s">
        <v>2965</v>
      </c>
    </row>
    <row r="31">
      <c r="A31" s="38" t="s">
        <v>2962</v>
      </c>
      <c r="B31" s="38" t="s">
        <v>2995</v>
      </c>
      <c r="C31" s="38" t="s">
        <v>2760</v>
      </c>
      <c r="D31" s="39" t="s">
        <v>2761</v>
      </c>
      <c r="E31" s="38" t="s">
        <v>2964</v>
      </c>
      <c r="F31" s="40"/>
      <c r="G31" s="40"/>
      <c r="H31" s="41" t="str">
        <f>VLOOKUP(C31,Stores!$A$200:$G$1118,3,0)</f>
        <v>Opened Stores</v>
      </c>
      <c r="I31" s="41" t="str">
        <f>VLOOKUP(C31,Stores!$A$200:$G$1118,4,0)</f>
        <v>Stage 7 - Installed</v>
      </c>
      <c r="J31" s="41" t="str">
        <f>VLOOKUP(C31,Stores!$A$200:$G$1118,5,0)</f>
        <v>ZKTECO</v>
      </c>
      <c r="K31" s="41" t="str">
        <f>VLOOKUP(C31,Stores!$A$200:$G$1118,6,0)</f>
        <v>ZKM6251400029</v>
      </c>
      <c r="L31" s="41" t="str">
        <f>VLOOKUP(C31,Stores!$A$200:$G$1118,7,0)</f>
        <v>192.168.1.201</v>
      </c>
      <c r="M31" s="42" t="s">
        <v>2965</v>
      </c>
    </row>
    <row r="32">
      <c r="A32" s="38" t="s">
        <v>2962</v>
      </c>
      <c r="B32" s="38" t="s">
        <v>2996</v>
      </c>
      <c r="C32" s="38" t="s">
        <v>1170</v>
      </c>
      <c r="D32" s="39" t="s">
        <v>1171</v>
      </c>
      <c r="E32" s="38" t="s">
        <v>2964</v>
      </c>
      <c r="F32" s="40"/>
      <c r="G32" s="40"/>
      <c r="H32" s="41" t="str">
        <f>VLOOKUP(C32,Stores!$A$200:$G$1118,3,0)</f>
        <v>Opened Stores</v>
      </c>
      <c r="I32" s="41" t="str">
        <f>VLOOKUP(C32,Stores!$A$200:$G$1118,4,0)</f>
        <v>Stage 7 - Installed</v>
      </c>
      <c r="J32" s="41" t="str">
        <f>VLOOKUP(C32,Stores!$A$200:$G$1118,5,0)</f>
        <v>ZKTECO</v>
      </c>
      <c r="K32" s="41" t="str">
        <f>VLOOKUP(C32,Stores!$A$200:$G$1118,6,0)</f>
        <v>AKDG012351697</v>
      </c>
      <c r="L32" s="41" t="str">
        <f>VLOOKUP(C32,Stores!$A$200:$G$1118,7,0)</f>
        <v>192.168.1.201</v>
      </c>
      <c r="M32" s="42" t="s">
        <v>2965</v>
      </c>
    </row>
    <row r="33">
      <c r="A33" s="38" t="s">
        <v>2962</v>
      </c>
      <c r="B33" s="38" t="s">
        <v>2997</v>
      </c>
      <c r="C33" s="38" t="s">
        <v>2414</v>
      </c>
      <c r="D33" s="39" t="s">
        <v>2415</v>
      </c>
      <c r="E33" s="38" t="s">
        <v>2964</v>
      </c>
      <c r="F33" s="40"/>
      <c r="G33" s="40"/>
      <c r="H33" s="41" t="str">
        <f>VLOOKUP(C33,Stores!$A$200:$G$1118,3,0)</f>
        <v>Opened Stores</v>
      </c>
      <c r="I33" s="41" t="str">
        <f>VLOOKUP(C33,Stores!$A$200:$G$1118,4,0)</f>
        <v>Stage 7 - Installed</v>
      </c>
      <c r="J33" s="41" t="str">
        <f>VLOOKUP(C33,Stores!$A$200:$G$1118,5,0)</f>
        <v>ZKTECO</v>
      </c>
      <c r="K33" s="41" t="str">
        <f>VLOOKUP(C33,Stores!$A$200:$G$1118,6,0)</f>
        <v>ZKM6245100090</v>
      </c>
      <c r="L33" s="41" t="str">
        <f>VLOOKUP(C33,Stores!$A$200:$G$1118,7,0)</f>
        <v>192.168.1.201</v>
      </c>
      <c r="M33" s="42" t="s">
        <v>2965</v>
      </c>
    </row>
    <row r="34">
      <c r="A34" s="38" t="s">
        <v>2962</v>
      </c>
      <c r="B34" s="38" t="s">
        <v>2998</v>
      </c>
      <c r="C34" s="38" t="s">
        <v>1225</v>
      </c>
      <c r="D34" s="39" t="s">
        <v>1226</v>
      </c>
      <c r="E34" s="38" t="s">
        <v>2964</v>
      </c>
      <c r="F34" s="40"/>
      <c r="G34" s="40"/>
      <c r="H34" s="41" t="str">
        <f>VLOOKUP(C34,Stores!$A$200:$G$1118,3,0)</f>
        <v>Opened Stores</v>
      </c>
      <c r="I34" s="41" t="str">
        <f>VLOOKUP(C34,Stores!$A$200:$G$1118,4,0)</f>
        <v>Stage 7 - Installed</v>
      </c>
      <c r="J34" s="41" t="str">
        <f>VLOOKUP(C34,Stores!$A$200:$G$1118,5,0)</f>
        <v>ZKTECO</v>
      </c>
      <c r="K34" s="41" t="str">
        <f>VLOOKUP(C34,Stores!$A$200:$G$1118,6,0)</f>
        <v>AKDG012351702</v>
      </c>
      <c r="L34" s="41" t="str">
        <f>VLOOKUP(C34,Stores!$A$200:$G$1118,7,0)</f>
        <v>192.168.1.201</v>
      </c>
      <c r="M34" s="42" t="s">
        <v>2965</v>
      </c>
    </row>
    <row r="35">
      <c r="A35" s="38" t="s">
        <v>2962</v>
      </c>
      <c r="B35" s="38" t="s">
        <v>2999</v>
      </c>
      <c r="C35" s="38" t="s">
        <v>2892</v>
      </c>
      <c r="D35" s="39" t="s">
        <v>2893</v>
      </c>
      <c r="E35" s="38" t="s">
        <v>2964</v>
      </c>
      <c r="F35" s="40"/>
      <c r="G35" s="40"/>
      <c r="H35" s="41" t="str">
        <f>VLOOKUP(C35,Stores!$A$200:$G$1118,3,0)</f>
        <v>Opened Stores</v>
      </c>
      <c r="I35" s="41" t="str">
        <f>VLOOKUP(C35,Stores!$A$200:$G$1118,4,0)</f>
        <v>Stage 7 - Installed</v>
      </c>
      <c r="J35" s="41" t="str">
        <f>VLOOKUP(C35,Stores!$A$200:$G$1118,5,0)</f>
        <v>ZKTECO</v>
      </c>
      <c r="K35" s="41" t="str">
        <f>VLOOKUP(C35,Stores!$A$200:$G$1118,6,0)</f>
        <v>PAS4252900185</v>
      </c>
      <c r="L35" s="41" t="str">
        <f>VLOOKUP(C35,Stores!$A$200:$G$1118,7,0)</f>
        <v>192.168.1.201</v>
      </c>
      <c r="M35" s="42" t="s">
        <v>2965</v>
      </c>
    </row>
    <row r="36">
      <c r="A36" s="38" t="s">
        <v>2962</v>
      </c>
      <c r="B36" s="38" t="s">
        <v>3000</v>
      </c>
      <c r="C36" s="38" t="s">
        <v>1140</v>
      </c>
      <c r="D36" s="39" t="s">
        <v>1141</v>
      </c>
      <c r="E36" s="38" t="s">
        <v>2964</v>
      </c>
      <c r="F36" s="40"/>
      <c r="G36" s="40"/>
      <c r="H36" s="41" t="str">
        <f>VLOOKUP(C36,Stores!$A$200:$G$1118,3,0)</f>
        <v>Opened Stores</v>
      </c>
      <c r="I36" s="41" t="str">
        <f>VLOOKUP(C36,Stores!$A$200:$G$1118,4,0)</f>
        <v>Stage 7 - Installed</v>
      </c>
      <c r="J36" s="41" t="str">
        <f>VLOOKUP(C36,Stores!$A$200:$G$1118,5,0)</f>
        <v>ZKTECO</v>
      </c>
      <c r="K36" s="41" t="str">
        <f>VLOOKUP(C36,Stores!$A$200:$G$1118,6,0)</f>
        <v>A8N5221960321</v>
      </c>
      <c r="L36" s="41" t="str">
        <f>VLOOKUP(C36,Stores!$A$200:$G$1118,7,0)</f>
        <v>192.168.1.201</v>
      </c>
      <c r="M36" s="42" t="s">
        <v>2965</v>
      </c>
    </row>
    <row r="37">
      <c r="A37" s="38" t="s">
        <v>2962</v>
      </c>
      <c r="B37" s="38" t="s">
        <v>3001</v>
      </c>
      <c r="C37" s="38" t="s">
        <v>1901</v>
      </c>
      <c r="D37" s="39" t="s">
        <v>3002</v>
      </c>
      <c r="E37" s="38" t="s">
        <v>2964</v>
      </c>
      <c r="F37" s="40"/>
      <c r="G37" s="40"/>
      <c r="H37" s="41" t="str">
        <f>VLOOKUP(C37,Stores!$A$200:$G$1118,3,0)</f>
        <v>Opened Stores</v>
      </c>
      <c r="I37" s="41" t="str">
        <f>VLOOKUP(C37,Stores!$A$200:$G$1118,4,0)</f>
        <v>Stage 7 - Installed</v>
      </c>
      <c r="J37" s="41" t="str">
        <f>VLOOKUP(C37,Stores!$A$200:$G$1118,5,0)</f>
        <v>ZKTECO</v>
      </c>
      <c r="K37" s="41" t="str">
        <f>VLOOKUP(C37,Stores!$A$200:$G$1118,6,0)</f>
        <v>CQUJ233561355</v>
      </c>
      <c r="L37" s="41" t="str">
        <f>VLOOKUP(C37,Stores!$A$200:$G$1118,7,0)</f>
        <v>192.168.1.201</v>
      </c>
      <c r="M37" s="42" t="s">
        <v>2965</v>
      </c>
    </row>
    <row r="38">
      <c r="A38" s="38" t="s">
        <v>2962</v>
      </c>
      <c r="B38" s="38" t="s">
        <v>3003</v>
      </c>
      <c r="C38" s="38" t="s">
        <v>2117</v>
      </c>
      <c r="D38" s="39" t="s">
        <v>2118</v>
      </c>
      <c r="E38" s="38" t="s">
        <v>2964</v>
      </c>
      <c r="F38" s="40"/>
      <c r="G38" s="40"/>
      <c r="H38" s="41" t="str">
        <f>VLOOKUP(C38,Stores!$A$200:$G$1118,3,0)</f>
        <v>Opened Stores</v>
      </c>
      <c r="I38" s="41" t="str">
        <f>VLOOKUP(C38,Stores!$A$200:$G$1118,4,0)</f>
        <v>Stage 7 - Installed</v>
      </c>
      <c r="J38" s="41" t="str">
        <f>VLOOKUP(C38,Stores!$A$200:$G$1118,5,0)</f>
        <v>ZKTECO</v>
      </c>
      <c r="K38" s="41" t="str">
        <f>VLOOKUP(C38,Stores!$A$200:$G$1118,6,0)</f>
        <v>CQUJ232260071</v>
      </c>
      <c r="L38" s="41" t="str">
        <f>VLOOKUP(C38,Stores!$A$200:$G$1118,7,0)</f>
        <v>192.168.1.201</v>
      </c>
      <c r="M38" s="42" t="s">
        <v>2965</v>
      </c>
    </row>
    <row r="39">
      <c r="A39" s="38" t="s">
        <v>2962</v>
      </c>
      <c r="B39" s="38" t="s">
        <v>3004</v>
      </c>
      <c r="C39" s="38" t="s">
        <v>1288</v>
      </c>
      <c r="D39" s="39" t="s">
        <v>1289</v>
      </c>
      <c r="E39" s="38" t="s">
        <v>2964</v>
      </c>
      <c r="F39" s="40"/>
      <c r="G39" s="40"/>
      <c r="H39" s="41" t="str">
        <f>VLOOKUP(C39,Stores!$A$200:$G$1118,3,0)</f>
        <v>Opened Stores</v>
      </c>
      <c r="I39" s="41" t="str">
        <f>VLOOKUP(C39,Stores!$A$200:$G$1118,4,0)</f>
        <v>Stage 7 - Installed</v>
      </c>
      <c r="J39" s="41" t="str">
        <f>VLOOKUP(C39,Stores!$A$200:$G$1118,5,0)</f>
        <v>ZKTECO</v>
      </c>
      <c r="K39" s="41" t="str">
        <f>VLOOKUP(C39,Stores!$A$200:$G$1118,6,0)</f>
        <v>PAS4252900195</v>
      </c>
      <c r="L39" s="41" t="str">
        <f>VLOOKUP(C39,Stores!$A$200:$G$1118,7,0)</f>
        <v>192.168.1.201</v>
      </c>
      <c r="M39" s="42" t="s">
        <v>2965</v>
      </c>
    </row>
    <row r="40">
      <c r="A40" s="38" t="s">
        <v>2962</v>
      </c>
      <c r="B40" s="38" t="s">
        <v>3005</v>
      </c>
      <c r="C40" s="38" t="s">
        <v>2302</v>
      </c>
      <c r="D40" s="39" t="s">
        <v>2303</v>
      </c>
      <c r="E40" s="38" t="s">
        <v>2964</v>
      </c>
      <c r="F40" s="40"/>
      <c r="G40" s="40"/>
      <c r="H40" s="41" t="str">
        <f>VLOOKUP(C40,Stores!$A$200:$G$1118,3,0)</f>
        <v>Opened Stores</v>
      </c>
      <c r="I40" s="41" t="str">
        <f>VLOOKUP(C40,Stores!$A$200:$G$1118,4,0)</f>
        <v>Stage 7 - Installed</v>
      </c>
      <c r="J40" s="41" t="str">
        <f>VLOOKUP(C40,Stores!$A$200:$G$1118,5,0)</f>
        <v>ZKTECO</v>
      </c>
      <c r="K40" s="41" t="str">
        <f>VLOOKUP(C40,Stores!$A$200:$G$1118,6,0)</f>
        <v>ZKM6245100264</v>
      </c>
      <c r="L40" s="41" t="str">
        <f>VLOOKUP(C40,Stores!$A$200:$G$1118,7,0)</f>
        <v>192.168.1.201</v>
      </c>
      <c r="M40" s="42" t="s">
        <v>2965</v>
      </c>
    </row>
    <row r="41">
      <c r="A41" s="38" t="s">
        <v>2962</v>
      </c>
      <c r="B41" s="38" t="s">
        <v>3006</v>
      </c>
      <c r="C41" s="38" t="s">
        <v>1439</v>
      </c>
      <c r="D41" s="39" t="s">
        <v>1440</v>
      </c>
      <c r="E41" s="38" t="s">
        <v>2964</v>
      </c>
      <c r="F41" s="40"/>
      <c r="G41" s="40"/>
      <c r="H41" s="41" t="str">
        <f>VLOOKUP(C41,Stores!$A$200:$G$1118,3,0)</f>
        <v>Opened Stores</v>
      </c>
      <c r="I41" s="41" t="str">
        <f>VLOOKUP(C41,Stores!$A$200:$G$1118,4,0)</f>
        <v>Stage 7 - Installed</v>
      </c>
      <c r="J41" s="41" t="str">
        <f>VLOOKUP(C41,Stores!$A$200:$G$1118,5,0)</f>
        <v>ZKTECO</v>
      </c>
      <c r="K41" s="41" t="str">
        <f>VLOOKUP(C41,Stores!$A$200:$G$1118,6,0)</f>
        <v>AEYU082360294</v>
      </c>
      <c r="L41" s="41" t="str">
        <f>VLOOKUP(C41,Stores!$A$200:$G$1118,7,0)</f>
        <v>192.168.1.201</v>
      </c>
      <c r="M41" s="42" t="s">
        <v>2965</v>
      </c>
    </row>
    <row r="42">
      <c r="A42" s="38" t="s">
        <v>2962</v>
      </c>
      <c r="B42" s="38" t="s">
        <v>3007</v>
      </c>
      <c r="C42" s="38" t="s">
        <v>839</v>
      </c>
      <c r="D42" s="39" t="s">
        <v>840</v>
      </c>
      <c r="E42" s="38" t="s">
        <v>2964</v>
      </c>
      <c r="F42" s="40"/>
      <c r="G42" s="40"/>
      <c r="H42" s="41" t="str">
        <f>VLOOKUP(C42,Stores!$A$200:$G$1118,3,0)</f>
        <v>Opened Stores</v>
      </c>
      <c r="I42" s="41" t="str">
        <f>VLOOKUP(C42,Stores!$A$200:$G$1118,4,0)</f>
        <v>Stage 7 - Installed</v>
      </c>
      <c r="J42" s="41" t="str">
        <f>VLOOKUP(C42,Stores!$A$200:$G$1118,5,0)</f>
        <v>FINGERTEC</v>
      </c>
      <c r="K42" s="41">
        <f>VLOOKUP(C42,Stores!$A$200:$G$1118,6,0)</f>
        <v>7425659</v>
      </c>
      <c r="L42" s="41" t="str">
        <f>VLOOKUP(C42,Stores!$A$200:$G$1118,7,0)</f>
        <v>192.168.1.201</v>
      </c>
      <c r="M42" s="42" t="s">
        <v>2965</v>
      </c>
    </row>
    <row r="43">
      <c r="A43" s="38" t="s">
        <v>2962</v>
      </c>
      <c r="B43" s="38" t="s">
        <v>3008</v>
      </c>
      <c r="C43" s="38" t="s">
        <v>2450</v>
      </c>
      <c r="D43" s="39" t="s">
        <v>2451</v>
      </c>
      <c r="E43" s="38" t="s">
        <v>2964</v>
      </c>
      <c r="F43" s="40"/>
      <c r="G43" s="40"/>
      <c r="H43" s="41" t="str">
        <f>VLOOKUP(C43,Stores!$A$200:$G$1118,3,0)</f>
        <v>Opened Stores</v>
      </c>
      <c r="I43" s="41" t="str">
        <f>VLOOKUP(C43,Stores!$A$200:$G$1118,4,0)</f>
        <v>Stage 7 - Installed</v>
      </c>
      <c r="J43" s="41" t="str">
        <f>VLOOKUP(C43,Stores!$A$200:$G$1118,5,0)</f>
        <v>ZKTECO</v>
      </c>
      <c r="K43" s="41" t="str">
        <f>VLOOKUP(C43,Stores!$A$200:$G$1118,6,0)</f>
        <v>ZKM6245100092</v>
      </c>
      <c r="L43" s="41" t="str">
        <f>VLOOKUP(C43,Stores!$A$200:$G$1118,7,0)</f>
        <v>192.168.1.201</v>
      </c>
      <c r="M43" s="42" t="s">
        <v>2965</v>
      </c>
    </row>
    <row r="44">
      <c r="A44" s="38" t="s">
        <v>2962</v>
      </c>
      <c r="B44" s="38" t="s">
        <v>3009</v>
      </c>
      <c r="C44" s="38" t="s">
        <v>1642</v>
      </c>
      <c r="D44" s="39" t="s">
        <v>1643</v>
      </c>
      <c r="E44" s="38" t="s">
        <v>2964</v>
      </c>
      <c r="F44" s="40"/>
      <c r="G44" s="40"/>
      <c r="H44" s="41" t="str">
        <f>VLOOKUP(C44,Stores!$A$200:$G$1118,3,0)</f>
        <v>Opened Stores</v>
      </c>
      <c r="I44" s="41" t="str">
        <f>VLOOKUP(C44,Stores!$A$200:$G$1118,4,0)</f>
        <v>Stage 7 - Installed</v>
      </c>
      <c r="J44" s="41" t="str">
        <f>VLOOKUP(C44,Stores!$A$200:$G$1118,5,0)</f>
        <v>ZKTECO</v>
      </c>
      <c r="K44" s="41" t="str">
        <f>VLOOKUP(C44,Stores!$A$200:$G$1118,6,0)</f>
        <v>AEYU082360250</v>
      </c>
      <c r="L44" s="41" t="str">
        <f>VLOOKUP(C44,Stores!$A$200:$G$1118,7,0)</f>
        <v>192.168.1.201</v>
      </c>
      <c r="M44" s="42" t="s">
        <v>2965</v>
      </c>
    </row>
    <row r="45">
      <c r="A45" s="38" t="s">
        <v>2962</v>
      </c>
      <c r="B45" s="38" t="s">
        <v>3010</v>
      </c>
      <c r="C45" s="38" t="s">
        <v>2290</v>
      </c>
      <c r="D45" s="39" t="s">
        <v>2291</v>
      </c>
      <c r="E45" s="38" t="s">
        <v>2964</v>
      </c>
      <c r="F45" s="40"/>
      <c r="G45" s="40"/>
      <c r="H45" s="41" t="str">
        <f>VLOOKUP(C45,Stores!$A$200:$G$1118,3,0)</f>
        <v>Opened Stores</v>
      </c>
      <c r="I45" s="41" t="str">
        <f>VLOOKUP(C45,Stores!$A$200:$G$1118,4,0)</f>
        <v>Stage 7 - Installed</v>
      </c>
      <c r="J45" s="41" t="str">
        <f>VLOOKUP(C45,Stores!$A$200:$G$1118,5,0)</f>
        <v>ZKTECO</v>
      </c>
      <c r="K45" s="41" t="str">
        <f>VLOOKUP(C45,Stores!$A$200:$G$1118,6,0)</f>
        <v>CQUJ233560422</v>
      </c>
      <c r="L45" s="41" t="str">
        <f>VLOOKUP(C45,Stores!$A$200:$G$1118,7,0)</f>
        <v>192.168.1.201</v>
      </c>
      <c r="M45" s="42" t="s">
        <v>2965</v>
      </c>
    </row>
    <row r="46">
      <c r="A46" s="38" t="s">
        <v>2962</v>
      </c>
      <c r="B46" s="38" t="s">
        <v>3011</v>
      </c>
      <c r="C46" s="38" t="s">
        <v>1854</v>
      </c>
      <c r="D46" s="39" t="s">
        <v>1855</v>
      </c>
      <c r="E46" s="38" t="s">
        <v>2964</v>
      </c>
      <c r="F46" s="40"/>
      <c r="G46" s="40"/>
      <c r="H46" s="41" t="str">
        <f>VLOOKUP(C46,Stores!$A$200:$G$1118,3,0)</f>
        <v>Opened Stores</v>
      </c>
      <c r="I46" s="41" t="str">
        <f>VLOOKUP(C46,Stores!$A$200:$G$1118,4,0)</f>
        <v>Stage 7 - Installed</v>
      </c>
      <c r="J46" s="41" t="str">
        <f>VLOOKUP(C46,Stores!$A$200:$G$1118,5,0)</f>
        <v>ZKTECO</v>
      </c>
      <c r="K46" s="41" t="str">
        <f>VLOOKUP(C46,Stores!$A$200:$G$1118,6,0)</f>
        <v>CQUJ233561362</v>
      </c>
      <c r="L46" s="41" t="str">
        <f>VLOOKUP(C46,Stores!$A$200:$G$1118,7,0)</f>
        <v>192.168.1.201</v>
      </c>
      <c r="M46" s="42" t="s">
        <v>2965</v>
      </c>
    </row>
    <row r="47">
      <c r="A47" s="38" t="s">
        <v>2962</v>
      </c>
      <c r="B47" s="38" t="s">
        <v>3012</v>
      </c>
      <c r="C47" s="38" t="s">
        <v>843</v>
      </c>
      <c r="D47" s="39" t="s">
        <v>844</v>
      </c>
      <c r="E47" s="38" t="s">
        <v>2964</v>
      </c>
      <c r="F47" s="40"/>
      <c r="G47" s="40"/>
      <c r="H47" s="41" t="str">
        <f>VLOOKUP(C47,Stores!$A$200:$G$1118,3,0)</f>
        <v>Opened Stores</v>
      </c>
      <c r="I47" s="41" t="str">
        <f>VLOOKUP(C47,Stores!$A$200:$G$1118,4,0)</f>
        <v>Stage 7 - Installed</v>
      </c>
      <c r="J47" s="41" t="str">
        <f>VLOOKUP(C47,Stores!$A$200:$G$1118,5,0)</f>
        <v>FINGERTEC</v>
      </c>
      <c r="K47" s="41">
        <f>VLOOKUP(C47,Stores!$A$200:$G$1118,6,0)</f>
        <v>7425650</v>
      </c>
      <c r="L47" s="41" t="str">
        <f>VLOOKUP(C47,Stores!$A$200:$G$1118,7,0)</f>
        <v>192.168.1.201</v>
      </c>
      <c r="M47" s="42" t="s">
        <v>2965</v>
      </c>
    </row>
    <row r="48">
      <c r="A48" s="38" t="s">
        <v>2962</v>
      </c>
      <c r="B48" s="38" t="s">
        <v>3013</v>
      </c>
      <c r="C48" s="38" t="s">
        <v>612</v>
      </c>
      <c r="D48" s="39" t="s">
        <v>613</v>
      </c>
      <c r="E48" s="38" t="s">
        <v>2964</v>
      </c>
      <c r="F48" s="40"/>
      <c r="G48" s="40"/>
      <c r="H48" s="41" t="str">
        <f>VLOOKUP(C48,Stores!$A$200:$G$1118,3,0)</f>
        <v>Opened Stores</v>
      </c>
      <c r="I48" s="41" t="str">
        <f>VLOOKUP(C48,Stores!$A$200:$G$1118,4,0)</f>
        <v>Stage 7 - Installed</v>
      </c>
      <c r="J48" s="41" t="str">
        <f>VLOOKUP(C48,Stores!$A$200:$G$1118,5,0)</f>
        <v>FINGERTEC</v>
      </c>
      <c r="K48" s="41">
        <f>VLOOKUP(C48,Stores!$A$200:$G$1118,6,0)</f>
        <v>7421811</v>
      </c>
      <c r="L48" s="41" t="str">
        <f>VLOOKUP(C48,Stores!$A$200:$G$1118,7,0)</f>
        <v>192.168.1.201</v>
      </c>
      <c r="M48" s="42" t="s">
        <v>2965</v>
      </c>
    </row>
    <row r="49">
      <c r="A49" s="38" t="s">
        <v>2962</v>
      </c>
      <c r="B49" s="38" t="s">
        <v>3014</v>
      </c>
      <c r="C49" s="38" t="s">
        <v>706</v>
      </c>
      <c r="D49" s="39" t="s">
        <v>707</v>
      </c>
      <c r="E49" s="38" t="s">
        <v>2964</v>
      </c>
      <c r="F49" s="40"/>
      <c r="G49" s="40"/>
      <c r="H49" s="41" t="str">
        <f>VLOOKUP(C49,Stores!$A$200:$G$1118,3,0)</f>
        <v>Opened Stores</v>
      </c>
      <c r="I49" s="41" t="str">
        <f>VLOOKUP(C49,Stores!$A$200:$G$1118,4,0)</f>
        <v>Stage 7 - Installed</v>
      </c>
      <c r="J49" s="41" t="str">
        <f>VLOOKUP(C49,Stores!$A$200:$G$1118,5,0)</f>
        <v>FINGERTEC</v>
      </c>
      <c r="K49" s="41">
        <f>VLOOKUP(C49,Stores!$A$200:$G$1118,6,0)</f>
        <v>7422885</v>
      </c>
      <c r="L49" s="41" t="str">
        <f>VLOOKUP(C49,Stores!$A$200:$G$1118,7,0)</f>
        <v>192.168.1.201</v>
      </c>
      <c r="M49" s="42" t="s">
        <v>2965</v>
      </c>
    </row>
    <row r="50">
      <c r="A50" s="38" t="s">
        <v>2962</v>
      </c>
      <c r="B50" s="38" t="s">
        <v>3015</v>
      </c>
      <c r="C50" s="38" t="s">
        <v>554</v>
      </c>
      <c r="D50" s="39" t="s">
        <v>555</v>
      </c>
      <c r="E50" s="38" t="s">
        <v>2964</v>
      </c>
      <c r="F50" s="40"/>
      <c r="G50" s="40"/>
      <c r="H50" s="41" t="str">
        <f>VLOOKUP(C50,Stores!$A$200:$G$1118,3,0)</f>
        <v>Opened Stores</v>
      </c>
      <c r="I50" s="41" t="str">
        <f>VLOOKUP(C50,Stores!$A$200:$G$1118,4,0)</f>
        <v>Stage 7 - Installed</v>
      </c>
      <c r="J50" s="41" t="str">
        <f>VLOOKUP(C50,Stores!$A$200:$G$1118,5,0)</f>
        <v>FINGERTEC</v>
      </c>
      <c r="K50" s="41">
        <f>VLOOKUP(C50,Stores!$A$200:$G$1118,6,0)</f>
        <v>7420090</v>
      </c>
      <c r="L50" s="41" t="str">
        <f>VLOOKUP(C50,Stores!$A$200:$G$1118,7,0)</f>
        <v>192.168.1.202</v>
      </c>
      <c r="M50" s="42" t="s">
        <v>2965</v>
      </c>
    </row>
    <row r="51">
      <c r="A51" s="38" t="s">
        <v>2962</v>
      </c>
      <c r="B51" s="38" t="s">
        <v>3016</v>
      </c>
      <c r="C51" s="38" t="s">
        <v>894</v>
      </c>
      <c r="D51" s="39" t="s">
        <v>895</v>
      </c>
      <c r="E51" s="38" t="s">
        <v>2964</v>
      </c>
      <c r="F51" s="40"/>
      <c r="G51" s="40"/>
      <c r="H51" s="41" t="str">
        <f>VLOOKUP(C51,Stores!$A$200:$G$1118,3,0)</f>
        <v>Opened Stores</v>
      </c>
      <c r="I51" s="41" t="str">
        <f>VLOOKUP(C51,Stores!$A$200:$G$1118,4,0)</f>
        <v>Stage 7 - Installed</v>
      </c>
      <c r="J51" s="41" t="str">
        <f>VLOOKUP(C51,Stores!$A$200:$G$1118,5,0)</f>
        <v>FINGERTEC</v>
      </c>
      <c r="K51" s="41">
        <f>VLOOKUP(C51,Stores!$A$200:$G$1118,6,0)</f>
        <v>7425687</v>
      </c>
      <c r="L51" s="41" t="str">
        <f>VLOOKUP(C51,Stores!$A$200:$G$1118,7,0)</f>
        <v>192.168.1.50</v>
      </c>
      <c r="M51" s="42" t="s">
        <v>2965</v>
      </c>
    </row>
    <row r="52">
      <c r="A52" s="38" t="s">
        <v>2962</v>
      </c>
      <c r="B52" s="38" t="s">
        <v>3017</v>
      </c>
      <c r="C52" s="38" t="s">
        <v>1743</v>
      </c>
      <c r="D52" s="39" t="s">
        <v>1744</v>
      </c>
      <c r="E52" s="38" t="s">
        <v>2964</v>
      </c>
      <c r="F52" s="40"/>
      <c r="G52" s="40"/>
      <c r="H52" s="41" t="str">
        <f>VLOOKUP(C52,Stores!$A$200:$G$1118,3,0)</f>
        <v>Opened Stores</v>
      </c>
      <c r="I52" s="41" t="str">
        <f>VLOOKUP(C52,Stores!$A$200:$G$1118,4,0)</f>
        <v>Stage 7 - Installed</v>
      </c>
      <c r="J52" s="41" t="str">
        <f>VLOOKUP(C52,Stores!$A$200:$G$1118,5,0)</f>
        <v>ZKTECO</v>
      </c>
      <c r="K52" s="41" t="str">
        <f>VLOOKUP(C52,Stores!$A$200:$G$1118,6,0)</f>
        <v>CQUJ233560166</v>
      </c>
      <c r="L52" s="41" t="str">
        <f>VLOOKUP(C52,Stores!$A$200:$G$1118,7,0)</f>
        <v>192.168.1.201</v>
      </c>
      <c r="M52" s="42" t="s">
        <v>2965</v>
      </c>
    </row>
    <row r="53">
      <c r="A53" s="38" t="s">
        <v>2962</v>
      </c>
      <c r="B53" s="38" t="s">
        <v>3018</v>
      </c>
      <c r="C53" s="38" t="s">
        <v>1940</v>
      </c>
      <c r="D53" s="39" t="s">
        <v>1941</v>
      </c>
      <c r="E53" s="38" t="s">
        <v>2964</v>
      </c>
      <c r="F53" s="40"/>
      <c r="G53" s="40"/>
      <c r="H53" s="41" t="str">
        <f>VLOOKUP(C53,Stores!$A$200:$G$1118,3,0)</f>
        <v>Opened Stores</v>
      </c>
      <c r="I53" s="41" t="str">
        <f>VLOOKUP(C53,Stores!$A$200:$G$1118,4,0)</f>
        <v>Stage 7 - Installed</v>
      </c>
      <c r="J53" s="41" t="str">
        <f>VLOOKUP(C53,Stores!$A$200:$G$1118,5,0)</f>
        <v>ZKTECO</v>
      </c>
      <c r="K53" s="41" t="str">
        <f>VLOOKUP(C53,Stores!$A$200:$G$1118,6,0)</f>
        <v>CQUJ233561348</v>
      </c>
      <c r="L53" s="41" t="str">
        <f>VLOOKUP(C53,Stores!$A$200:$G$1118,7,0)</f>
        <v> 192.168.1.201</v>
      </c>
      <c r="M53" s="42" t="s">
        <v>2965</v>
      </c>
    </row>
    <row r="54">
      <c r="A54" s="38" t="s">
        <v>2962</v>
      </c>
      <c r="B54" s="38" t="s">
        <v>3019</v>
      </c>
      <c r="C54" s="38" t="s">
        <v>675</v>
      </c>
      <c r="D54" s="39" t="s">
        <v>676</v>
      </c>
      <c r="E54" s="38" t="s">
        <v>2964</v>
      </c>
      <c r="F54" s="40"/>
      <c r="G54" s="40"/>
      <c r="H54" s="41" t="str">
        <f>VLOOKUP(C54,Stores!$A$200:$G$1118,3,0)</f>
        <v>Opened Stores</v>
      </c>
      <c r="I54" s="41" t="str">
        <f>VLOOKUP(C54,Stores!$A$200:$G$1118,4,0)</f>
        <v>Stage 7 - Installed</v>
      </c>
      <c r="J54" s="41" t="str">
        <f>VLOOKUP(C54,Stores!$A$200:$G$1118,5,0)</f>
        <v>ZKTECO</v>
      </c>
      <c r="K54" s="41" t="str">
        <f>VLOOKUP(C54,Stores!$A$200:$G$1118,6,0)</f>
        <v>PAS4252500115</v>
      </c>
      <c r="L54" s="41" t="str">
        <f>VLOOKUP(C54,Stores!$A$200:$G$1118,7,0)</f>
        <v>192.168.1.201</v>
      </c>
      <c r="M54" s="42" t="s">
        <v>2965</v>
      </c>
    </row>
    <row r="55">
      <c r="A55" s="38" t="s">
        <v>2962</v>
      </c>
      <c r="B55" s="38" t="s">
        <v>3020</v>
      </c>
      <c r="C55" s="38" t="s">
        <v>1928</v>
      </c>
      <c r="D55" s="39" t="s">
        <v>1929</v>
      </c>
      <c r="E55" s="38" t="s">
        <v>2964</v>
      </c>
      <c r="F55" s="40"/>
      <c r="G55" s="40"/>
      <c r="H55" s="41" t="str">
        <f>VLOOKUP(C55,Stores!$A$200:$G$1118,3,0)</f>
        <v>Opened Stores</v>
      </c>
      <c r="I55" s="41" t="str">
        <f>VLOOKUP(C55,Stores!$A$200:$G$1118,4,0)</f>
        <v>Stage 7 - Installed</v>
      </c>
      <c r="J55" s="41" t="str">
        <f>VLOOKUP(C55,Stores!$A$200:$G$1118,5,0)</f>
        <v>ZKTECO</v>
      </c>
      <c r="K55" s="41" t="str">
        <f>VLOOKUP(C55,Stores!$A$200:$G$1118,6,0)</f>
        <v>CQUJ233560679</v>
      </c>
      <c r="L55" s="41" t="str">
        <f>VLOOKUP(C55,Stores!$A$200:$G$1118,7,0)</f>
        <v>192.168.1.201</v>
      </c>
      <c r="M55" s="42" t="s">
        <v>2965</v>
      </c>
    </row>
    <row r="56">
      <c r="A56" s="38" t="s">
        <v>2962</v>
      </c>
      <c r="B56" s="38" t="s">
        <v>3021</v>
      </c>
      <c r="C56" s="38" t="s">
        <v>2114</v>
      </c>
      <c r="D56" s="39" t="s">
        <v>3022</v>
      </c>
      <c r="E56" s="38" t="s">
        <v>2964</v>
      </c>
      <c r="F56" s="40"/>
      <c r="G56" s="40"/>
      <c r="H56" s="41" t="str">
        <f>VLOOKUP(C56,Stores!$A$200:$G$1118,3,0)</f>
        <v>Opened Stores</v>
      </c>
      <c r="I56" s="41" t="str">
        <f>VLOOKUP(C56,Stores!$A$200:$G$1118,4,0)</f>
        <v>Stage 7 - Installed</v>
      </c>
      <c r="J56" s="41" t="str">
        <f>VLOOKUP(C56,Stores!$A$200:$G$1118,5,0)</f>
        <v>ZKTECO</v>
      </c>
      <c r="K56" s="41" t="str">
        <f>VLOOKUP(C56,Stores!$A$200:$G$1118,6,0)</f>
        <v>CQUJ232260083</v>
      </c>
      <c r="L56" s="41" t="str">
        <f>VLOOKUP(C56,Stores!$A$200:$G$1118,7,0)</f>
        <v>192.168.1.201</v>
      </c>
      <c r="M56" s="42" t="s">
        <v>2965</v>
      </c>
    </row>
    <row r="57">
      <c r="A57" s="38" t="s">
        <v>2962</v>
      </c>
      <c r="B57" s="38" t="s">
        <v>3023</v>
      </c>
      <c r="C57" s="38" t="s">
        <v>1639</v>
      </c>
      <c r="D57" s="39" t="s">
        <v>3024</v>
      </c>
      <c r="E57" s="38" t="s">
        <v>2964</v>
      </c>
      <c r="F57" s="40"/>
      <c r="G57" s="40"/>
      <c r="H57" s="41" t="str">
        <f>VLOOKUP(C57,Stores!$A$200:$G$1118,3,0)</f>
        <v>Opened Stores</v>
      </c>
      <c r="I57" s="41" t="str">
        <f>VLOOKUP(C57,Stores!$A$200:$G$1118,4,0)</f>
        <v>Stage 7 - Installed</v>
      </c>
      <c r="J57" s="41" t="str">
        <f>VLOOKUP(C57,Stores!$A$200:$G$1118,5,0)</f>
        <v>ZKTECO</v>
      </c>
      <c r="K57" s="41" t="str">
        <f>VLOOKUP(C57,Stores!$A$200:$G$1118,6,0)</f>
        <v>AEYU082360234</v>
      </c>
      <c r="L57" s="41" t="str">
        <f>VLOOKUP(C57,Stores!$A$200:$G$1118,7,0)</f>
        <v>192.168.1.202</v>
      </c>
      <c r="M57" s="42" t="s">
        <v>2965</v>
      </c>
    </row>
    <row r="58">
      <c r="A58" s="38" t="s">
        <v>2962</v>
      </c>
      <c r="B58" s="38" t="s">
        <v>3025</v>
      </c>
      <c r="C58" s="38" t="s">
        <v>418</v>
      </c>
      <c r="D58" s="39" t="s">
        <v>419</v>
      </c>
      <c r="E58" s="38" t="s">
        <v>2964</v>
      </c>
      <c r="F58" s="40"/>
      <c r="G58" s="40"/>
      <c r="H58" s="41" t="str">
        <f>VLOOKUP(C58,Stores!$A$200:$G$1118,3,0)</f>
        <v>Opened Stores</v>
      </c>
      <c r="I58" s="41" t="str">
        <f>VLOOKUP(C58,Stores!$A$200:$G$1118,4,0)</f>
        <v>Stage 7 - Installed</v>
      </c>
      <c r="J58" s="41" t="str">
        <f>VLOOKUP(C58,Stores!$A$200:$G$1118,5,0)</f>
        <v>FINGERTEC</v>
      </c>
      <c r="K58" s="41">
        <f>VLOOKUP(C58,Stores!$A$200:$G$1118,6,0)</f>
        <v>7415090</v>
      </c>
      <c r="L58" s="41" t="str">
        <f>VLOOKUP(C58,Stores!$A$200:$G$1118,7,0)</f>
        <v>192.168.1.201</v>
      </c>
      <c r="M58" s="42" t="s">
        <v>2965</v>
      </c>
    </row>
    <row r="59">
      <c r="A59" s="38" t="s">
        <v>2962</v>
      </c>
      <c r="B59" s="38" t="s">
        <v>3026</v>
      </c>
      <c r="C59" s="38" t="s">
        <v>765</v>
      </c>
      <c r="D59" s="39" t="s">
        <v>766</v>
      </c>
      <c r="E59" s="38" t="s">
        <v>2964</v>
      </c>
      <c r="F59" s="40"/>
      <c r="G59" s="40"/>
      <c r="H59" s="41" t="str">
        <f>VLOOKUP(C59,Stores!$A$200:$G$1118,3,0)</f>
        <v>Opened Stores</v>
      </c>
      <c r="I59" s="41" t="str">
        <f>VLOOKUP(C59,Stores!$A$200:$G$1118,4,0)</f>
        <v>Stage 7 - Installed</v>
      </c>
      <c r="J59" s="41" t="str">
        <f>VLOOKUP(C59,Stores!$A$200:$G$1118,5,0)</f>
        <v>FINGERTEC</v>
      </c>
      <c r="K59" s="41">
        <f>VLOOKUP(C59,Stores!$A$200:$G$1118,6,0)</f>
        <v>7424190</v>
      </c>
      <c r="L59" s="41" t="str">
        <f>VLOOKUP(C59,Stores!$A$200:$G$1118,7,0)</f>
        <v>192.168.1.201</v>
      </c>
      <c r="M59" s="42" t="s">
        <v>2965</v>
      </c>
    </row>
    <row r="60">
      <c r="A60" s="38" t="s">
        <v>2962</v>
      </c>
      <c r="B60" s="38" t="s">
        <v>3027</v>
      </c>
      <c r="C60" s="38" t="s">
        <v>815</v>
      </c>
      <c r="D60" s="39" t="s">
        <v>816</v>
      </c>
      <c r="E60" s="38" t="s">
        <v>2964</v>
      </c>
      <c r="F60" s="40"/>
      <c r="G60" s="40"/>
      <c r="H60" s="41" t="str">
        <f>VLOOKUP(C60,Stores!$A$200:$G$1118,3,0)</f>
        <v>Opened Stores</v>
      </c>
      <c r="I60" s="41" t="str">
        <f>VLOOKUP(C60,Stores!$A$200:$G$1118,4,0)</f>
        <v>Stage 7 - Installed</v>
      </c>
      <c r="J60" s="41" t="str">
        <f>VLOOKUP(C60,Stores!$A$200:$G$1118,5,0)</f>
        <v>FINGERTEC</v>
      </c>
      <c r="K60" s="41">
        <f>VLOOKUP(C60,Stores!$A$200:$G$1118,6,0)</f>
        <v>7425417</v>
      </c>
      <c r="L60" s="41" t="str">
        <f>VLOOKUP(C60,Stores!$A$200:$G$1118,7,0)</f>
        <v>192.168.1.201</v>
      </c>
      <c r="M60" s="42" t="s">
        <v>2965</v>
      </c>
    </row>
    <row r="61">
      <c r="A61" s="38" t="s">
        <v>2962</v>
      </c>
      <c r="B61" s="38" t="s">
        <v>3028</v>
      </c>
      <c r="C61" s="38" t="s">
        <v>1087</v>
      </c>
      <c r="D61" s="39" t="s">
        <v>1088</v>
      </c>
      <c r="E61" s="38" t="s">
        <v>2964</v>
      </c>
      <c r="F61" s="40"/>
      <c r="G61" s="40"/>
      <c r="H61" s="41" t="str">
        <f>VLOOKUP(C61,Stores!$A$200:$G$1118,3,0)</f>
        <v>Opened Stores</v>
      </c>
      <c r="I61" s="41" t="str">
        <f>VLOOKUP(C61,Stores!$A$200:$G$1118,4,0)</f>
        <v>Stage 7 - Installed</v>
      </c>
      <c r="J61" s="41" t="str">
        <f>VLOOKUP(C61,Stores!$A$200:$G$1118,5,0)</f>
        <v>ZKTECO</v>
      </c>
      <c r="K61" s="41" t="str">
        <f>VLOOKUP(C61,Stores!$A$200:$G$1118,6,0)</f>
        <v>ABN5221960245</v>
      </c>
      <c r="L61" s="41" t="str">
        <f>VLOOKUP(C61,Stores!$A$200:$G$1118,7,0)</f>
        <v> 192.168.1.201</v>
      </c>
      <c r="M61" s="42" t="s">
        <v>2965</v>
      </c>
    </row>
    <row r="62">
      <c r="A62" s="38" t="s">
        <v>2962</v>
      </c>
      <c r="B62" s="38" t="s">
        <v>3029</v>
      </c>
      <c r="C62" s="38" t="s">
        <v>626</v>
      </c>
      <c r="D62" s="39" t="s">
        <v>627</v>
      </c>
      <c r="E62" s="38" t="s">
        <v>2964</v>
      </c>
      <c r="F62" s="40"/>
      <c r="G62" s="40"/>
      <c r="H62" s="41" t="str">
        <f>VLOOKUP(C62,Stores!$A$200:$G$1118,3,0)</f>
        <v>Opened Stores</v>
      </c>
      <c r="I62" s="41" t="str">
        <f>VLOOKUP(C62,Stores!$A$200:$G$1118,4,0)</f>
        <v>Stage 7 - Installed</v>
      </c>
      <c r="J62" s="41" t="str">
        <f>VLOOKUP(C62,Stores!$A$200:$G$1118,5,0)</f>
        <v>ZKTECO</v>
      </c>
      <c r="K62" s="41">
        <f>VLOOKUP(C62,Stores!$A$200:$G$1118,6,0)</f>
        <v>7421962</v>
      </c>
      <c r="L62" s="41" t="str">
        <f>VLOOKUP(C62,Stores!$A$200:$G$1118,7,0)</f>
        <v> 192.168.1.201</v>
      </c>
      <c r="M62" s="42" t="s">
        <v>2965</v>
      </c>
    </row>
    <row r="63">
      <c r="A63" s="38" t="s">
        <v>2962</v>
      </c>
      <c r="B63" s="38" t="s">
        <v>3030</v>
      </c>
      <c r="C63" s="38" t="s">
        <v>2544</v>
      </c>
      <c r="D63" s="39" t="s">
        <v>2545</v>
      </c>
      <c r="E63" s="38" t="s">
        <v>2964</v>
      </c>
      <c r="F63" s="40"/>
      <c r="G63" s="40"/>
      <c r="H63" s="41" t="str">
        <f>VLOOKUP(C63,Stores!$A$200:$G$1118,3,0)</f>
        <v>Opened Stores</v>
      </c>
      <c r="I63" s="41" t="str">
        <f>VLOOKUP(C63,Stores!$A$200:$G$1118,4,0)</f>
        <v>Stage 7 - Installed</v>
      </c>
      <c r="J63" s="41" t="str">
        <f>VLOOKUP(C63,Stores!$A$200:$G$1118,5,0)</f>
        <v>ZKTECO</v>
      </c>
      <c r="K63" s="41" t="str">
        <f>VLOOKUP(C63,Stores!$A$200:$G$1118,6,0)</f>
        <v>ZKM6251700050</v>
      </c>
      <c r="L63" s="41" t="str">
        <f>VLOOKUP(C63,Stores!$A$200:$G$1118,7,0)</f>
        <v>192.168.1.201</v>
      </c>
      <c r="M63" s="42" t="s">
        <v>2965</v>
      </c>
    </row>
    <row r="64">
      <c r="A64" s="38" t="s">
        <v>2962</v>
      </c>
      <c r="B64" s="38" t="s">
        <v>3031</v>
      </c>
      <c r="C64" s="38" t="s">
        <v>1373</v>
      </c>
      <c r="D64" s="39" t="s">
        <v>1374</v>
      </c>
      <c r="E64" s="38" t="s">
        <v>2964</v>
      </c>
      <c r="F64" s="40"/>
      <c r="G64" s="40"/>
      <c r="H64" s="41" t="str">
        <f>VLOOKUP(C64,Stores!$A$200:$G$1118,3,0)</f>
        <v>Opened Stores</v>
      </c>
      <c r="I64" s="41" t="str">
        <f>VLOOKUP(C64,Stores!$A$200:$G$1118,4,0)</f>
        <v>Stage 7 - Installed</v>
      </c>
      <c r="J64" s="41" t="str">
        <f>VLOOKUP(C64,Stores!$A$200:$G$1118,5,0)</f>
        <v>ZKTECO</v>
      </c>
      <c r="K64" s="41" t="str">
        <f>VLOOKUP(C64,Stores!$A$200:$G$1118,6,0)</f>
        <v>ZKM6251700057</v>
      </c>
      <c r="L64" s="41" t="str">
        <f>VLOOKUP(C64,Stores!$A$200:$G$1118,7,0)</f>
        <v>192.168.1.201</v>
      </c>
      <c r="M64" s="42" t="s">
        <v>2965</v>
      </c>
    </row>
    <row r="65">
      <c r="A65" s="38" t="s">
        <v>2962</v>
      </c>
      <c r="B65" s="38" t="s">
        <v>3032</v>
      </c>
      <c r="C65" s="38" t="s">
        <v>657</v>
      </c>
      <c r="D65" s="39" t="s">
        <v>658</v>
      </c>
      <c r="E65" s="38" t="s">
        <v>2964</v>
      </c>
      <c r="F65" s="40"/>
      <c r="G65" s="40"/>
      <c r="H65" s="41" t="str">
        <f>VLOOKUP(C65,Stores!$A$200:$G$1118,3,0)</f>
        <v>Opened Stores</v>
      </c>
      <c r="I65" s="41" t="str">
        <f>VLOOKUP(C65,Stores!$A$200:$G$1118,4,0)</f>
        <v>Stage 7 - Installed</v>
      </c>
      <c r="J65" s="41" t="str">
        <f>VLOOKUP(C65,Stores!$A$200:$G$1118,5,0)</f>
        <v>FINGERTEC</v>
      </c>
      <c r="K65" s="41">
        <f>VLOOKUP(C65,Stores!$A$200:$G$1118,6,0)</f>
        <v>7421970</v>
      </c>
      <c r="L65" s="41" t="str">
        <f>VLOOKUP(C65,Stores!$A$200:$G$1118,7,0)</f>
        <v>192.168.1.201</v>
      </c>
      <c r="M65" s="42" t="s">
        <v>2965</v>
      </c>
    </row>
    <row r="66">
      <c r="A66" s="38" t="s">
        <v>2962</v>
      </c>
      <c r="B66" s="38" t="s">
        <v>3033</v>
      </c>
      <c r="C66" s="38" t="s">
        <v>850</v>
      </c>
      <c r="D66" s="39" t="s">
        <v>851</v>
      </c>
      <c r="E66" s="38" t="s">
        <v>2964</v>
      </c>
      <c r="F66" s="40"/>
      <c r="G66" s="40"/>
      <c r="H66" s="41" t="str">
        <f>VLOOKUP(C66,Stores!$A$200:$G$1118,3,0)</f>
        <v>Opened Stores</v>
      </c>
      <c r="I66" s="41" t="str">
        <f>VLOOKUP(C66,Stores!$A$200:$G$1118,4,0)</f>
        <v>Stage 7 - Installed</v>
      </c>
      <c r="J66" s="41" t="str">
        <f>VLOOKUP(C66,Stores!$A$200:$G$1118,5,0)</f>
        <v>FINGERTEC</v>
      </c>
      <c r="K66" s="41">
        <f>VLOOKUP(C66,Stores!$A$200:$G$1118,6,0)</f>
        <v>7425648</v>
      </c>
      <c r="L66" s="41" t="str">
        <f>VLOOKUP(C66,Stores!$A$200:$G$1118,7,0)</f>
        <v>192.168.1.201</v>
      </c>
      <c r="M66" s="42" t="s">
        <v>2965</v>
      </c>
    </row>
    <row r="67">
      <c r="A67" s="38" t="s">
        <v>2962</v>
      </c>
      <c r="B67" s="38" t="s">
        <v>3034</v>
      </c>
      <c r="C67" s="38" t="s">
        <v>641</v>
      </c>
      <c r="D67" s="39" t="s">
        <v>642</v>
      </c>
      <c r="E67" s="38" t="s">
        <v>2964</v>
      </c>
      <c r="F67" s="40"/>
      <c r="G67" s="40"/>
      <c r="H67" s="41" t="str">
        <f>VLOOKUP(C67,Stores!$A$200:$G$1118,3,0)</f>
        <v>Opened Stores</v>
      </c>
      <c r="I67" s="41" t="str">
        <f>VLOOKUP(C67,Stores!$A$200:$G$1118,4,0)</f>
        <v>Stage 7 - Installed</v>
      </c>
      <c r="J67" s="41" t="str">
        <f>VLOOKUP(C67,Stores!$A$200:$G$1118,5,0)</f>
        <v>FINGERTEC</v>
      </c>
      <c r="K67" s="41">
        <f>VLOOKUP(C67,Stores!$A$200:$G$1118,6,0)</f>
        <v>7421965</v>
      </c>
      <c r="L67" s="41" t="str">
        <f>VLOOKUP(C67,Stores!$A$200:$G$1118,7,0)</f>
        <v>192.168.1.201</v>
      </c>
      <c r="M67" s="42" t="s">
        <v>2965</v>
      </c>
    </row>
    <row r="68">
      <c r="A68" s="38" t="s">
        <v>2962</v>
      </c>
      <c r="B68" s="38" t="s">
        <v>3035</v>
      </c>
      <c r="C68" s="38" t="s">
        <v>564</v>
      </c>
      <c r="D68" s="39" t="s">
        <v>565</v>
      </c>
      <c r="E68" s="38" t="s">
        <v>2964</v>
      </c>
      <c r="F68" s="40"/>
      <c r="G68" s="40"/>
      <c r="H68" s="41" t="str">
        <f>VLOOKUP(C68,Stores!$A$200:$G$1118,3,0)</f>
        <v>Opened Stores</v>
      </c>
      <c r="I68" s="41" t="str">
        <f>VLOOKUP(C68,Stores!$A$200:$G$1118,4,0)</f>
        <v>Stage 7 - Installed</v>
      </c>
      <c r="J68" s="41" t="str">
        <f>VLOOKUP(C68,Stores!$A$200:$G$1118,5,0)</f>
        <v>FINGERTEC</v>
      </c>
      <c r="K68" s="41">
        <f>VLOOKUP(C68,Stores!$A$200:$G$1118,6,0)</f>
        <v>7421289</v>
      </c>
      <c r="L68" s="41" t="str">
        <f>VLOOKUP(C68,Stores!$A$200:$G$1118,7,0)</f>
        <v>192.168.1.201</v>
      </c>
      <c r="M68" s="42" t="s">
        <v>2965</v>
      </c>
    </row>
    <row r="69">
      <c r="A69" s="38" t="s">
        <v>2962</v>
      </c>
      <c r="B69" s="38" t="s">
        <v>3036</v>
      </c>
      <c r="C69" s="38" t="s">
        <v>422</v>
      </c>
      <c r="D69" s="39" t="s">
        <v>423</v>
      </c>
      <c r="E69" s="38" t="s">
        <v>2964</v>
      </c>
      <c r="F69" s="40"/>
      <c r="G69" s="40"/>
      <c r="H69" s="41" t="str">
        <f>VLOOKUP(C69,Stores!$A$200:$G$1118,3,0)</f>
        <v>Opened Stores</v>
      </c>
      <c r="I69" s="41" t="str">
        <f>VLOOKUP(C69,Stores!$A$200:$G$1118,4,0)</f>
        <v>Stage 7 - Installed</v>
      </c>
      <c r="J69" s="41" t="str">
        <f>VLOOKUP(C69,Stores!$A$200:$G$1118,5,0)</f>
        <v>FINGERTEC</v>
      </c>
      <c r="K69" s="41">
        <f>VLOOKUP(C69,Stores!$A$200:$G$1118,6,0)</f>
        <v>7415911</v>
      </c>
      <c r="L69" s="41" t="str">
        <f>VLOOKUP(C69,Stores!$A$200:$G$1118,7,0)</f>
        <v>192.168.1.201</v>
      </c>
      <c r="M69" s="42" t="s">
        <v>2965</v>
      </c>
    </row>
    <row r="70">
      <c r="A70" s="38" t="s">
        <v>2962</v>
      </c>
      <c r="B70" s="38" t="s">
        <v>3037</v>
      </c>
      <c r="C70" s="38" t="s">
        <v>2490</v>
      </c>
      <c r="D70" s="39" t="s">
        <v>2491</v>
      </c>
      <c r="E70" s="38" t="s">
        <v>2964</v>
      </c>
      <c r="F70" s="40"/>
      <c r="G70" s="40"/>
      <c r="H70" s="41" t="str">
        <f>VLOOKUP(C70,Stores!$A$200:$G$1118,3,0)</f>
        <v>Opened Stores</v>
      </c>
      <c r="I70" s="41" t="str">
        <f>VLOOKUP(C70,Stores!$A$200:$G$1118,4,0)</f>
        <v>Stage 7 - Installed</v>
      </c>
      <c r="J70" s="41" t="str">
        <f>VLOOKUP(C70,Stores!$A$200:$G$1118,5,0)</f>
        <v>ZKTECO</v>
      </c>
      <c r="K70" s="41" t="str">
        <f>VLOOKUP(C70,Stores!$A$200:$G$1118,6,0)</f>
        <v>ZKM6251700240</v>
      </c>
      <c r="L70" s="41" t="str">
        <f>VLOOKUP(C70,Stores!$A$200:$G$1118,7,0)</f>
        <v>192.168.1.201</v>
      </c>
      <c r="M70" s="42" t="s">
        <v>2965</v>
      </c>
    </row>
    <row r="71">
      <c r="A71" s="38" t="s">
        <v>2962</v>
      </c>
      <c r="B71" s="38" t="s">
        <v>3038</v>
      </c>
      <c r="C71" s="38" t="s">
        <v>763</v>
      </c>
      <c r="D71" s="39" t="s">
        <v>764</v>
      </c>
      <c r="E71" s="38" t="s">
        <v>2964</v>
      </c>
      <c r="F71" s="40"/>
      <c r="G71" s="40"/>
      <c r="H71" s="41" t="str">
        <f>VLOOKUP(C71,Stores!$A$200:$G$1118,3,0)</f>
        <v>Opened Stores</v>
      </c>
      <c r="I71" s="41" t="str">
        <f>VLOOKUP(C71,Stores!$A$200:$G$1118,4,0)</f>
        <v>Stage 7 - Installed</v>
      </c>
      <c r="J71" s="41" t="str">
        <f>VLOOKUP(C71,Stores!$A$200:$G$1118,5,0)</f>
        <v>FINGERTEC</v>
      </c>
      <c r="K71" s="41">
        <f>VLOOKUP(C71,Stores!$A$200:$G$1118,6,0)</f>
        <v>7424202</v>
      </c>
      <c r="L71" s="41" t="str">
        <f>VLOOKUP(C71,Stores!$A$200:$G$1118,7,0)</f>
        <v>192.168.1.201</v>
      </c>
      <c r="M71" s="42" t="s">
        <v>2965</v>
      </c>
    </row>
    <row r="72">
      <c r="A72" s="38" t="s">
        <v>2962</v>
      </c>
      <c r="B72" s="38" t="s">
        <v>3039</v>
      </c>
      <c r="C72" s="38" t="s">
        <v>476</v>
      </c>
      <c r="D72" s="39" t="s">
        <v>477</v>
      </c>
      <c r="E72" s="38" t="s">
        <v>2964</v>
      </c>
      <c r="F72" s="40"/>
      <c r="G72" s="40"/>
      <c r="H72" s="41" t="str">
        <f>VLOOKUP(C72,Stores!$A$200:$G$1118,3,0)</f>
        <v>Opened Stores</v>
      </c>
      <c r="I72" s="41" t="str">
        <f>VLOOKUP(C72,Stores!$A$200:$G$1118,4,0)</f>
        <v>Stage 7 - Installed</v>
      </c>
      <c r="J72" s="41" t="str">
        <f>VLOOKUP(C72,Stores!$A$200:$G$1118,5,0)</f>
        <v>ZKTECO</v>
      </c>
      <c r="K72" s="41" t="str">
        <f>VLOOKUP(C72,Stores!$A$200:$G$1118,6,0)</f>
        <v>ZKM6245100235</v>
      </c>
      <c r="L72" s="41" t="str">
        <f>VLOOKUP(C72,Stores!$A$200:$G$1118,7,0)</f>
        <v>192.168.1.201</v>
      </c>
      <c r="M72" s="42" t="s">
        <v>2965</v>
      </c>
    </row>
    <row r="73">
      <c r="A73" s="38" t="s">
        <v>2962</v>
      </c>
      <c r="B73" s="38" t="s">
        <v>3040</v>
      </c>
      <c r="C73" s="38" t="s">
        <v>1367</v>
      </c>
      <c r="D73" s="39" t="s">
        <v>1368</v>
      </c>
      <c r="E73" s="38" t="s">
        <v>2964</v>
      </c>
      <c r="F73" s="40"/>
      <c r="G73" s="40"/>
      <c r="H73" s="41" t="str">
        <f>VLOOKUP(C73,Stores!$A$200:$G$1118,3,0)</f>
        <v>Opened Stores</v>
      </c>
      <c r="I73" s="41" t="str">
        <f>VLOOKUP(C73,Stores!$A$200:$G$1118,4,0)</f>
        <v>Stage 7 - Installed</v>
      </c>
      <c r="J73" s="41" t="str">
        <f>VLOOKUP(C73,Stores!$A$200:$G$1118,5,0)</f>
        <v>ZKTECO</v>
      </c>
      <c r="K73" s="41" t="str">
        <f>VLOOKUP(C73,Stores!$A$200:$G$1118,6,0)</f>
        <v>PAS4252500022</v>
      </c>
      <c r="L73" s="41" t="str">
        <f>VLOOKUP(C73,Stores!$A$200:$G$1118,7,0)</f>
        <v>192.168.1.201</v>
      </c>
      <c r="M73" s="42" t="s">
        <v>2965</v>
      </c>
    </row>
    <row r="74">
      <c r="A74" s="38" t="s">
        <v>2962</v>
      </c>
      <c r="B74" s="38" t="s">
        <v>3041</v>
      </c>
      <c r="C74" s="38" t="s">
        <v>743</v>
      </c>
      <c r="D74" s="39" t="s">
        <v>744</v>
      </c>
      <c r="E74" s="38" t="s">
        <v>2964</v>
      </c>
      <c r="F74" s="40"/>
      <c r="G74" s="40"/>
      <c r="H74" s="41" t="str">
        <f>VLOOKUP(C74,Stores!$A$200:$G$1118,3,0)</f>
        <v>Opened Stores</v>
      </c>
      <c r="I74" s="41" t="str">
        <f>VLOOKUP(C74,Stores!$A$200:$G$1118,4,0)</f>
        <v>Stage 7 - Installed</v>
      </c>
      <c r="J74" s="41" t="str">
        <f>VLOOKUP(C74,Stores!$A$200:$G$1118,5,0)</f>
        <v>FINGERTEC</v>
      </c>
      <c r="K74" s="41">
        <f>VLOOKUP(C74,Stores!$A$200:$G$1118,6,0)</f>
        <v>7423469</v>
      </c>
      <c r="L74" s="41" t="str">
        <f>VLOOKUP(C74,Stores!$A$200:$G$1118,7,0)</f>
        <v>192.168.1.201</v>
      </c>
      <c r="M74" s="42" t="s">
        <v>2965</v>
      </c>
    </row>
    <row r="75">
      <c r="A75" s="38" t="s">
        <v>2962</v>
      </c>
      <c r="B75" s="38" t="s">
        <v>3042</v>
      </c>
      <c r="C75" s="38" t="s">
        <v>801</v>
      </c>
      <c r="D75" s="39" t="s">
        <v>802</v>
      </c>
      <c r="E75" s="38" t="s">
        <v>2964</v>
      </c>
      <c r="F75" s="40"/>
      <c r="G75" s="40"/>
      <c r="H75" s="41" t="str">
        <f>VLOOKUP(C75,Stores!$A$200:$G$1118,3,0)</f>
        <v>Opened Stores</v>
      </c>
      <c r="I75" s="41" t="str">
        <f>VLOOKUP(C75,Stores!$A$200:$G$1118,4,0)</f>
        <v>Stage 7 - Installed</v>
      </c>
      <c r="J75" s="41" t="str">
        <f>VLOOKUP(C75,Stores!$A$200:$G$1118,5,0)</f>
        <v>FINGERTEC</v>
      </c>
      <c r="K75" s="41">
        <f>VLOOKUP(C75,Stores!$A$200:$G$1118,6,0)</f>
        <v>7425399</v>
      </c>
      <c r="L75" s="41" t="str">
        <f>VLOOKUP(C75,Stores!$A$200:$G$1118,7,0)</f>
        <v>192.168.1.201</v>
      </c>
      <c r="M75" s="42" t="s">
        <v>2965</v>
      </c>
    </row>
    <row r="76">
      <c r="A76" s="38" t="s">
        <v>2962</v>
      </c>
      <c r="B76" s="38" t="s">
        <v>3043</v>
      </c>
      <c r="C76" s="38" t="s">
        <v>864</v>
      </c>
      <c r="D76" s="39" t="s">
        <v>865</v>
      </c>
      <c r="E76" s="38" t="s">
        <v>2964</v>
      </c>
      <c r="F76" s="40"/>
      <c r="G76" s="40"/>
      <c r="H76" s="41" t="str">
        <f>VLOOKUP(C76,Stores!$A$200:$G$1118,3,0)</f>
        <v>Opened Stores</v>
      </c>
      <c r="I76" s="41" t="str">
        <f>VLOOKUP(C76,Stores!$A$200:$G$1118,4,0)</f>
        <v>Stage 7 - Installed</v>
      </c>
      <c r="J76" s="41" t="str">
        <f>VLOOKUP(C76,Stores!$A$200:$G$1118,5,0)</f>
        <v>FINGERTEC</v>
      </c>
      <c r="K76" s="41">
        <f>VLOOKUP(C76,Stores!$A$200:$G$1118,6,0)</f>
        <v>7425867</v>
      </c>
      <c r="L76" s="41" t="str">
        <f>VLOOKUP(C76,Stores!$A$200:$G$1118,7,0)</f>
        <v>192.168.1.201</v>
      </c>
      <c r="M76" s="42" t="s">
        <v>2965</v>
      </c>
    </row>
    <row r="77">
      <c r="A77" s="38" t="s">
        <v>2962</v>
      </c>
      <c r="B77" s="38" t="s">
        <v>3044</v>
      </c>
      <c r="C77" s="38" t="s">
        <v>952</v>
      </c>
      <c r="D77" s="39" t="s">
        <v>953</v>
      </c>
      <c r="E77" s="38" t="s">
        <v>2964</v>
      </c>
      <c r="F77" s="40"/>
      <c r="G77" s="40"/>
      <c r="H77" s="41" t="str">
        <f>VLOOKUP(C77,Stores!$A$200:$G$1118,3,0)</f>
        <v>Opened Stores</v>
      </c>
      <c r="I77" s="41" t="str">
        <f>VLOOKUP(C77,Stores!$A$200:$G$1118,4,0)</f>
        <v>Stage 7 - Installed</v>
      </c>
      <c r="J77" s="41" t="str">
        <f>VLOOKUP(C77,Stores!$A$200:$G$1118,5,0)</f>
        <v>ZKTECO</v>
      </c>
      <c r="K77" s="41" t="str">
        <f>VLOOKUP(C77,Stores!$A$200:$G$1118,6,0)</f>
        <v>ZKM6245100296</v>
      </c>
      <c r="L77" s="41" t="str">
        <f>VLOOKUP(C77,Stores!$A$200:$G$1118,7,0)</f>
        <v>192.168.1.201</v>
      </c>
      <c r="M77" s="42" t="s">
        <v>2965</v>
      </c>
    </row>
    <row r="78">
      <c r="A78" s="38" t="s">
        <v>2962</v>
      </c>
      <c r="B78" s="38" t="s">
        <v>3045</v>
      </c>
      <c r="C78" s="38" t="s">
        <v>2096</v>
      </c>
      <c r="D78" s="39" t="s">
        <v>2097</v>
      </c>
      <c r="E78" s="38" t="s">
        <v>2964</v>
      </c>
      <c r="F78" s="40"/>
      <c r="G78" s="40"/>
      <c r="H78" s="41" t="str">
        <f>VLOOKUP(C78,Stores!$A$200:$G$1118,3,0)</f>
        <v>Opened Stores</v>
      </c>
      <c r="I78" s="41" t="str">
        <f>VLOOKUP(C78,Stores!$A$200:$G$1118,4,0)</f>
        <v>Stage 7 - Installed</v>
      </c>
      <c r="J78" s="41" t="str">
        <f>VLOOKUP(C78,Stores!$A$200:$G$1118,5,0)</f>
        <v>ZKTECO</v>
      </c>
      <c r="K78" s="41" t="str">
        <f>VLOOKUP(C78,Stores!$A$200:$G$1118,6,0)</f>
        <v>CQUJ233560049</v>
      </c>
      <c r="L78" s="41" t="str">
        <f>VLOOKUP(C78,Stores!$A$200:$G$1118,7,0)</f>
        <v>192.168.1.201</v>
      </c>
      <c r="M78" s="42" t="s">
        <v>2965</v>
      </c>
    </row>
    <row r="79">
      <c r="A79" s="38" t="s">
        <v>2962</v>
      </c>
      <c r="B79" s="38" t="s">
        <v>3046</v>
      </c>
      <c r="C79" s="38" t="s">
        <v>1555</v>
      </c>
      <c r="D79" s="39" t="s">
        <v>1556</v>
      </c>
      <c r="E79" s="38" t="s">
        <v>2964</v>
      </c>
      <c r="F79" s="40"/>
      <c r="G79" s="40"/>
      <c r="H79" s="41" t="str">
        <f>VLOOKUP(C79,Stores!$A$200:$G$1118,3,0)</f>
        <v>Opened Stores</v>
      </c>
      <c r="I79" s="41" t="str">
        <f>VLOOKUP(C79,Stores!$A$200:$G$1118,4,0)</f>
        <v>Stage 7 - Installed</v>
      </c>
      <c r="J79" s="41" t="str">
        <f>VLOOKUP(C79,Stores!$A$200:$G$1118,5,0)</f>
        <v>ZKTECO</v>
      </c>
      <c r="K79" s="41" t="str">
        <f>VLOOKUP(C79,Stores!$A$200:$G$1118,6,0)</f>
        <v>AEYU082360277</v>
      </c>
      <c r="L79" s="41" t="str">
        <f>VLOOKUP(C79,Stores!$A$200:$G$1118,7,0)</f>
        <v>192.168.1.201</v>
      </c>
      <c r="M79" s="42" t="s">
        <v>2965</v>
      </c>
    </row>
    <row r="80">
      <c r="A80" s="38" t="s">
        <v>2962</v>
      </c>
      <c r="B80" s="38" t="s">
        <v>3047</v>
      </c>
      <c r="C80" s="38" t="s">
        <v>939</v>
      </c>
      <c r="D80" s="39" t="s">
        <v>940</v>
      </c>
      <c r="E80" s="38" t="s">
        <v>2964</v>
      </c>
      <c r="F80" s="40"/>
      <c r="G80" s="40"/>
      <c r="H80" s="41" t="str">
        <f>VLOOKUP(C80,Stores!$A$200:$G$1118,3,0)</f>
        <v>Opened Stores</v>
      </c>
      <c r="I80" s="41" t="str">
        <f>VLOOKUP(C80,Stores!$A$200:$G$1118,4,0)</f>
        <v>Stage 7 - Installed</v>
      </c>
      <c r="J80" s="41" t="str">
        <f>VLOOKUP(C80,Stores!$A$200:$G$1118,5,0)</f>
        <v>FINGERTEC</v>
      </c>
      <c r="K80" s="41">
        <f>VLOOKUP(C80,Stores!$A$200:$G$1118,6,0)</f>
        <v>7425856</v>
      </c>
      <c r="L80" s="41" t="str">
        <f>VLOOKUP(C80,Stores!$A$200:$G$1118,7,0)</f>
        <v>192.168.1.201</v>
      </c>
      <c r="M80" s="42" t="s">
        <v>2965</v>
      </c>
    </row>
    <row r="81">
      <c r="A81" s="38" t="s">
        <v>2962</v>
      </c>
      <c r="B81" s="38" t="s">
        <v>3048</v>
      </c>
      <c r="C81" s="38" t="s">
        <v>1460</v>
      </c>
      <c r="D81" s="39" t="s">
        <v>1461</v>
      </c>
      <c r="E81" s="38" t="s">
        <v>2964</v>
      </c>
      <c r="F81" s="40"/>
      <c r="G81" s="40"/>
      <c r="H81" s="41" t="str">
        <f>VLOOKUP(C81,Stores!$A$200:$G$1118,3,0)</f>
        <v>Opened Stores</v>
      </c>
      <c r="I81" s="41" t="str">
        <f>VLOOKUP(C81,Stores!$A$200:$G$1118,4,0)</f>
        <v>Stage 7 - Installed</v>
      </c>
      <c r="J81" s="41" t="str">
        <f>VLOOKUP(C81,Stores!$A$200:$G$1118,5,0)</f>
        <v>ZKTECO</v>
      </c>
      <c r="K81" s="41" t="str">
        <f>VLOOKUP(C81,Stores!$A$200:$G$1118,6,0)</f>
        <v>ZKM6245100128</v>
      </c>
      <c r="L81" s="41" t="str">
        <f>VLOOKUP(C81,Stores!$A$200:$G$1118,7,0)</f>
        <v>192.168.1.201</v>
      </c>
      <c r="M81" s="42" t="s">
        <v>2965</v>
      </c>
    </row>
    <row r="82">
      <c r="A82" s="38" t="s">
        <v>2962</v>
      </c>
      <c r="B82" s="38" t="s">
        <v>3049</v>
      </c>
      <c r="C82" s="38" t="s">
        <v>2162</v>
      </c>
      <c r="D82" s="39" t="s">
        <v>3050</v>
      </c>
      <c r="E82" s="38" t="s">
        <v>2964</v>
      </c>
      <c r="F82" s="40"/>
      <c r="G82" s="40"/>
      <c r="H82" s="41" t="str">
        <f>VLOOKUP(C82,Stores!$A$200:$G$1118,3,0)</f>
        <v>Opened Stores</v>
      </c>
      <c r="I82" s="41" t="str">
        <f>VLOOKUP(C82,Stores!$A$200:$G$1118,4,0)</f>
        <v>Stage 7 - Installed</v>
      </c>
      <c r="J82" s="41" t="str">
        <f>VLOOKUP(C82,Stores!$A$200:$G$1118,5,0)</f>
        <v>ZKTECO</v>
      </c>
      <c r="K82" s="41">
        <f>VLOOKUP(C82,Stores!$A$200:$G$1118,6,0)</f>
        <v>7425642</v>
      </c>
      <c r="L82" s="41" t="str">
        <f>VLOOKUP(C82,Stores!$A$200:$G$1118,7,0)</f>
        <v>192.168.1.201</v>
      </c>
      <c r="M82" s="42" t="s">
        <v>2965</v>
      </c>
    </row>
    <row r="83">
      <c r="A83" s="38" t="s">
        <v>2962</v>
      </c>
      <c r="B83" s="38" t="s">
        <v>3051</v>
      </c>
      <c r="C83" s="38" t="s">
        <v>2284</v>
      </c>
      <c r="D83" s="39" t="s">
        <v>3052</v>
      </c>
      <c r="E83" s="38" t="s">
        <v>2964</v>
      </c>
      <c r="F83" s="40"/>
      <c r="G83" s="40"/>
      <c r="H83" s="41" t="str">
        <f>VLOOKUP(C83,Stores!$A$200:$G$1118,3,0)</f>
        <v>Opened Stores</v>
      </c>
      <c r="I83" s="41" t="str">
        <f>VLOOKUP(C83,Stores!$A$200:$G$1118,4,0)</f>
        <v>Stage 7 - Installed</v>
      </c>
      <c r="J83" s="41" t="str">
        <f>VLOOKUP(C83,Stores!$A$200:$G$1118,5,0)</f>
        <v>ZKTECO</v>
      </c>
      <c r="K83" s="41" t="str">
        <f>VLOOKUP(C83,Stores!$A$200:$G$1118,6,0)</f>
        <v>ZKM6245100193</v>
      </c>
      <c r="L83" s="41" t="str">
        <f>VLOOKUP(C83,Stores!$A$200:$G$1118,7,0)</f>
        <v>192.168.1.201</v>
      </c>
      <c r="M83" s="42" t="s">
        <v>2965</v>
      </c>
    </row>
    <row r="84">
      <c r="A84" s="38" t="s">
        <v>2962</v>
      </c>
      <c r="B84" s="38" t="s">
        <v>3053</v>
      </c>
      <c r="C84" s="38" t="s">
        <v>2520</v>
      </c>
      <c r="D84" s="39" t="s">
        <v>3054</v>
      </c>
      <c r="E84" s="38" t="s">
        <v>2964</v>
      </c>
      <c r="F84" s="40"/>
      <c r="G84" s="40"/>
      <c r="H84" s="41" t="str">
        <f>VLOOKUP(C84,Stores!$A$200:$G$1118,3,0)</f>
        <v>Opened Stores</v>
      </c>
      <c r="I84" s="41" t="str">
        <f>VLOOKUP(C84,Stores!$A$200:$G$1118,4,0)</f>
        <v>Stage 7 - Installed</v>
      </c>
      <c r="J84" s="41" t="str">
        <f>VLOOKUP(C84,Stores!$A$200:$G$1118,5,0)</f>
        <v>ZKTECO</v>
      </c>
      <c r="K84" s="41" t="str">
        <f>VLOOKUP(C84,Stores!$A$200:$G$1118,6,0)</f>
        <v>ZKM6251700044</v>
      </c>
      <c r="L84" s="41" t="str">
        <f>VLOOKUP(C84,Stores!$A$200:$G$1118,7,0)</f>
        <v>192.168.1.201</v>
      </c>
      <c r="M84" s="42" t="s">
        <v>2965</v>
      </c>
    </row>
    <row r="85">
      <c r="A85" s="38" t="s">
        <v>2962</v>
      </c>
      <c r="B85" s="38" t="s">
        <v>3055</v>
      </c>
      <c r="C85" s="38" t="s">
        <v>2153</v>
      </c>
      <c r="D85" s="39" t="s">
        <v>3056</v>
      </c>
      <c r="E85" s="38" t="s">
        <v>2964</v>
      </c>
      <c r="F85" s="40"/>
      <c r="G85" s="40"/>
      <c r="H85" s="41" t="str">
        <f>VLOOKUP(C85,Stores!$A$200:$G$1118,3,0)</f>
        <v>Opened Stores</v>
      </c>
      <c r="I85" s="41" t="str">
        <f>VLOOKUP(C85,Stores!$A$200:$G$1118,4,0)</f>
        <v>Stage 7 - Installed</v>
      </c>
      <c r="J85" s="41" t="str">
        <f>VLOOKUP(C85,Stores!$A$200:$G$1118,5,0)</f>
        <v>ZKTECO</v>
      </c>
      <c r="K85" s="41" t="str">
        <f>VLOOKUP(C85,Stores!$A$200:$G$1118,6,0)</f>
        <v>CQUJ233560077</v>
      </c>
      <c r="L85" s="41" t="str">
        <f>VLOOKUP(C85,Stores!$A$200:$G$1118,7,0)</f>
        <v>192.168.1.201</v>
      </c>
      <c r="M85" s="42" t="s">
        <v>2965</v>
      </c>
    </row>
    <row r="86">
      <c r="A86" s="38" t="s">
        <v>2962</v>
      </c>
      <c r="B86" s="38" t="s">
        <v>3057</v>
      </c>
      <c r="C86" s="38" t="s">
        <v>582</v>
      </c>
      <c r="D86" s="39" t="s">
        <v>583</v>
      </c>
      <c r="E86" s="38" t="s">
        <v>2964</v>
      </c>
      <c r="F86" s="40"/>
      <c r="G86" s="40"/>
      <c r="H86" s="41" t="str">
        <f>VLOOKUP(C86,Stores!$A$200:$G$1118,3,0)</f>
        <v>Opened Stores</v>
      </c>
      <c r="I86" s="41" t="str">
        <f>VLOOKUP(C86,Stores!$A$200:$G$1118,4,0)</f>
        <v>Stage 7 - Installed</v>
      </c>
      <c r="J86" s="41" t="str">
        <f>VLOOKUP(C86,Stores!$A$200:$G$1118,5,0)</f>
        <v>FINGERTEC</v>
      </c>
      <c r="K86" s="41">
        <f>VLOOKUP(C86,Stores!$A$200:$G$1118,6,0)</f>
        <v>7421826</v>
      </c>
      <c r="L86" s="41" t="str">
        <f>VLOOKUP(C86,Stores!$A$200:$G$1118,7,0)</f>
        <v>192.168.1.201</v>
      </c>
      <c r="M86" s="42" t="s">
        <v>2965</v>
      </c>
    </row>
    <row r="87">
      <c r="A87" s="38" t="s">
        <v>2962</v>
      </c>
      <c r="B87" s="38" t="s">
        <v>3058</v>
      </c>
      <c r="C87" s="38" t="s">
        <v>747</v>
      </c>
      <c r="D87" s="39" t="s">
        <v>748</v>
      </c>
      <c r="E87" s="38" t="s">
        <v>2964</v>
      </c>
      <c r="F87" s="40"/>
      <c r="G87" s="40"/>
      <c r="H87" s="41" t="str">
        <f>VLOOKUP(C87,Stores!$A$200:$G$1118,3,0)</f>
        <v>Opened Stores</v>
      </c>
      <c r="I87" s="41" t="str">
        <f>VLOOKUP(C87,Stores!$A$200:$G$1118,4,0)</f>
        <v>Stage 7 - Installed</v>
      </c>
      <c r="J87" s="41" t="str">
        <f>VLOOKUP(C87,Stores!$A$200:$G$1118,5,0)</f>
        <v>FINGERTEC</v>
      </c>
      <c r="K87" s="41">
        <f>VLOOKUP(C87,Stores!$A$200:$G$1118,6,0)</f>
        <v>7423468</v>
      </c>
      <c r="L87" s="41" t="str">
        <f>VLOOKUP(C87,Stores!$A$200:$G$1118,7,0)</f>
        <v>192.168.1.201</v>
      </c>
      <c r="M87" s="42" t="s">
        <v>2965</v>
      </c>
    </row>
    <row r="88">
      <c r="A88" s="38" t="s">
        <v>2962</v>
      </c>
      <c r="B88" s="38" t="s">
        <v>3059</v>
      </c>
      <c r="C88" s="38" t="s">
        <v>2360</v>
      </c>
      <c r="D88" s="39" t="s">
        <v>3060</v>
      </c>
      <c r="E88" s="38" t="s">
        <v>2964</v>
      </c>
      <c r="F88" s="40"/>
      <c r="G88" s="40"/>
      <c r="H88" s="41" t="str">
        <f>VLOOKUP(C88,Stores!$A$200:$G$1118,3,0)</f>
        <v>Opened Stores</v>
      </c>
      <c r="I88" s="41" t="str">
        <f>VLOOKUP(C88,Stores!$A$200:$G$1118,4,0)</f>
        <v>Stage 7 - Installed</v>
      </c>
      <c r="J88" s="41" t="str">
        <f>VLOOKUP(C88,Stores!$A$200:$G$1118,5,0)</f>
        <v>ZKTECO</v>
      </c>
      <c r="K88" s="41" t="str">
        <f>VLOOKUP(C88,Stores!$A$200:$G$1118,6,0)</f>
        <v>ZKM6245100142</v>
      </c>
      <c r="L88" s="41" t="str">
        <f>VLOOKUP(C88,Stores!$A$200:$G$1118,7,0)</f>
        <v>192.168.1.201</v>
      </c>
      <c r="M88" s="42" t="s">
        <v>2965</v>
      </c>
    </row>
    <row r="89">
      <c r="A89" s="38" t="s">
        <v>2962</v>
      </c>
      <c r="B89" s="38" t="s">
        <v>3061</v>
      </c>
      <c r="C89" s="38" t="s">
        <v>2628</v>
      </c>
      <c r="D89" s="39" t="s">
        <v>2629</v>
      </c>
      <c r="E89" s="38" t="s">
        <v>2964</v>
      </c>
      <c r="F89" s="40"/>
      <c r="G89" s="40"/>
      <c r="H89" s="41" t="str">
        <f>VLOOKUP(C89,Stores!$A$200:$G$1118,3,0)</f>
        <v>Opened Stores</v>
      </c>
      <c r="I89" s="41" t="str">
        <f>VLOOKUP(C89,Stores!$A$200:$G$1118,4,0)</f>
        <v>Stage 7 - Installed</v>
      </c>
      <c r="J89" s="41" t="str">
        <f>VLOOKUP(C89,Stores!$A$200:$G$1118,5,0)</f>
        <v>ZKTECO</v>
      </c>
      <c r="K89" s="41" t="str">
        <f>VLOOKUP(C89,Stores!$A$200:$G$1118,6,0)</f>
        <v>ZKM6251400115</v>
      </c>
      <c r="L89" s="41" t="str">
        <f>VLOOKUP(C89,Stores!$A$200:$G$1118,7,0)</f>
        <v>192.168.1.201</v>
      </c>
      <c r="M89" s="42" t="s">
        <v>2965</v>
      </c>
    </row>
    <row r="90">
      <c r="A90" s="38" t="s">
        <v>2962</v>
      </c>
      <c r="B90" s="38" t="s">
        <v>3062</v>
      </c>
      <c r="C90" s="38" t="s">
        <v>1839</v>
      </c>
      <c r="D90" s="39" t="s">
        <v>3063</v>
      </c>
      <c r="E90" s="38" t="s">
        <v>2964</v>
      </c>
      <c r="F90" s="40"/>
      <c r="G90" s="40"/>
      <c r="H90" s="41" t="str">
        <f>VLOOKUP(C90,Stores!$A$200:$G$1118,3,0)</f>
        <v>Opened Stores</v>
      </c>
      <c r="I90" s="41" t="str">
        <f>VLOOKUP(C90,Stores!$A$200:$G$1118,4,0)</f>
        <v>Stage 7 - Installed</v>
      </c>
      <c r="J90" s="41" t="str">
        <f>VLOOKUP(C90,Stores!$A$200:$G$1118,5,0)</f>
        <v>ZKTECO</v>
      </c>
      <c r="K90" s="41" t="str">
        <f>VLOOKUP(C90,Stores!$A$200:$G$1118,6,0)</f>
        <v>CQUJ233561153</v>
      </c>
      <c r="L90" s="41" t="str">
        <f>VLOOKUP(C90,Stores!$A$200:$G$1118,7,0)</f>
        <v>192.168.1.201</v>
      </c>
      <c r="M90" s="42" t="s">
        <v>2965</v>
      </c>
    </row>
    <row r="91">
      <c r="A91" s="38" t="s">
        <v>2962</v>
      </c>
      <c r="B91" s="38" t="s">
        <v>3064</v>
      </c>
      <c r="C91" s="43" t="s">
        <v>2781</v>
      </c>
      <c r="D91" s="39" t="s">
        <v>2782</v>
      </c>
      <c r="E91" s="38" t="s">
        <v>2964</v>
      </c>
      <c r="F91" s="40"/>
      <c r="G91" s="40"/>
      <c r="H91" s="41" t="str">
        <f>VLOOKUP(C91,Stores!$A$200:$G$1118,3,0)</f>
        <v>Opened Stores</v>
      </c>
      <c r="I91" s="41" t="str">
        <f>VLOOKUP(C91,Stores!$A$200:$G$1118,4,0)</f>
        <v>Stage 7 - Installed</v>
      </c>
      <c r="J91" s="41" t="str">
        <f>VLOOKUP(C91,Stores!$A$200:$G$1118,5,0)</f>
        <v>ZKTECO</v>
      </c>
      <c r="K91" s="41" t="str">
        <f>VLOOKUP(C91,Stores!$A$200:$G$1118,6,0)</f>
        <v>ZKM6251400028</v>
      </c>
      <c r="L91" s="41" t="str">
        <f>VLOOKUP(C91,Stores!$A$200:$G$1118,7,0)</f>
        <v>192.168.1.201</v>
      </c>
      <c r="M91" s="42" t="s">
        <v>2965</v>
      </c>
    </row>
    <row r="92">
      <c r="A92" s="38" t="s">
        <v>2962</v>
      </c>
      <c r="B92" s="38" t="s">
        <v>3065</v>
      </c>
      <c r="C92" s="38" t="s">
        <v>1719</v>
      </c>
      <c r="D92" s="39" t="s">
        <v>1720</v>
      </c>
      <c r="E92" s="38" t="s">
        <v>2964</v>
      </c>
      <c r="F92" s="40"/>
      <c r="G92" s="40"/>
      <c r="H92" s="41" t="str">
        <f>VLOOKUP(C92,Stores!$A$200:$G$1118,3,0)</f>
        <v>Opened Stores</v>
      </c>
      <c r="I92" s="41" t="str">
        <f>VLOOKUP(C92,Stores!$A$200:$G$1118,4,0)</f>
        <v>Stage 7 - Installed</v>
      </c>
      <c r="J92" s="41" t="str">
        <f>VLOOKUP(C92,Stores!$A$200:$G$1118,5,0)</f>
        <v>ZKTECO</v>
      </c>
      <c r="K92" s="41" t="str">
        <f>VLOOKUP(C92,Stores!$A$200:$G$1118,6,0)</f>
        <v>CQUJ233560733</v>
      </c>
      <c r="L92" s="41" t="str">
        <f>VLOOKUP(C92,Stores!$A$200:$G$1118,7,0)</f>
        <v>192.168.1.201</v>
      </c>
      <c r="M92" s="42" t="s">
        <v>2965</v>
      </c>
    </row>
    <row r="93">
      <c r="A93" s="38" t="s">
        <v>2962</v>
      </c>
      <c r="B93" s="38" t="s">
        <v>3066</v>
      </c>
      <c r="C93" s="38" t="s">
        <v>2435</v>
      </c>
      <c r="D93" s="39" t="s">
        <v>2436</v>
      </c>
      <c r="E93" s="38" t="s">
        <v>2964</v>
      </c>
      <c r="F93" s="40"/>
      <c r="G93" s="40"/>
      <c r="H93" s="41" t="str">
        <f>VLOOKUP(C93,Stores!$A$200:$G$1118,3,0)</f>
        <v>Opened Stores</v>
      </c>
      <c r="I93" s="41" t="str">
        <f>VLOOKUP(C93,Stores!$A$200:$G$1118,4,0)</f>
        <v>Stage 7 - Installed</v>
      </c>
      <c r="J93" s="41" t="str">
        <f>VLOOKUP(C93,Stores!$A$200:$G$1118,5,0)</f>
        <v>ZKTECO</v>
      </c>
      <c r="K93" s="41" t="str">
        <f>VLOOKUP(C93,Stores!$A$200:$G$1118,6,0)</f>
        <v>ZKM6245100125</v>
      </c>
      <c r="L93" s="41" t="str">
        <f>VLOOKUP(C93,Stores!$A$200:$G$1118,7,0)</f>
        <v>192.168.1.201</v>
      </c>
      <c r="M93" s="42" t="s">
        <v>2965</v>
      </c>
    </row>
    <row r="94">
      <c r="A94" s="38" t="s">
        <v>2962</v>
      </c>
      <c r="B94" s="38" t="s">
        <v>3067</v>
      </c>
      <c r="C94" s="38" t="s">
        <v>984</v>
      </c>
      <c r="D94" s="39" t="s">
        <v>3068</v>
      </c>
      <c r="E94" s="38" t="s">
        <v>2964</v>
      </c>
      <c r="F94" s="40"/>
      <c r="G94" s="40"/>
      <c r="H94" s="41" t="str">
        <f>VLOOKUP(C94,Stores!$A$200:$G$1118,3,0)</f>
        <v>Opened Stores</v>
      </c>
      <c r="I94" s="41" t="str">
        <f>VLOOKUP(C94,Stores!$A$200:$G$1118,4,0)</f>
        <v>Stage 7 - Installed</v>
      </c>
      <c r="J94" s="41" t="str">
        <f>VLOOKUP(C94,Stores!$A$200:$G$1118,5,0)</f>
        <v>ZKTECO</v>
      </c>
      <c r="K94" s="41" t="str">
        <f>VLOOKUP(C94,Stores!$A$200:$G$1118,6,0)</f>
        <v>A8N5221960320</v>
      </c>
      <c r="L94" s="41" t="str">
        <f>VLOOKUP(C94,Stores!$A$200:$G$1118,7,0)</f>
        <v>192.168.1.201</v>
      </c>
      <c r="M94" s="42" t="s">
        <v>2965</v>
      </c>
    </row>
    <row r="95">
      <c r="A95" s="38" t="s">
        <v>2962</v>
      </c>
      <c r="B95" s="38" t="s">
        <v>3069</v>
      </c>
      <c r="C95" s="38" t="s">
        <v>778</v>
      </c>
      <c r="D95" s="39" t="s">
        <v>779</v>
      </c>
      <c r="E95" s="38" t="s">
        <v>2964</v>
      </c>
      <c r="F95" s="40"/>
      <c r="G95" s="40"/>
      <c r="H95" s="41" t="str">
        <f>VLOOKUP(C95,Stores!$A$200:$G$1118,3,0)</f>
        <v>Opened Stores</v>
      </c>
      <c r="I95" s="41" t="str">
        <f>VLOOKUP(C95,Stores!$A$200:$G$1118,4,0)</f>
        <v>Stage 7 - Installed</v>
      </c>
      <c r="J95" s="41" t="str">
        <f>VLOOKUP(C95,Stores!$A$200:$G$1118,5,0)</f>
        <v>FINGERTEC</v>
      </c>
      <c r="K95" s="41">
        <f>VLOOKUP(C95,Stores!$A$200:$G$1118,6,0)</f>
        <v>7425411</v>
      </c>
      <c r="L95" s="41" t="str">
        <f>VLOOKUP(C95,Stores!$A$200:$G$1118,7,0)</f>
        <v>192.168.1.201</v>
      </c>
      <c r="M95" s="42" t="s">
        <v>2965</v>
      </c>
    </row>
    <row r="96">
      <c r="A96" s="38" t="s">
        <v>2962</v>
      </c>
      <c r="B96" s="38" t="s">
        <v>3070</v>
      </c>
      <c r="C96" s="38" t="s">
        <v>673</v>
      </c>
      <c r="D96" s="39" t="s">
        <v>674</v>
      </c>
      <c r="E96" s="38" t="s">
        <v>2964</v>
      </c>
      <c r="F96" s="40"/>
      <c r="G96" s="40"/>
      <c r="H96" s="41" t="str">
        <f>VLOOKUP(C96,Stores!$A$200:$G$1118,3,0)</f>
        <v>Opened Stores</v>
      </c>
      <c r="I96" s="41" t="str">
        <f>VLOOKUP(C96,Stores!$A$200:$G$1118,4,0)</f>
        <v>Stage 7 - Installed</v>
      </c>
      <c r="J96" s="41" t="str">
        <f>VLOOKUP(C96,Stores!$A$200:$G$1118,5,0)</f>
        <v>FINGERTEC</v>
      </c>
      <c r="K96" s="41">
        <f>VLOOKUP(C96,Stores!$A$200:$G$1118,6,0)</f>
        <v>7422149</v>
      </c>
      <c r="L96" s="41" t="str">
        <f>VLOOKUP(C96,Stores!$A$200:$G$1118,7,0)</f>
        <v>192.168.1.201</v>
      </c>
      <c r="M96" s="42" t="s">
        <v>2965</v>
      </c>
    </row>
    <row r="97">
      <c r="A97" s="38" t="s">
        <v>2962</v>
      </c>
      <c r="B97" s="38" t="s">
        <v>3071</v>
      </c>
      <c r="C97" s="38" t="s">
        <v>2363</v>
      </c>
      <c r="D97" s="39" t="s">
        <v>3072</v>
      </c>
      <c r="E97" s="38" t="s">
        <v>2964</v>
      </c>
      <c r="F97" s="40"/>
      <c r="G97" s="40"/>
      <c r="H97" s="41" t="str">
        <f>VLOOKUP(C97,Stores!$A$200:$G$1118,3,0)</f>
        <v>Opened Stores</v>
      </c>
      <c r="I97" s="41" t="str">
        <f>VLOOKUP(C97,Stores!$A$200:$G$1118,4,0)</f>
        <v>Stage 7 - Installed</v>
      </c>
      <c r="J97" s="41" t="str">
        <f>VLOOKUP(C97,Stores!$A$200:$G$1118,5,0)</f>
        <v>ZKTECO</v>
      </c>
      <c r="K97" s="41" t="str">
        <f>VLOOKUP(C97,Stores!$A$200:$G$1118,6,0)</f>
        <v>ZKM6245100154</v>
      </c>
      <c r="L97" s="41" t="str">
        <f>VLOOKUP(C97,Stores!$A$200:$G$1118,7,0)</f>
        <v>192.168.1.201</v>
      </c>
      <c r="M97" s="42" t="s">
        <v>2965</v>
      </c>
    </row>
    <row r="98">
      <c r="A98" s="38" t="s">
        <v>2962</v>
      </c>
      <c r="B98" s="38" t="s">
        <v>3073</v>
      </c>
      <c r="C98" s="38" t="s">
        <v>2923</v>
      </c>
      <c r="D98" s="39" t="s">
        <v>3074</v>
      </c>
      <c r="E98" s="38" t="s">
        <v>2964</v>
      </c>
      <c r="F98" s="40"/>
      <c r="G98" s="40"/>
      <c r="H98" s="41" t="str">
        <f>VLOOKUP(C98,Stores!$A$200:$G$1118,3,0)</f>
        <v>Opened Stores</v>
      </c>
      <c r="I98" s="41" t="str">
        <f>VLOOKUP(C98,Stores!$A$200:$G$1118,4,0)</f>
        <v>Stage 7 - Installed</v>
      </c>
      <c r="J98" s="41" t="str">
        <f>VLOOKUP(C98,Stores!$A$200:$G$1118,5,0)</f>
        <v>ZKTECO</v>
      </c>
      <c r="K98" s="41" t="str">
        <f>VLOOKUP(C98,Stores!$A$200:$G$1118,6,0)</f>
        <v>ZKM6251400076</v>
      </c>
      <c r="L98" s="41" t="str">
        <f>VLOOKUP(C98,Stores!$A$200:$G$1118,7,0)</f>
        <v>192.168.1.201</v>
      </c>
      <c r="M98" s="42" t="s">
        <v>2965</v>
      </c>
    </row>
    <row r="99">
      <c r="A99" s="38" t="s">
        <v>2962</v>
      </c>
      <c r="B99" s="38" t="s">
        <v>3075</v>
      </c>
      <c r="C99" s="38" t="s">
        <v>868</v>
      </c>
      <c r="D99" s="39" t="s">
        <v>869</v>
      </c>
      <c r="E99" s="38" t="s">
        <v>2964</v>
      </c>
      <c r="F99" s="40"/>
      <c r="G99" s="40"/>
      <c r="H99" s="41" t="str">
        <f>VLOOKUP(C99,Stores!$A$200:$G$1118,3,0)</f>
        <v>Opened Stores</v>
      </c>
      <c r="I99" s="41" t="str">
        <f>VLOOKUP(C99,Stores!$A$200:$G$1118,4,0)</f>
        <v>Stage 7 - Installed</v>
      </c>
      <c r="J99" s="41" t="str">
        <f>VLOOKUP(C99,Stores!$A$200:$G$1118,5,0)</f>
        <v>FINGERTEC</v>
      </c>
      <c r="K99" s="41">
        <f>VLOOKUP(C99,Stores!$A$200:$G$1118,6,0)</f>
        <v>7425678</v>
      </c>
      <c r="L99" s="41" t="str">
        <f>VLOOKUP(C99,Stores!$A$200:$G$1118,7,0)</f>
        <v>192.168.1.201</v>
      </c>
      <c r="M99" s="42" t="s">
        <v>2965</v>
      </c>
    </row>
    <row r="100">
      <c r="A100" s="38" t="s">
        <v>2962</v>
      </c>
      <c r="B100" s="38" t="s">
        <v>3076</v>
      </c>
      <c r="C100" s="38" t="s">
        <v>2033</v>
      </c>
      <c r="D100" s="39" t="s">
        <v>3077</v>
      </c>
      <c r="E100" s="38" t="s">
        <v>2964</v>
      </c>
      <c r="F100" s="40"/>
      <c r="G100" s="40"/>
      <c r="H100" s="41" t="str">
        <f>VLOOKUP(C100,Stores!$A$200:$G$1118,3,0)</f>
        <v>Opened Stores</v>
      </c>
      <c r="I100" s="41" t="str">
        <f>VLOOKUP(C100,Stores!$A$200:$G$1118,4,0)</f>
        <v>Stage 7 - Installed</v>
      </c>
      <c r="J100" s="41" t="str">
        <f>VLOOKUP(C100,Stores!$A$200:$G$1118,5,0)</f>
        <v>ZKTECO</v>
      </c>
      <c r="K100" s="41" t="str">
        <f>VLOOKUP(C100,Stores!$A$200:$G$1118,6,0)</f>
        <v>COUJ2322603323</v>
      </c>
      <c r="L100" s="41" t="str">
        <f>VLOOKUP(C100,Stores!$A$200:$G$1118,7,0)</f>
        <v>192.168.1.201</v>
      </c>
      <c r="M100" s="42" t="s">
        <v>2965</v>
      </c>
    </row>
    <row r="101">
      <c r="A101" s="38" t="s">
        <v>2962</v>
      </c>
      <c r="B101" s="38" t="s">
        <v>3078</v>
      </c>
      <c r="C101" s="38" t="s">
        <v>2179</v>
      </c>
      <c r="D101" s="39" t="s">
        <v>3079</v>
      </c>
      <c r="E101" s="38" t="s">
        <v>2964</v>
      </c>
      <c r="F101" s="40"/>
      <c r="G101" s="40"/>
      <c r="H101" s="41" t="str">
        <f>VLOOKUP(C101,Stores!$A$200:$G$1118,3,0)</f>
        <v>Opened Stores</v>
      </c>
      <c r="I101" s="41" t="str">
        <f>VLOOKUP(C101,Stores!$A$200:$G$1118,4,0)</f>
        <v>Stage 7 - Installed</v>
      </c>
      <c r="J101" s="41" t="str">
        <f>VLOOKUP(C101,Stores!$A$200:$G$1118,5,0)</f>
        <v>ZKTECO</v>
      </c>
      <c r="K101" s="41" t="str">
        <f>VLOOKUP(C101,Stores!$A$200:$G$1118,6,0)</f>
        <v>CQUJ233560029</v>
      </c>
      <c r="L101" s="41" t="str">
        <f>VLOOKUP(C101,Stores!$A$200:$G$1118,7,0)</f>
        <v>192.168.1.201</v>
      </c>
      <c r="M101" s="42" t="s">
        <v>2965</v>
      </c>
    </row>
    <row r="102">
      <c r="A102" s="38" t="s">
        <v>2962</v>
      </c>
      <c r="B102" s="38" t="s">
        <v>3080</v>
      </c>
      <c r="C102" s="44" t="s">
        <v>81</v>
      </c>
      <c r="D102" s="39" t="s">
        <v>82</v>
      </c>
      <c r="E102" s="38" t="s">
        <v>3081</v>
      </c>
      <c r="F102" s="40" t="s">
        <v>3082</v>
      </c>
      <c r="G102" s="45">
        <v>9.658455599E9</v>
      </c>
      <c r="H102" s="41" t="str">
        <f>VLOOKUP(C102,Stores!$A$200:$G$1118,3,0)</f>
        <v>#N/A</v>
      </c>
      <c r="I102" s="41" t="str">
        <f>VLOOKUP(C102,Stores!$A$200:$G$1118,4,0)</f>
        <v>#N/A</v>
      </c>
      <c r="J102" s="41" t="str">
        <f>VLOOKUP(C102,Stores!$A$200:$G$1118,5,0)</f>
        <v>#N/A</v>
      </c>
      <c r="K102" s="41" t="str">
        <f>VLOOKUP(C102,Stores!$A$200:$G$1118,6,0)</f>
        <v>#N/A</v>
      </c>
      <c r="L102" s="41" t="str">
        <f>VLOOKUP(C102,Stores!$A$200:$G$1118,7,0)</f>
        <v>#N/A</v>
      </c>
      <c r="M102" s="42" t="s">
        <v>3083</v>
      </c>
    </row>
    <row r="103">
      <c r="A103" s="38" t="s">
        <v>2962</v>
      </c>
      <c r="B103" s="38" t="s">
        <v>3084</v>
      </c>
      <c r="C103" s="44" t="s">
        <v>230</v>
      </c>
      <c r="D103" s="39" t="s">
        <v>231</v>
      </c>
      <c r="E103" s="38" t="s">
        <v>3081</v>
      </c>
      <c r="F103" s="40" t="s">
        <v>3085</v>
      </c>
      <c r="G103" s="45">
        <v>9.171894643E9</v>
      </c>
      <c r="H103" s="41" t="str">
        <f>VLOOKUP(C103,Stores!$A$200:$G$1118,3,0)</f>
        <v>#N/A</v>
      </c>
      <c r="I103" s="41" t="str">
        <f>VLOOKUP(C103,Stores!$A$200:$G$1118,4,0)</f>
        <v>#N/A</v>
      </c>
      <c r="J103" s="41" t="str">
        <f>VLOOKUP(C103,Stores!$A$200:$G$1118,5,0)</f>
        <v>#N/A</v>
      </c>
      <c r="K103" s="41" t="str">
        <f>VLOOKUP(C103,Stores!$A$200:$G$1118,6,0)</f>
        <v>#N/A</v>
      </c>
      <c r="L103" s="41" t="str">
        <f>VLOOKUP(C103,Stores!$A$200:$G$1118,7,0)</f>
        <v>#N/A</v>
      </c>
      <c r="M103" s="42" t="s">
        <v>3083</v>
      </c>
    </row>
    <row r="104">
      <c r="A104" s="38" t="s">
        <v>2962</v>
      </c>
      <c r="B104" s="38" t="s">
        <v>3086</v>
      </c>
      <c r="C104" s="44" t="s">
        <v>212</v>
      </c>
      <c r="D104" s="39" t="s">
        <v>3087</v>
      </c>
      <c r="E104" s="38" t="s">
        <v>3081</v>
      </c>
      <c r="F104" s="40" t="s">
        <v>3088</v>
      </c>
      <c r="G104" s="45">
        <v>9.70251704E9</v>
      </c>
      <c r="H104" s="41" t="str">
        <f>VLOOKUP(C104,Stores!$A$200:$G$1118,3,0)</f>
        <v>#N/A</v>
      </c>
      <c r="I104" s="41" t="str">
        <f>VLOOKUP(C104,Stores!$A$200:$G$1118,4,0)</f>
        <v>#N/A</v>
      </c>
      <c r="J104" s="41" t="str">
        <f>VLOOKUP(C104,Stores!$A$200:$G$1118,5,0)</f>
        <v>#N/A</v>
      </c>
      <c r="K104" s="41" t="str">
        <f>VLOOKUP(C104,Stores!$A$200:$G$1118,6,0)</f>
        <v>#N/A</v>
      </c>
      <c r="L104" s="41" t="str">
        <f>VLOOKUP(C104,Stores!$A$200:$G$1118,7,0)</f>
        <v>#N/A</v>
      </c>
      <c r="M104" s="42" t="s">
        <v>3083</v>
      </c>
    </row>
    <row r="105">
      <c r="A105" s="38" t="s">
        <v>2962</v>
      </c>
      <c r="B105" s="38" t="s">
        <v>3089</v>
      </c>
      <c r="C105" s="44" t="s">
        <v>50</v>
      </c>
      <c r="D105" s="39" t="s">
        <v>51</v>
      </c>
      <c r="E105" s="38" t="s">
        <v>3081</v>
      </c>
      <c r="F105" s="40" t="s">
        <v>3090</v>
      </c>
      <c r="G105" s="45">
        <v>9.088671744E9</v>
      </c>
      <c r="H105" s="41" t="str">
        <f>VLOOKUP(C105,Stores!$A$200:$G$1118,3,0)</f>
        <v>#N/A</v>
      </c>
      <c r="I105" s="41" t="str">
        <f>VLOOKUP(C105,Stores!$A$200:$G$1118,4,0)</f>
        <v>#N/A</v>
      </c>
      <c r="J105" s="41" t="str">
        <f>VLOOKUP(C105,Stores!$A$200:$G$1118,5,0)</f>
        <v>#N/A</v>
      </c>
      <c r="K105" s="41" t="str">
        <f>VLOOKUP(C105,Stores!$A$200:$G$1118,6,0)</f>
        <v>#N/A</v>
      </c>
      <c r="L105" s="41" t="str">
        <f>VLOOKUP(C105,Stores!$A$200:$G$1118,7,0)</f>
        <v>#N/A</v>
      </c>
      <c r="M105" s="42" t="s">
        <v>3083</v>
      </c>
    </row>
    <row r="106">
      <c r="A106" s="38" t="s">
        <v>2962</v>
      </c>
      <c r="B106" s="38" t="s">
        <v>3091</v>
      </c>
      <c r="C106" s="44" t="s">
        <v>52</v>
      </c>
      <c r="D106" s="39" t="s">
        <v>3092</v>
      </c>
      <c r="E106" s="38" t="s">
        <v>3081</v>
      </c>
      <c r="F106" s="40" t="s">
        <v>3093</v>
      </c>
      <c r="G106" s="45">
        <v>9.763291296E9</v>
      </c>
      <c r="H106" s="41" t="str">
        <f>VLOOKUP(C106,Stores!$A$200:$G$1118,3,0)</f>
        <v>#N/A</v>
      </c>
      <c r="I106" s="41" t="str">
        <f>VLOOKUP(C106,Stores!$A$200:$G$1118,4,0)</f>
        <v>#N/A</v>
      </c>
      <c r="J106" s="41" t="str">
        <f>VLOOKUP(C106,Stores!$A$200:$G$1118,5,0)</f>
        <v>#N/A</v>
      </c>
      <c r="K106" s="41" t="str">
        <f>VLOOKUP(C106,Stores!$A$200:$G$1118,6,0)</f>
        <v>#N/A</v>
      </c>
      <c r="L106" s="41" t="str">
        <f>VLOOKUP(C106,Stores!$A$200:$G$1118,7,0)</f>
        <v>#N/A</v>
      </c>
      <c r="M106" s="42" t="s">
        <v>3083</v>
      </c>
    </row>
    <row r="107">
      <c r="A107" s="38" t="s">
        <v>2962</v>
      </c>
      <c r="B107" s="38" t="s">
        <v>3094</v>
      </c>
      <c r="C107" s="44" t="s">
        <v>36</v>
      </c>
      <c r="D107" s="39" t="s">
        <v>37</v>
      </c>
      <c r="E107" s="38" t="s">
        <v>3081</v>
      </c>
      <c r="F107" s="40" t="s">
        <v>3090</v>
      </c>
      <c r="G107" s="45">
        <v>9.088671744E9</v>
      </c>
      <c r="H107" s="41" t="str">
        <f>VLOOKUP(C107,Stores!$A$200:$G$1118,3,0)</f>
        <v>#N/A</v>
      </c>
      <c r="I107" s="41" t="str">
        <f>VLOOKUP(C107,Stores!$A$200:$G$1118,4,0)</f>
        <v>#N/A</v>
      </c>
      <c r="J107" s="41" t="str">
        <f>VLOOKUP(C107,Stores!$A$200:$G$1118,5,0)</f>
        <v>#N/A</v>
      </c>
      <c r="K107" s="41" t="str">
        <f>VLOOKUP(C107,Stores!$A$200:$G$1118,6,0)</f>
        <v>#N/A</v>
      </c>
      <c r="L107" s="41" t="str">
        <f>VLOOKUP(C107,Stores!$A$200:$G$1118,7,0)</f>
        <v>#N/A</v>
      </c>
      <c r="M107" s="42" t="s">
        <v>3083</v>
      </c>
    </row>
    <row r="108">
      <c r="A108" s="38" t="s">
        <v>2962</v>
      </c>
      <c r="B108" s="38" t="s">
        <v>3095</v>
      </c>
      <c r="C108" s="44" t="s">
        <v>133</v>
      </c>
      <c r="D108" s="39" t="s">
        <v>134</v>
      </c>
      <c r="E108" s="38" t="s">
        <v>3081</v>
      </c>
      <c r="F108" s="40" t="s">
        <v>3096</v>
      </c>
      <c r="G108" s="45">
        <v>9.190065781E9</v>
      </c>
      <c r="H108" s="41" t="str">
        <f>VLOOKUP(C108,Stores!$A$200:$G$1118,3,0)</f>
        <v>#N/A</v>
      </c>
      <c r="I108" s="41" t="str">
        <f>VLOOKUP(C108,Stores!$A$200:$G$1118,4,0)</f>
        <v>#N/A</v>
      </c>
      <c r="J108" s="41" t="str">
        <f>VLOOKUP(C108,Stores!$A$200:$G$1118,5,0)</f>
        <v>#N/A</v>
      </c>
      <c r="K108" s="41" t="str">
        <f>VLOOKUP(C108,Stores!$A$200:$G$1118,6,0)</f>
        <v>#N/A</v>
      </c>
      <c r="L108" s="41" t="str">
        <f>VLOOKUP(C108,Stores!$A$200:$G$1118,7,0)</f>
        <v>#N/A</v>
      </c>
      <c r="M108" s="42" t="s">
        <v>3083</v>
      </c>
    </row>
    <row r="109">
      <c r="A109" s="38" t="s">
        <v>2962</v>
      </c>
      <c r="B109" s="38" t="s">
        <v>3097</v>
      </c>
      <c r="C109" s="44" t="s">
        <v>60</v>
      </c>
      <c r="D109" s="39" t="s">
        <v>3098</v>
      </c>
      <c r="E109" s="38" t="s">
        <v>3081</v>
      </c>
      <c r="F109" s="40" t="s">
        <v>3099</v>
      </c>
      <c r="G109" s="45">
        <v>9.209473589E9</v>
      </c>
      <c r="H109" s="41" t="str">
        <f>VLOOKUP(C109,Stores!$A$200:$G$1118,3,0)</f>
        <v>#N/A</v>
      </c>
      <c r="I109" s="41" t="str">
        <f>VLOOKUP(C109,Stores!$A$200:$G$1118,4,0)</f>
        <v>#N/A</v>
      </c>
      <c r="J109" s="41" t="str">
        <f>VLOOKUP(C109,Stores!$A$200:$G$1118,5,0)</f>
        <v>#N/A</v>
      </c>
      <c r="K109" s="41" t="str">
        <f>VLOOKUP(C109,Stores!$A$200:$G$1118,6,0)</f>
        <v>#N/A</v>
      </c>
      <c r="L109" s="41" t="str">
        <f>VLOOKUP(C109,Stores!$A$200:$G$1118,7,0)</f>
        <v>#N/A</v>
      </c>
      <c r="M109" s="42" t="s">
        <v>3083</v>
      </c>
    </row>
    <row r="110">
      <c r="A110" s="38" t="s">
        <v>2962</v>
      </c>
      <c r="B110" s="38" t="s">
        <v>3100</v>
      </c>
      <c r="C110" s="44" t="s">
        <v>131</v>
      </c>
      <c r="D110" s="39" t="s">
        <v>132</v>
      </c>
      <c r="E110" s="38" t="s">
        <v>3081</v>
      </c>
      <c r="F110" s="40" t="s">
        <v>3101</v>
      </c>
      <c r="G110" s="45">
        <v>9.171610089E9</v>
      </c>
      <c r="H110" s="41" t="str">
        <f>VLOOKUP(C110,Stores!$A$200:$G$1118,3,0)</f>
        <v>#N/A</v>
      </c>
      <c r="I110" s="41" t="str">
        <f>VLOOKUP(C110,Stores!$A$200:$G$1118,4,0)</f>
        <v>#N/A</v>
      </c>
      <c r="J110" s="41" t="str">
        <f>VLOOKUP(C110,Stores!$A$200:$G$1118,5,0)</f>
        <v>#N/A</v>
      </c>
      <c r="K110" s="41" t="str">
        <f>VLOOKUP(C110,Stores!$A$200:$G$1118,6,0)</f>
        <v>#N/A</v>
      </c>
      <c r="L110" s="41" t="str">
        <f>VLOOKUP(C110,Stores!$A$200:$G$1118,7,0)</f>
        <v>#N/A</v>
      </c>
      <c r="M110" s="42" t="s">
        <v>3083</v>
      </c>
    </row>
    <row r="111">
      <c r="A111" s="38" t="s">
        <v>2962</v>
      </c>
      <c r="B111" s="38" t="s">
        <v>3102</v>
      </c>
      <c r="C111" s="44" t="s">
        <v>64</v>
      </c>
      <c r="D111" s="39" t="s">
        <v>3103</v>
      </c>
      <c r="E111" s="38" t="s">
        <v>3081</v>
      </c>
      <c r="F111" s="40" t="s">
        <v>3104</v>
      </c>
      <c r="G111" s="45">
        <v>6.39176341749E11</v>
      </c>
      <c r="H111" s="41" t="str">
        <f>VLOOKUP(C111,Stores!$A$200:$G$1118,3,0)</f>
        <v>#N/A</v>
      </c>
      <c r="I111" s="41" t="str">
        <f>VLOOKUP(C111,Stores!$A$200:$G$1118,4,0)</f>
        <v>#N/A</v>
      </c>
      <c r="J111" s="41" t="str">
        <f>VLOOKUP(C111,Stores!$A$200:$G$1118,5,0)</f>
        <v>#N/A</v>
      </c>
      <c r="K111" s="41" t="str">
        <f>VLOOKUP(C111,Stores!$A$200:$G$1118,6,0)</f>
        <v>#N/A</v>
      </c>
      <c r="L111" s="41" t="str">
        <f>VLOOKUP(C111,Stores!$A$200:$G$1118,7,0)</f>
        <v>#N/A</v>
      </c>
      <c r="M111" s="42" t="s">
        <v>3083</v>
      </c>
    </row>
    <row r="112">
      <c r="A112" s="38" t="s">
        <v>2962</v>
      </c>
      <c r="B112" s="38" t="s">
        <v>3105</v>
      </c>
      <c r="C112" s="44" t="s">
        <v>228</v>
      </c>
      <c r="D112" s="39" t="s">
        <v>229</v>
      </c>
      <c r="E112" s="38" t="s">
        <v>3106</v>
      </c>
      <c r="F112" s="40" t="s">
        <v>3107</v>
      </c>
      <c r="G112" s="45">
        <v>9.285202534E9</v>
      </c>
      <c r="H112" s="41" t="str">
        <f>VLOOKUP(C112,Stores!$A$200:$G$1118,3,0)</f>
        <v>#N/A</v>
      </c>
      <c r="I112" s="41" t="str">
        <f>VLOOKUP(C112,Stores!$A$200:$G$1118,4,0)</f>
        <v>#N/A</v>
      </c>
      <c r="J112" s="41" t="str">
        <f>VLOOKUP(C112,Stores!$A$200:$G$1118,5,0)</f>
        <v>#N/A</v>
      </c>
      <c r="K112" s="41" t="str">
        <f>VLOOKUP(C112,Stores!$A$200:$G$1118,6,0)</f>
        <v>#N/A</v>
      </c>
      <c r="L112" s="41" t="str">
        <f>VLOOKUP(C112,Stores!$A$200:$G$1118,7,0)</f>
        <v>#N/A</v>
      </c>
      <c r="M112" s="42" t="s">
        <v>3083</v>
      </c>
    </row>
    <row r="113">
      <c r="A113" s="38" t="s">
        <v>2962</v>
      </c>
      <c r="B113" s="38" t="s">
        <v>3108</v>
      </c>
      <c r="C113" s="44" t="s">
        <v>114</v>
      </c>
      <c r="D113" s="39" t="s">
        <v>115</v>
      </c>
      <c r="E113" s="38" t="s">
        <v>3106</v>
      </c>
      <c r="F113" s="40" t="s">
        <v>3109</v>
      </c>
      <c r="G113" s="45">
        <v>9.563287387E9</v>
      </c>
      <c r="H113" s="41" t="str">
        <f>VLOOKUP(C113,Stores!$A$200:$G$1118,3,0)</f>
        <v>#N/A</v>
      </c>
      <c r="I113" s="41" t="str">
        <f>VLOOKUP(C113,Stores!$A$200:$G$1118,4,0)</f>
        <v>#N/A</v>
      </c>
      <c r="J113" s="41" t="str">
        <f>VLOOKUP(C113,Stores!$A$200:$G$1118,5,0)</f>
        <v>#N/A</v>
      </c>
      <c r="K113" s="41" t="str">
        <f>VLOOKUP(C113,Stores!$A$200:$G$1118,6,0)</f>
        <v>#N/A</v>
      </c>
      <c r="L113" s="41" t="str">
        <f>VLOOKUP(C113,Stores!$A$200:$G$1118,7,0)</f>
        <v>#N/A</v>
      </c>
      <c r="M113" s="42" t="s">
        <v>3083</v>
      </c>
    </row>
    <row r="114">
      <c r="A114" s="38" t="s">
        <v>2962</v>
      </c>
      <c r="B114" s="38" t="s">
        <v>3110</v>
      </c>
      <c r="C114" s="44" t="s">
        <v>216</v>
      </c>
      <c r="D114" s="39" t="s">
        <v>217</v>
      </c>
      <c r="E114" s="38" t="s">
        <v>3106</v>
      </c>
      <c r="F114" s="40" t="s">
        <v>3111</v>
      </c>
      <c r="G114" s="45">
        <v>9.480606849E9</v>
      </c>
      <c r="H114" s="41" t="str">
        <f>VLOOKUP(C114,Stores!$A$200:$G$1118,3,0)</f>
        <v>#N/A</v>
      </c>
      <c r="I114" s="41" t="str">
        <f>VLOOKUP(C114,Stores!$A$200:$G$1118,4,0)</f>
        <v>#N/A</v>
      </c>
      <c r="J114" s="41" t="str">
        <f>VLOOKUP(C114,Stores!$A$200:$G$1118,5,0)</f>
        <v>#N/A</v>
      </c>
      <c r="K114" s="41" t="str">
        <f>VLOOKUP(C114,Stores!$A$200:$G$1118,6,0)</f>
        <v>#N/A</v>
      </c>
      <c r="L114" s="41" t="str">
        <f>VLOOKUP(C114,Stores!$A$200:$G$1118,7,0)</f>
        <v>#N/A</v>
      </c>
      <c r="M114" s="42" t="s">
        <v>3083</v>
      </c>
    </row>
    <row r="115">
      <c r="A115" s="38" t="s">
        <v>2962</v>
      </c>
      <c r="B115" s="38" t="s">
        <v>3112</v>
      </c>
      <c r="C115" s="44" t="s">
        <v>107</v>
      </c>
      <c r="D115" s="39" t="s">
        <v>108</v>
      </c>
      <c r="E115" s="38" t="s">
        <v>3106</v>
      </c>
      <c r="F115" s="40" t="s">
        <v>3113</v>
      </c>
      <c r="G115" s="45">
        <v>6.39171364544E11</v>
      </c>
      <c r="H115" s="41" t="str">
        <f>VLOOKUP(C115,Stores!$A$200:$G$1118,3,0)</f>
        <v>#N/A</v>
      </c>
      <c r="I115" s="41" t="str">
        <f>VLOOKUP(C115,Stores!$A$200:$G$1118,4,0)</f>
        <v>#N/A</v>
      </c>
      <c r="J115" s="41" t="str">
        <f>VLOOKUP(C115,Stores!$A$200:$G$1118,5,0)</f>
        <v>#N/A</v>
      </c>
      <c r="K115" s="41" t="str">
        <f>VLOOKUP(C115,Stores!$A$200:$G$1118,6,0)</f>
        <v>#N/A</v>
      </c>
      <c r="L115" s="41" t="str">
        <f>VLOOKUP(C115,Stores!$A$200:$G$1118,7,0)</f>
        <v>#N/A</v>
      </c>
      <c r="M115" s="42" t="s">
        <v>3083</v>
      </c>
    </row>
    <row r="116">
      <c r="A116" s="38" t="s">
        <v>2962</v>
      </c>
      <c r="B116" s="38" t="s">
        <v>3114</v>
      </c>
      <c r="C116" s="44" t="s">
        <v>89</v>
      </c>
      <c r="D116" s="39" t="s">
        <v>90</v>
      </c>
      <c r="E116" s="38" t="s">
        <v>3106</v>
      </c>
      <c r="F116" s="40" t="s">
        <v>3115</v>
      </c>
      <c r="G116" s="45">
        <v>9.265759594E9</v>
      </c>
      <c r="H116" s="41" t="str">
        <f>VLOOKUP(C116,Stores!$A$200:$G$1118,3,0)</f>
        <v>#N/A</v>
      </c>
      <c r="I116" s="41" t="str">
        <f>VLOOKUP(C116,Stores!$A$200:$G$1118,4,0)</f>
        <v>#N/A</v>
      </c>
      <c r="J116" s="41" t="str">
        <f>VLOOKUP(C116,Stores!$A$200:$G$1118,5,0)</f>
        <v>#N/A</v>
      </c>
      <c r="K116" s="41" t="str">
        <f>VLOOKUP(C116,Stores!$A$200:$G$1118,6,0)</f>
        <v>#N/A</v>
      </c>
      <c r="L116" s="41" t="str">
        <f>VLOOKUP(C116,Stores!$A$200:$G$1118,7,0)</f>
        <v>#N/A</v>
      </c>
      <c r="M116" s="42" t="s">
        <v>3083</v>
      </c>
    </row>
    <row r="117">
      <c r="A117" s="38" t="s">
        <v>2962</v>
      </c>
      <c r="B117" s="38" t="s">
        <v>3116</v>
      </c>
      <c r="C117" s="44" t="s">
        <v>83</v>
      </c>
      <c r="D117" s="39" t="s">
        <v>84</v>
      </c>
      <c r="E117" s="38" t="s">
        <v>3106</v>
      </c>
      <c r="F117" s="40" t="s">
        <v>3117</v>
      </c>
      <c r="G117" s="45">
        <v>9.278684106E9</v>
      </c>
      <c r="H117" s="41" t="str">
        <f>VLOOKUP(C117,Stores!$A$200:$G$1118,3,0)</f>
        <v>#N/A</v>
      </c>
      <c r="I117" s="41" t="str">
        <f>VLOOKUP(C117,Stores!$A$200:$G$1118,4,0)</f>
        <v>#N/A</v>
      </c>
      <c r="J117" s="41" t="str">
        <f>VLOOKUP(C117,Stores!$A$200:$G$1118,5,0)</f>
        <v>#N/A</v>
      </c>
      <c r="K117" s="41" t="str">
        <f>VLOOKUP(C117,Stores!$A$200:$G$1118,6,0)</f>
        <v>#N/A</v>
      </c>
      <c r="L117" s="41" t="str">
        <f>VLOOKUP(C117,Stores!$A$200:$G$1118,7,0)</f>
        <v>#N/A</v>
      </c>
      <c r="M117" s="42" t="s">
        <v>3083</v>
      </c>
    </row>
    <row r="118">
      <c r="A118" s="38" t="s">
        <v>2962</v>
      </c>
      <c r="B118" s="38" t="s">
        <v>3118</v>
      </c>
      <c r="C118" s="44" t="s">
        <v>112</v>
      </c>
      <c r="D118" s="39" t="s">
        <v>113</v>
      </c>
      <c r="E118" s="38" t="s">
        <v>3106</v>
      </c>
      <c r="F118" s="40" t="s">
        <v>3119</v>
      </c>
      <c r="G118" s="45">
        <v>6.39199105902E11</v>
      </c>
      <c r="H118" s="41" t="str">
        <f>VLOOKUP(C118,Stores!$A$200:$G$1118,3,0)</f>
        <v>#N/A</v>
      </c>
      <c r="I118" s="41" t="str">
        <f>VLOOKUP(C118,Stores!$A$200:$G$1118,4,0)</f>
        <v>#N/A</v>
      </c>
      <c r="J118" s="41" t="str">
        <f>VLOOKUP(C118,Stores!$A$200:$G$1118,5,0)</f>
        <v>#N/A</v>
      </c>
      <c r="K118" s="41" t="str">
        <f>VLOOKUP(C118,Stores!$A$200:$G$1118,6,0)</f>
        <v>#N/A</v>
      </c>
      <c r="L118" s="41" t="str">
        <f>VLOOKUP(C118,Stores!$A$200:$G$1118,7,0)</f>
        <v>#N/A</v>
      </c>
      <c r="M118" s="42" t="s">
        <v>3083</v>
      </c>
    </row>
    <row r="119">
      <c r="A119" s="38" t="s">
        <v>2962</v>
      </c>
      <c r="B119" s="38" t="s">
        <v>3120</v>
      </c>
      <c r="C119" s="44" t="s">
        <v>214</v>
      </c>
      <c r="D119" s="39" t="s">
        <v>215</v>
      </c>
      <c r="E119" s="38" t="s">
        <v>3106</v>
      </c>
      <c r="F119" s="40" t="s">
        <v>3121</v>
      </c>
      <c r="G119" s="45">
        <v>9.566413863E9</v>
      </c>
      <c r="H119" s="41" t="str">
        <f>VLOOKUP(C119,Stores!$A$200:$G$1118,3,0)</f>
        <v>#N/A</v>
      </c>
      <c r="I119" s="41" t="str">
        <f>VLOOKUP(C119,Stores!$A$200:$G$1118,4,0)</f>
        <v>#N/A</v>
      </c>
      <c r="J119" s="41" t="str">
        <f>VLOOKUP(C119,Stores!$A$200:$G$1118,5,0)</f>
        <v>#N/A</v>
      </c>
      <c r="K119" s="41" t="str">
        <f>VLOOKUP(C119,Stores!$A$200:$G$1118,6,0)</f>
        <v>#N/A</v>
      </c>
      <c r="L119" s="41" t="str">
        <f>VLOOKUP(C119,Stores!$A$200:$G$1118,7,0)</f>
        <v>#N/A</v>
      </c>
      <c r="M119" s="42" t="s">
        <v>3083</v>
      </c>
    </row>
    <row r="120">
      <c r="A120" s="38" t="s">
        <v>2962</v>
      </c>
      <c r="B120" s="38" t="s">
        <v>3122</v>
      </c>
      <c r="C120" s="44" t="s">
        <v>48</v>
      </c>
      <c r="D120" s="39" t="s">
        <v>3123</v>
      </c>
      <c r="E120" s="38" t="s">
        <v>3106</v>
      </c>
      <c r="F120" s="40" t="s">
        <v>3124</v>
      </c>
      <c r="G120" s="45">
        <v>9.399113004E9</v>
      </c>
      <c r="H120" s="41" t="str">
        <f>VLOOKUP(C120,Stores!$A$200:$G$1118,3,0)</f>
        <v>#N/A</v>
      </c>
      <c r="I120" s="41" t="str">
        <f>VLOOKUP(C120,Stores!$A$200:$G$1118,4,0)</f>
        <v>#N/A</v>
      </c>
      <c r="J120" s="41" t="str">
        <f>VLOOKUP(C120,Stores!$A$200:$G$1118,5,0)</f>
        <v>#N/A</v>
      </c>
      <c r="K120" s="41" t="str">
        <f>VLOOKUP(C120,Stores!$A$200:$G$1118,6,0)</f>
        <v>#N/A</v>
      </c>
      <c r="L120" s="41" t="str">
        <f>VLOOKUP(C120,Stores!$A$200:$G$1118,7,0)</f>
        <v>#N/A</v>
      </c>
      <c r="M120" s="42" t="s">
        <v>3083</v>
      </c>
    </row>
    <row r="121">
      <c r="A121" s="38" t="s">
        <v>2962</v>
      </c>
      <c r="B121" s="38" t="s">
        <v>3125</v>
      </c>
      <c r="C121" s="44" t="s">
        <v>77</v>
      </c>
      <c r="D121" s="39" t="s">
        <v>3126</v>
      </c>
      <c r="E121" s="38" t="s">
        <v>3106</v>
      </c>
      <c r="F121" s="40" t="s">
        <v>3117</v>
      </c>
      <c r="G121" s="45">
        <v>9.278684106E9</v>
      </c>
      <c r="H121" s="41" t="str">
        <f>VLOOKUP(C121,Stores!$A$200:$G$1118,3,0)</f>
        <v>#N/A</v>
      </c>
      <c r="I121" s="41" t="str">
        <f>VLOOKUP(C121,Stores!$A$200:$G$1118,4,0)</f>
        <v>#N/A</v>
      </c>
      <c r="J121" s="41" t="str">
        <f>VLOOKUP(C121,Stores!$A$200:$G$1118,5,0)</f>
        <v>#N/A</v>
      </c>
      <c r="K121" s="41" t="str">
        <f>VLOOKUP(C121,Stores!$A$200:$G$1118,6,0)</f>
        <v>#N/A</v>
      </c>
      <c r="L121" s="41" t="str">
        <f>VLOOKUP(C121,Stores!$A$200:$G$1118,7,0)</f>
        <v>#N/A</v>
      </c>
      <c r="M121" s="42" t="s">
        <v>3083</v>
      </c>
    </row>
    <row r="122">
      <c r="A122" s="38" t="s">
        <v>2962</v>
      </c>
      <c r="B122" s="38" t="s">
        <v>3127</v>
      </c>
      <c r="C122" s="44" t="s">
        <v>204</v>
      </c>
      <c r="D122" s="39" t="s">
        <v>205</v>
      </c>
      <c r="E122" s="38" t="s">
        <v>3106</v>
      </c>
      <c r="F122" s="40"/>
      <c r="G122" s="40"/>
      <c r="H122" s="41" t="str">
        <f>VLOOKUP(C122,Stores!$A$200:$G$1118,3,0)</f>
        <v>#N/A</v>
      </c>
      <c r="I122" s="41" t="str">
        <f>VLOOKUP(C122,Stores!$A$200:$G$1118,4,0)</f>
        <v>#N/A</v>
      </c>
      <c r="J122" s="41" t="str">
        <f>VLOOKUP(C122,Stores!$A$200:$G$1118,5,0)</f>
        <v>#N/A</v>
      </c>
      <c r="K122" s="41" t="str">
        <f>VLOOKUP(C122,Stores!$A$200:$G$1118,6,0)</f>
        <v>#N/A</v>
      </c>
      <c r="L122" s="41" t="str">
        <f>VLOOKUP(C122,Stores!$A$200:$G$1118,7,0)</f>
        <v>#N/A</v>
      </c>
      <c r="M122" s="42" t="s">
        <v>3083</v>
      </c>
    </row>
    <row r="123">
      <c r="A123" s="38" t="s">
        <v>2962</v>
      </c>
      <c r="B123" s="38" t="s">
        <v>3128</v>
      </c>
      <c r="C123" s="44" t="s">
        <v>91</v>
      </c>
      <c r="D123" s="39" t="s">
        <v>3129</v>
      </c>
      <c r="E123" s="38" t="s">
        <v>2964</v>
      </c>
      <c r="F123" s="40"/>
      <c r="G123" s="40"/>
      <c r="H123" s="41" t="str">
        <f>VLOOKUP(C123,Stores!$A$200:$G$1118,3,0)</f>
        <v>#N/A</v>
      </c>
      <c r="I123" s="41" t="str">
        <f>VLOOKUP(C123,Stores!$A$200:$G$1118,4,0)</f>
        <v>#N/A</v>
      </c>
      <c r="J123" s="41" t="str">
        <f>VLOOKUP(C123,Stores!$A$200:$G$1118,5,0)</f>
        <v>#N/A</v>
      </c>
      <c r="K123" s="41" t="str">
        <f>VLOOKUP(C123,Stores!$A$200:$G$1118,6,0)</f>
        <v>#N/A</v>
      </c>
      <c r="L123" s="41" t="str">
        <f>VLOOKUP(C123,Stores!$A$200:$G$1118,7,0)</f>
        <v>#N/A</v>
      </c>
      <c r="M123" s="42" t="s">
        <v>3083</v>
      </c>
    </row>
    <row r="124">
      <c r="A124" s="38" t="s">
        <v>2962</v>
      </c>
      <c r="B124" s="38" t="s">
        <v>3130</v>
      </c>
      <c r="C124" s="44" t="s">
        <v>193</v>
      </c>
      <c r="D124" s="39" t="s">
        <v>194</v>
      </c>
      <c r="E124" s="38" t="s">
        <v>2964</v>
      </c>
      <c r="F124" s="40"/>
      <c r="G124" s="40"/>
      <c r="H124" s="41" t="str">
        <f>VLOOKUP(C124,Stores!$A$200:$G$1118,3,0)</f>
        <v>#N/A</v>
      </c>
      <c r="I124" s="41" t="str">
        <f>VLOOKUP(C124,Stores!$A$200:$G$1118,4,0)</f>
        <v>#N/A</v>
      </c>
      <c r="J124" s="41" t="str">
        <f>VLOOKUP(C124,Stores!$A$200:$G$1118,5,0)</f>
        <v>#N/A</v>
      </c>
      <c r="K124" s="41" t="str">
        <f>VLOOKUP(C124,Stores!$A$200:$G$1118,6,0)</f>
        <v>#N/A</v>
      </c>
      <c r="L124" s="41" t="str">
        <f>VLOOKUP(C124,Stores!$A$200:$G$1118,7,0)</f>
        <v>#N/A</v>
      </c>
      <c r="M124" s="42" t="s">
        <v>3083</v>
      </c>
    </row>
    <row r="125">
      <c r="A125" s="38" t="s">
        <v>2962</v>
      </c>
      <c r="B125" s="38" t="s">
        <v>3131</v>
      </c>
      <c r="C125" s="44" t="s">
        <v>109</v>
      </c>
      <c r="D125" s="39" t="s">
        <v>110</v>
      </c>
      <c r="E125" s="38" t="s">
        <v>2964</v>
      </c>
      <c r="F125" s="40"/>
      <c r="G125" s="40"/>
      <c r="H125" s="41" t="str">
        <f>VLOOKUP(C125,Stores!$A$200:$G$1118,3,0)</f>
        <v>#N/A</v>
      </c>
      <c r="I125" s="41" t="str">
        <f>VLOOKUP(C125,Stores!$A$200:$G$1118,4,0)</f>
        <v>#N/A</v>
      </c>
      <c r="J125" s="41" t="str">
        <f>VLOOKUP(C125,Stores!$A$200:$G$1118,5,0)</f>
        <v>#N/A</v>
      </c>
      <c r="K125" s="41" t="str">
        <f>VLOOKUP(C125,Stores!$A$200:$G$1118,6,0)</f>
        <v>#N/A</v>
      </c>
      <c r="L125" s="41" t="str">
        <f>VLOOKUP(C125,Stores!$A$200:$G$1118,7,0)</f>
        <v>#N/A</v>
      </c>
      <c r="M125" s="42" t="s">
        <v>3083</v>
      </c>
    </row>
    <row r="126">
      <c r="A126" s="38" t="s">
        <v>2962</v>
      </c>
      <c r="B126" s="38" t="s">
        <v>3132</v>
      </c>
      <c r="C126" s="44" t="s">
        <v>290</v>
      </c>
      <c r="D126" s="39" t="s">
        <v>291</v>
      </c>
      <c r="E126" s="38" t="s">
        <v>2964</v>
      </c>
      <c r="F126" s="40"/>
      <c r="G126" s="40"/>
      <c r="H126" s="41" t="str">
        <f>VLOOKUP(C126,Stores!$A$200:$G$1118,3,0)</f>
        <v>#N/A</v>
      </c>
      <c r="I126" s="41" t="str">
        <f>VLOOKUP(C126,Stores!$A$200:$G$1118,4,0)</f>
        <v>#N/A</v>
      </c>
      <c r="J126" s="41" t="str">
        <f>VLOOKUP(C126,Stores!$A$200:$G$1118,5,0)</f>
        <v>#N/A</v>
      </c>
      <c r="K126" s="41" t="str">
        <f>VLOOKUP(C126,Stores!$A$200:$G$1118,6,0)</f>
        <v>#N/A</v>
      </c>
      <c r="L126" s="41" t="str">
        <f>VLOOKUP(C126,Stores!$A$200:$G$1118,7,0)</f>
        <v>#N/A</v>
      </c>
      <c r="M126" s="42" t="s">
        <v>3083</v>
      </c>
    </row>
    <row r="127">
      <c r="A127" s="38" t="s">
        <v>2962</v>
      </c>
      <c r="B127" s="38" t="s">
        <v>3133</v>
      </c>
      <c r="C127" s="44" t="s">
        <v>208</v>
      </c>
      <c r="D127" s="39" t="s">
        <v>209</v>
      </c>
      <c r="E127" s="38" t="s">
        <v>2964</v>
      </c>
      <c r="F127" s="40"/>
      <c r="G127" s="40"/>
      <c r="H127" s="41" t="str">
        <f>VLOOKUP(C127,Stores!$A$200:$G$1118,3,0)</f>
        <v>#N/A</v>
      </c>
      <c r="I127" s="41" t="str">
        <f>VLOOKUP(C127,Stores!$A$200:$G$1118,4,0)</f>
        <v>#N/A</v>
      </c>
      <c r="J127" s="41" t="str">
        <f>VLOOKUP(C127,Stores!$A$200:$G$1118,5,0)</f>
        <v>#N/A</v>
      </c>
      <c r="K127" s="41" t="str">
        <f>VLOOKUP(C127,Stores!$A$200:$G$1118,6,0)</f>
        <v>#N/A</v>
      </c>
      <c r="L127" s="41" t="str">
        <f>VLOOKUP(C127,Stores!$A$200:$G$1118,7,0)</f>
        <v>#N/A</v>
      </c>
      <c r="M127" s="42" t="s">
        <v>3083</v>
      </c>
    </row>
    <row r="128">
      <c r="A128" s="38" t="s">
        <v>2962</v>
      </c>
      <c r="B128" s="38" t="s">
        <v>3134</v>
      </c>
      <c r="C128" s="44" t="s">
        <v>3135</v>
      </c>
      <c r="D128" s="39" t="s">
        <v>3136</v>
      </c>
      <c r="E128" s="38" t="s">
        <v>2964</v>
      </c>
      <c r="F128" s="40"/>
      <c r="G128" s="40"/>
      <c r="H128" s="41" t="str">
        <f>VLOOKUP(C128,Stores!$A$200:$G$1118,3,0)</f>
        <v>#N/A</v>
      </c>
      <c r="I128" s="41" t="str">
        <f>VLOOKUP(C128,Stores!$A$200:$G$1118,4,0)</f>
        <v>#N/A</v>
      </c>
      <c r="J128" s="41" t="str">
        <f>VLOOKUP(C128,Stores!$A$200:$G$1118,5,0)</f>
        <v>#N/A</v>
      </c>
      <c r="K128" s="41" t="str">
        <f>VLOOKUP(C128,Stores!$A$200:$G$1118,6,0)</f>
        <v>#N/A</v>
      </c>
      <c r="L128" s="41" t="str">
        <f>VLOOKUP(C128,Stores!$A$200:$G$1118,7,0)</f>
        <v>#N/A</v>
      </c>
      <c r="M128" s="42" t="s">
        <v>3083</v>
      </c>
    </row>
    <row r="129">
      <c r="A129" s="38" t="s">
        <v>2962</v>
      </c>
      <c r="B129" s="38" t="s">
        <v>3137</v>
      </c>
      <c r="C129" s="44" t="s">
        <v>3138</v>
      </c>
      <c r="D129" s="39" t="s">
        <v>3139</v>
      </c>
      <c r="E129" s="38" t="s">
        <v>2964</v>
      </c>
      <c r="F129" s="40"/>
      <c r="G129" s="40"/>
      <c r="H129" s="41" t="str">
        <f>VLOOKUP(C129,Stores!$A$200:$G$1118,3,0)</f>
        <v>#N/A</v>
      </c>
      <c r="I129" s="41" t="str">
        <f>VLOOKUP(C129,Stores!$A$200:$G$1118,4,0)</f>
        <v>#N/A</v>
      </c>
      <c r="J129" s="41" t="str">
        <f>VLOOKUP(C129,Stores!$A$200:$G$1118,5,0)</f>
        <v>#N/A</v>
      </c>
      <c r="K129" s="41" t="str">
        <f>VLOOKUP(C129,Stores!$A$200:$G$1118,6,0)</f>
        <v>#N/A</v>
      </c>
      <c r="L129" s="41" t="str">
        <f>VLOOKUP(C129,Stores!$A$200:$G$1118,7,0)</f>
        <v>#N/A</v>
      </c>
      <c r="M129" s="42" t="s">
        <v>3083</v>
      </c>
    </row>
    <row r="130">
      <c r="A130" s="38" t="s">
        <v>2962</v>
      </c>
      <c r="B130" s="38" t="s">
        <v>3140</v>
      </c>
      <c r="C130" s="44" t="s">
        <v>3141</v>
      </c>
      <c r="D130" s="39" t="s">
        <v>3142</v>
      </c>
      <c r="E130" s="38" t="s">
        <v>2964</v>
      </c>
      <c r="F130" s="40"/>
      <c r="G130" s="40"/>
      <c r="H130" s="41" t="str">
        <f>VLOOKUP(C130,Stores!$A$200:$G$1118,3,0)</f>
        <v>#N/A</v>
      </c>
      <c r="I130" s="41" t="str">
        <f>VLOOKUP(C130,Stores!$A$200:$G$1118,4,0)</f>
        <v>#N/A</v>
      </c>
      <c r="J130" s="41" t="str">
        <f>VLOOKUP(C130,Stores!$A$200:$G$1118,5,0)</f>
        <v>#N/A</v>
      </c>
      <c r="K130" s="41" t="str">
        <f>VLOOKUP(C130,Stores!$A$200:$G$1118,6,0)</f>
        <v>#N/A</v>
      </c>
      <c r="L130" s="41" t="str">
        <f>VLOOKUP(C130,Stores!$A$200:$G$1118,7,0)</f>
        <v>#N/A</v>
      </c>
      <c r="M130" s="42" t="s">
        <v>3083</v>
      </c>
    </row>
    <row r="131">
      <c r="A131" s="38" t="s">
        <v>2962</v>
      </c>
      <c r="B131" s="38" t="s">
        <v>3143</v>
      </c>
      <c r="C131" s="44" t="s">
        <v>198</v>
      </c>
      <c r="D131" s="39" t="s">
        <v>199</v>
      </c>
      <c r="E131" s="38" t="s">
        <v>2964</v>
      </c>
      <c r="F131" s="40"/>
      <c r="G131" s="40"/>
      <c r="H131" s="41" t="str">
        <f>VLOOKUP(C131,Stores!$A$200:$G$1118,3,0)</f>
        <v>#N/A</v>
      </c>
      <c r="I131" s="41" t="str">
        <f>VLOOKUP(C131,Stores!$A$200:$G$1118,4,0)</f>
        <v>#N/A</v>
      </c>
      <c r="J131" s="41" t="str">
        <f>VLOOKUP(C131,Stores!$A$200:$G$1118,5,0)</f>
        <v>#N/A</v>
      </c>
      <c r="K131" s="41" t="str">
        <f>VLOOKUP(C131,Stores!$A$200:$G$1118,6,0)</f>
        <v>#N/A</v>
      </c>
      <c r="L131" s="41" t="str">
        <f>VLOOKUP(C131,Stores!$A$200:$G$1118,7,0)</f>
        <v>#N/A</v>
      </c>
      <c r="M131" s="42" t="s">
        <v>3083</v>
      </c>
    </row>
    <row r="132">
      <c r="A132" s="38" t="s">
        <v>2962</v>
      </c>
      <c r="B132" s="38" t="s">
        <v>3144</v>
      </c>
      <c r="C132" s="44" t="s">
        <v>201</v>
      </c>
      <c r="D132" s="39" t="s">
        <v>3145</v>
      </c>
      <c r="E132" s="38" t="s">
        <v>2964</v>
      </c>
      <c r="F132" s="40"/>
      <c r="G132" s="40"/>
      <c r="H132" s="41" t="str">
        <f>VLOOKUP(C132,Stores!$A$200:$G$1118,3,0)</f>
        <v>#N/A</v>
      </c>
      <c r="I132" s="41" t="str">
        <f>VLOOKUP(C132,Stores!$A$200:$G$1118,4,0)</f>
        <v>#N/A</v>
      </c>
      <c r="J132" s="41" t="str">
        <f>VLOOKUP(C132,Stores!$A$200:$G$1118,5,0)</f>
        <v>#N/A</v>
      </c>
      <c r="K132" s="41" t="str">
        <f>VLOOKUP(C132,Stores!$A$200:$G$1118,6,0)</f>
        <v>#N/A</v>
      </c>
      <c r="L132" s="41" t="str">
        <f>VLOOKUP(C132,Stores!$A$200:$G$1118,7,0)</f>
        <v>#N/A</v>
      </c>
      <c r="M132" s="42" t="s">
        <v>3083</v>
      </c>
    </row>
    <row r="133">
      <c r="A133" s="38" t="s">
        <v>2962</v>
      </c>
      <c r="B133" s="38" t="s">
        <v>3146</v>
      </c>
      <c r="C133" s="44" t="s">
        <v>54</v>
      </c>
      <c r="D133" s="39" t="s">
        <v>55</v>
      </c>
      <c r="E133" s="38" t="s">
        <v>3147</v>
      </c>
      <c r="F133" s="40"/>
      <c r="G133" s="40"/>
      <c r="H133" s="41" t="str">
        <f>VLOOKUP(C133,Stores!$A$200:$G$1118,3,0)</f>
        <v>#N/A</v>
      </c>
      <c r="I133" s="41" t="str">
        <f>VLOOKUP(C133,Stores!$A$200:$G$1118,4,0)</f>
        <v>#N/A</v>
      </c>
      <c r="J133" s="41" t="str">
        <f>VLOOKUP(C133,Stores!$A$200:$G$1118,5,0)</f>
        <v>#N/A</v>
      </c>
      <c r="K133" s="41" t="str">
        <f>VLOOKUP(C133,Stores!$A$200:$G$1118,6,0)</f>
        <v>#N/A</v>
      </c>
      <c r="L133" s="41" t="str">
        <f>VLOOKUP(C133,Stores!$A$200:$G$1118,7,0)</f>
        <v>#N/A</v>
      </c>
      <c r="M133" s="42" t="s">
        <v>3083</v>
      </c>
    </row>
    <row r="134">
      <c r="A134" s="38" t="s">
        <v>2962</v>
      </c>
      <c r="B134" s="38" t="s">
        <v>3148</v>
      </c>
      <c r="C134" s="44" t="s">
        <v>40</v>
      </c>
      <c r="D134" s="39" t="s">
        <v>41</v>
      </c>
      <c r="E134" s="38" t="s">
        <v>3147</v>
      </c>
      <c r="F134" s="40"/>
      <c r="G134" s="40"/>
      <c r="H134" s="41" t="str">
        <f>VLOOKUP(C134,Stores!$A$200:$G$1118,3,0)</f>
        <v>#N/A</v>
      </c>
      <c r="I134" s="41" t="str">
        <f>VLOOKUP(C134,Stores!$A$200:$G$1118,4,0)</f>
        <v>#N/A</v>
      </c>
      <c r="J134" s="41" t="str">
        <f>VLOOKUP(C134,Stores!$A$200:$G$1118,5,0)</f>
        <v>#N/A</v>
      </c>
      <c r="K134" s="41" t="str">
        <f>VLOOKUP(C134,Stores!$A$200:$G$1118,6,0)</f>
        <v>#N/A</v>
      </c>
      <c r="L134" s="41" t="str">
        <f>VLOOKUP(C134,Stores!$A$200:$G$1118,7,0)</f>
        <v>#N/A</v>
      </c>
      <c r="M134" s="42" t="s">
        <v>3083</v>
      </c>
    </row>
    <row r="135">
      <c r="A135" s="38" t="s">
        <v>2962</v>
      </c>
      <c r="B135" s="38" t="s">
        <v>3149</v>
      </c>
      <c r="C135" s="44" t="s">
        <v>68</v>
      </c>
      <c r="D135" s="39" t="s">
        <v>3150</v>
      </c>
      <c r="E135" s="38" t="s">
        <v>3147</v>
      </c>
      <c r="F135" s="40"/>
      <c r="G135" s="40"/>
      <c r="H135" s="41" t="str">
        <f>VLOOKUP(C135,Stores!$A$200:$G$1118,3,0)</f>
        <v>#N/A</v>
      </c>
      <c r="I135" s="41" t="str">
        <f>VLOOKUP(C135,Stores!$A$200:$G$1118,4,0)</f>
        <v>#N/A</v>
      </c>
      <c r="J135" s="41" t="str">
        <f>VLOOKUP(C135,Stores!$A$200:$G$1118,5,0)</f>
        <v>#N/A</v>
      </c>
      <c r="K135" s="41" t="str">
        <f>VLOOKUP(C135,Stores!$A$200:$G$1118,6,0)</f>
        <v>#N/A</v>
      </c>
      <c r="L135" s="41" t="str">
        <f>VLOOKUP(C135,Stores!$A$200:$G$1118,7,0)</f>
        <v>#N/A</v>
      </c>
      <c r="M135" s="42" t="s">
        <v>3083</v>
      </c>
    </row>
    <row r="136">
      <c r="A136" s="38" t="s">
        <v>2962</v>
      </c>
      <c r="B136" s="38" t="s">
        <v>3151</v>
      </c>
      <c r="C136" s="44" t="s">
        <v>70</v>
      </c>
      <c r="D136" s="39" t="s">
        <v>71</v>
      </c>
      <c r="E136" s="38" t="s">
        <v>3147</v>
      </c>
      <c r="F136" s="40"/>
      <c r="G136" s="40"/>
      <c r="H136" s="41" t="str">
        <f>VLOOKUP(C136,Stores!$A$200:$G$1118,3,0)</f>
        <v>#N/A</v>
      </c>
      <c r="I136" s="41" t="str">
        <f>VLOOKUP(C136,Stores!$A$200:$G$1118,4,0)</f>
        <v>#N/A</v>
      </c>
      <c r="J136" s="41" t="str">
        <f>VLOOKUP(C136,Stores!$A$200:$G$1118,5,0)</f>
        <v>#N/A</v>
      </c>
      <c r="K136" s="41" t="str">
        <f>VLOOKUP(C136,Stores!$A$200:$G$1118,6,0)</f>
        <v>#N/A</v>
      </c>
      <c r="L136" s="41" t="str">
        <f>VLOOKUP(C136,Stores!$A$200:$G$1118,7,0)</f>
        <v>#N/A</v>
      </c>
      <c r="M136" s="42" t="s">
        <v>3083</v>
      </c>
    </row>
    <row r="137">
      <c r="A137" s="38" t="s">
        <v>2962</v>
      </c>
      <c r="B137" s="38" t="s">
        <v>3152</v>
      </c>
      <c r="C137" s="44" t="s">
        <v>44</v>
      </c>
      <c r="D137" s="39" t="s">
        <v>3153</v>
      </c>
      <c r="E137" s="38" t="s">
        <v>3147</v>
      </c>
      <c r="F137" s="40"/>
      <c r="G137" s="40"/>
      <c r="H137" s="41" t="str">
        <f>VLOOKUP(C137,Stores!$A$200:$G$1118,3,0)</f>
        <v>#N/A</v>
      </c>
      <c r="I137" s="41" t="str">
        <f>VLOOKUP(C137,Stores!$A$200:$G$1118,4,0)</f>
        <v>#N/A</v>
      </c>
      <c r="J137" s="41" t="str">
        <f>VLOOKUP(C137,Stores!$A$200:$G$1118,5,0)</f>
        <v>#N/A</v>
      </c>
      <c r="K137" s="41" t="str">
        <f>VLOOKUP(C137,Stores!$A$200:$G$1118,6,0)</f>
        <v>#N/A</v>
      </c>
      <c r="L137" s="41" t="str">
        <f>VLOOKUP(C137,Stores!$A$200:$G$1118,7,0)</f>
        <v>#N/A</v>
      </c>
      <c r="M137" s="42" t="s">
        <v>3083</v>
      </c>
    </row>
    <row r="138">
      <c r="A138" s="38" t="s">
        <v>2962</v>
      </c>
      <c r="B138" s="38" t="s">
        <v>3154</v>
      </c>
      <c r="C138" s="44" t="s">
        <v>3155</v>
      </c>
      <c r="D138" s="39" t="s">
        <v>3156</v>
      </c>
      <c r="E138" s="38" t="s">
        <v>3147</v>
      </c>
      <c r="F138" s="40"/>
      <c r="G138" s="40"/>
      <c r="H138" s="41" t="str">
        <f>VLOOKUP(C138,Stores!$A$200:$G$1118,3,0)</f>
        <v>#N/A</v>
      </c>
      <c r="I138" s="41" t="str">
        <f>VLOOKUP(C138,Stores!$A$200:$G$1118,4,0)</f>
        <v>#N/A</v>
      </c>
      <c r="J138" s="41" t="str">
        <f>VLOOKUP(C138,Stores!$A$200:$G$1118,5,0)</f>
        <v>#N/A</v>
      </c>
      <c r="K138" s="41" t="str">
        <f>VLOOKUP(C138,Stores!$A$200:$G$1118,6,0)</f>
        <v>#N/A</v>
      </c>
      <c r="L138" s="41" t="str">
        <f>VLOOKUP(C138,Stores!$A$200:$G$1118,7,0)</f>
        <v>#N/A</v>
      </c>
      <c r="M138" s="42" t="s">
        <v>3083</v>
      </c>
    </row>
    <row r="139">
      <c r="A139" s="38" t="s">
        <v>2962</v>
      </c>
      <c r="B139" s="38" t="s">
        <v>3157</v>
      </c>
      <c r="C139" s="44" t="s">
        <v>79</v>
      </c>
      <c r="D139" s="39" t="s">
        <v>80</v>
      </c>
      <c r="E139" s="38" t="s">
        <v>3147</v>
      </c>
      <c r="F139" s="40"/>
      <c r="G139" s="40"/>
      <c r="H139" s="41" t="str">
        <f>VLOOKUP(C139,Stores!$A$200:$G$1118,3,0)</f>
        <v>#N/A</v>
      </c>
      <c r="I139" s="41" t="str">
        <f>VLOOKUP(C139,Stores!$A$200:$G$1118,4,0)</f>
        <v>#N/A</v>
      </c>
      <c r="J139" s="41" t="str">
        <f>VLOOKUP(C139,Stores!$A$200:$G$1118,5,0)</f>
        <v>#N/A</v>
      </c>
      <c r="K139" s="41" t="str">
        <f>VLOOKUP(C139,Stores!$A$200:$G$1118,6,0)</f>
        <v>#N/A</v>
      </c>
      <c r="L139" s="41" t="str">
        <f>VLOOKUP(C139,Stores!$A$200:$G$1118,7,0)</f>
        <v>#N/A</v>
      </c>
      <c r="M139" s="42" t="s">
        <v>3083</v>
      </c>
    </row>
    <row r="140">
      <c r="A140" s="38" t="s">
        <v>2962</v>
      </c>
      <c r="B140" s="38" t="s">
        <v>3158</v>
      </c>
      <c r="C140" s="44" t="s">
        <v>66</v>
      </c>
      <c r="D140" s="39" t="s">
        <v>67</v>
      </c>
      <c r="E140" s="38" t="s">
        <v>3147</v>
      </c>
      <c r="F140" s="40"/>
      <c r="G140" s="40"/>
      <c r="H140" s="41" t="str">
        <f>VLOOKUP(C140,Stores!$A$200:$G$1118,3,0)</f>
        <v>#N/A</v>
      </c>
      <c r="I140" s="41" t="str">
        <f>VLOOKUP(C140,Stores!$A$200:$G$1118,4,0)</f>
        <v>#N/A</v>
      </c>
      <c r="J140" s="41" t="str">
        <f>VLOOKUP(C140,Stores!$A$200:$G$1118,5,0)</f>
        <v>#N/A</v>
      </c>
      <c r="K140" s="41" t="str">
        <f>VLOOKUP(C140,Stores!$A$200:$G$1118,6,0)</f>
        <v>#N/A</v>
      </c>
      <c r="L140" s="41" t="str">
        <f>VLOOKUP(C140,Stores!$A$200:$G$1118,7,0)</f>
        <v>#N/A</v>
      </c>
      <c r="M140" s="42" t="s">
        <v>3083</v>
      </c>
    </row>
    <row r="141">
      <c r="A141" s="38" t="s">
        <v>2962</v>
      </c>
      <c r="B141" s="38" t="s">
        <v>3159</v>
      </c>
      <c r="C141" s="44" t="s">
        <v>196</v>
      </c>
      <c r="D141" s="39" t="s">
        <v>197</v>
      </c>
      <c r="E141" s="38" t="s">
        <v>3147</v>
      </c>
      <c r="F141" s="40"/>
      <c r="G141" s="40"/>
      <c r="H141" s="41" t="str">
        <f>VLOOKUP(C141,Stores!$A$200:$G$1118,3,0)</f>
        <v>#N/A</v>
      </c>
      <c r="I141" s="41" t="str">
        <f>VLOOKUP(C141,Stores!$A$200:$G$1118,4,0)</f>
        <v>#N/A</v>
      </c>
      <c r="J141" s="41" t="str">
        <f>VLOOKUP(C141,Stores!$A$200:$G$1118,5,0)</f>
        <v>#N/A</v>
      </c>
      <c r="K141" s="41" t="str">
        <f>VLOOKUP(C141,Stores!$A$200:$G$1118,6,0)</f>
        <v>#N/A</v>
      </c>
      <c r="L141" s="41" t="str">
        <f>VLOOKUP(C141,Stores!$A$200:$G$1118,7,0)</f>
        <v>#N/A</v>
      </c>
      <c r="M141" s="42" t="s">
        <v>3083</v>
      </c>
    </row>
    <row r="142">
      <c r="A142" s="38" t="s">
        <v>2962</v>
      </c>
      <c r="B142" s="38" t="s">
        <v>3160</v>
      </c>
      <c r="C142" s="44" t="s">
        <v>206</v>
      </c>
      <c r="D142" s="39" t="s">
        <v>207</v>
      </c>
      <c r="E142" s="38" t="s">
        <v>3147</v>
      </c>
      <c r="F142" s="40"/>
      <c r="G142" s="40"/>
      <c r="H142" s="41" t="str">
        <f>VLOOKUP(C142,Stores!$A$200:$G$1118,3,0)</f>
        <v>#N/A</v>
      </c>
      <c r="I142" s="41" t="str">
        <f>VLOOKUP(C142,Stores!$A$200:$G$1118,4,0)</f>
        <v>#N/A</v>
      </c>
      <c r="J142" s="41" t="str">
        <f>VLOOKUP(C142,Stores!$A$200:$G$1118,5,0)</f>
        <v>#N/A</v>
      </c>
      <c r="K142" s="41" t="str">
        <f>VLOOKUP(C142,Stores!$A$200:$G$1118,6,0)</f>
        <v>#N/A</v>
      </c>
      <c r="L142" s="41" t="str">
        <f>VLOOKUP(C142,Stores!$A$200:$G$1118,7,0)</f>
        <v>#N/A</v>
      </c>
      <c r="M142" s="42" t="s">
        <v>3083</v>
      </c>
    </row>
    <row r="143">
      <c r="A143" s="38" t="s">
        <v>2962</v>
      </c>
      <c r="B143" s="38" t="s">
        <v>3161</v>
      </c>
      <c r="C143" s="44" t="s">
        <v>224</v>
      </c>
      <c r="D143" s="39" t="s">
        <v>225</v>
      </c>
      <c r="E143" s="38" t="s">
        <v>3162</v>
      </c>
      <c r="F143" s="40"/>
      <c r="G143" s="40"/>
      <c r="H143" s="41" t="str">
        <f>VLOOKUP(C143,Stores!$A$200:$G$1118,3,0)</f>
        <v>#N/A</v>
      </c>
      <c r="I143" s="41" t="str">
        <f>VLOOKUP(C143,Stores!$A$200:$G$1118,4,0)</f>
        <v>#N/A</v>
      </c>
      <c r="J143" s="41" t="str">
        <f>VLOOKUP(C143,Stores!$A$200:$G$1118,5,0)</f>
        <v>#N/A</v>
      </c>
      <c r="K143" s="41" t="str">
        <f>VLOOKUP(C143,Stores!$A$200:$G$1118,6,0)</f>
        <v>#N/A</v>
      </c>
      <c r="L143" s="41" t="str">
        <f>VLOOKUP(C143,Stores!$A$200:$G$1118,7,0)</f>
        <v>#N/A</v>
      </c>
      <c r="M143" s="42" t="s">
        <v>3083</v>
      </c>
    </row>
    <row r="144">
      <c r="A144" s="38" t="s">
        <v>2962</v>
      </c>
      <c r="B144" s="38" t="s">
        <v>3163</v>
      </c>
      <c r="C144" s="44" t="s">
        <v>286</v>
      </c>
      <c r="D144" s="39" t="s">
        <v>287</v>
      </c>
      <c r="E144" s="38" t="s">
        <v>3162</v>
      </c>
      <c r="F144" s="40"/>
      <c r="G144" s="40"/>
      <c r="H144" s="41" t="str">
        <f>VLOOKUP(C144,Stores!$A$200:$G$1118,3,0)</f>
        <v>#N/A</v>
      </c>
      <c r="I144" s="41" t="str">
        <f>VLOOKUP(C144,Stores!$A$200:$G$1118,4,0)</f>
        <v>#N/A</v>
      </c>
      <c r="J144" s="41" t="str">
        <f>VLOOKUP(C144,Stores!$A$200:$G$1118,5,0)</f>
        <v>#N/A</v>
      </c>
      <c r="K144" s="41" t="str">
        <f>VLOOKUP(C144,Stores!$A$200:$G$1118,6,0)</f>
        <v>#N/A</v>
      </c>
      <c r="L144" s="41" t="str">
        <f>VLOOKUP(C144,Stores!$A$200:$G$1118,7,0)</f>
        <v>#N/A</v>
      </c>
      <c r="M144" s="42" t="s">
        <v>3083</v>
      </c>
    </row>
    <row r="145">
      <c r="A145" s="38" t="s">
        <v>2962</v>
      </c>
      <c r="B145" s="38" t="s">
        <v>3164</v>
      </c>
      <c r="C145" s="44" t="s">
        <v>58</v>
      </c>
      <c r="D145" s="39" t="s">
        <v>59</v>
      </c>
      <c r="E145" s="38" t="s">
        <v>3162</v>
      </c>
      <c r="F145" s="40"/>
      <c r="G145" s="40"/>
      <c r="H145" s="41" t="str">
        <f>VLOOKUP(C145,Stores!$A$200:$G$1118,3,0)</f>
        <v>#N/A</v>
      </c>
      <c r="I145" s="41" t="str">
        <f>VLOOKUP(C145,Stores!$A$200:$G$1118,4,0)</f>
        <v>#N/A</v>
      </c>
      <c r="J145" s="41" t="str">
        <f>VLOOKUP(C145,Stores!$A$200:$G$1118,5,0)</f>
        <v>#N/A</v>
      </c>
      <c r="K145" s="41" t="str">
        <f>VLOOKUP(C145,Stores!$A$200:$G$1118,6,0)</f>
        <v>#N/A</v>
      </c>
      <c r="L145" s="41" t="str">
        <f>VLOOKUP(C145,Stores!$A$200:$G$1118,7,0)</f>
        <v>#N/A</v>
      </c>
      <c r="M145" s="42" t="s">
        <v>3083</v>
      </c>
    </row>
    <row r="146">
      <c r="A146" s="38" t="s">
        <v>2962</v>
      </c>
      <c r="B146" s="38" t="s">
        <v>3165</v>
      </c>
      <c r="C146" s="44" t="s">
        <v>3166</v>
      </c>
      <c r="D146" s="39" t="s">
        <v>3167</v>
      </c>
      <c r="E146" s="38" t="s">
        <v>3162</v>
      </c>
      <c r="F146" s="40"/>
      <c r="G146" s="40"/>
      <c r="H146" s="41" t="str">
        <f>VLOOKUP(C146,Stores!$A$200:$G$1118,3,0)</f>
        <v>#N/A</v>
      </c>
      <c r="I146" s="41" t="str">
        <f>VLOOKUP(C146,Stores!$A$200:$G$1118,4,0)</f>
        <v>#N/A</v>
      </c>
      <c r="J146" s="41" t="str">
        <f>VLOOKUP(C146,Stores!$A$200:$G$1118,5,0)</f>
        <v>#N/A</v>
      </c>
      <c r="K146" s="41" t="str">
        <f>VLOOKUP(C146,Stores!$A$200:$G$1118,6,0)</f>
        <v>#N/A</v>
      </c>
      <c r="L146" s="41" t="str">
        <f>VLOOKUP(C146,Stores!$A$200:$G$1118,7,0)</f>
        <v>#N/A</v>
      </c>
      <c r="M146" s="42" t="s">
        <v>3083</v>
      </c>
    </row>
    <row r="147">
      <c r="A147" s="38" t="s">
        <v>2962</v>
      </c>
      <c r="B147" s="38" t="s">
        <v>3168</v>
      </c>
      <c r="C147" s="44" t="s">
        <v>46</v>
      </c>
      <c r="D147" s="39" t="s">
        <v>47</v>
      </c>
      <c r="E147" s="38" t="s">
        <v>3162</v>
      </c>
      <c r="F147" s="40"/>
      <c r="G147" s="40"/>
      <c r="H147" s="41" t="str">
        <f>VLOOKUP(C147,Stores!$A$200:$G$1118,3,0)</f>
        <v>#N/A</v>
      </c>
      <c r="I147" s="41" t="str">
        <f>VLOOKUP(C147,Stores!$A$200:$G$1118,4,0)</f>
        <v>#N/A</v>
      </c>
      <c r="J147" s="41" t="str">
        <f>VLOOKUP(C147,Stores!$A$200:$G$1118,5,0)</f>
        <v>#N/A</v>
      </c>
      <c r="K147" s="41" t="str">
        <f>VLOOKUP(C147,Stores!$A$200:$G$1118,6,0)</f>
        <v>#N/A</v>
      </c>
      <c r="L147" s="41" t="str">
        <f>VLOOKUP(C147,Stores!$A$200:$G$1118,7,0)</f>
        <v>#N/A</v>
      </c>
      <c r="M147" s="42" t="s">
        <v>3083</v>
      </c>
    </row>
    <row r="148">
      <c r="A148" s="38" t="s">
        <v>2962</v>
      </c>
      <c r="B148" s="38" t="s">
        <v>3169</v>
      </c>
      <c r="C148" s="44" t="s">
        <v>75</v>
      </c>
      <c r="D148" s="39" t="s">
        <v>3170</v>
      </c>
      <c r="E148" s="38" t="s">
        <v>3162</v>
      </c>
      <c r="F148" s="40"/>
      <c r="G148" s="40"/>
      <c r="H148" s="41" t="str">
        <f>VLOOKUP(C148,Stores!$A$200:$G$1118,3,0)</f>
        <v>#N/A</v>
      </c>
      <c r="I148" s="41" t="str">
        <f>VLOOKUP(C148,Stores!$A$200:$G$1118,4,0)</f>
        <v>#N/A</v>
      </c>
      <c r="J148" s="41" t="str">
        <f>VLOOKUP(C148,Stores!$A$200:$G$1118,5,0)</f>
        <v>#N/A</v>
      </c>
      <c r="K148" s="41" t="str">
        <f>VLOOKUP(C148,Stores!$A$200:$G$1118,6,0)</f>
        <v>#N/A</v>
      </c>
      <c r="L148" s="41" t="str">
        <f>VLOOKUP(C148,Stores!$A$200:$G$1118,7,0)</f>
        <v>#N/A</v>
      </c>
      <c r="M148" s="42" t="s">
        <v>3083</v>
      </c>
    </row>
    <row r="149">
      <c r="A149" s="38" t="s">
        <v>2962</v>
      </c>
      <c r="B149" s="38" t="s">
        <v>3171</v>
      </c>
      <c r="C149" s="44" t="s">
        <v>85</v>
      </c>
      <c r="D149" s="39" t="s">
        <v>86</v>
      </c>
      <c r="E149" s="38" t="s">
        <v>3172</v>
      </c>
      <c r="F149" s="40"/>
      <c r="G149" s="40"/>
      <c r="H149" s="41" t="str">
        <f>VLOOKUP(C149,Stores!$A$200:$G$1118,3,0)</f>
        <v>#N/A</v>
      </c>
      <c r="I149" s="41" t="str">
        <f>VLOOKUP(C149,Stores!$A$200:$G$1118,4,0)</f>
        <v>#N/A</v>
      </c>
      <c r="J149" s="41" t="str">
        <f>VLOOKUP(C149,Stores!$A$200:$G$1118,5,0)</f>
        <v>#N/A</v>
      </c>
      <c r="K149" s="41" t="str">
        <f>VLOOKUP(C149,Stores!$A$200:$G$1118,6,0)</f>
        <v>#N/A</v>
      </c>
      <c r="L149" s="41" t="str">
        <f>VLOOKUP(C149,Stores!$A$200:$G$1118,7,0)</f>
        <v>#N/A</v>
      </c>
      <c r="M149" s="42" t="s">
        <v>3083</v>
      </c>
    </row>
    <row r="150">
      <c r="A150" s="38" t="s">
        <v>2962</v>
      </c>
      <c r="B150" s="38" t="s">
        <v>3173</v>
      </c>
      <c r="C150" s="44" t="s">
        <v>105</v>
      </c>
      <c r="D150" s="39" t="s">
        <v>106</v>
      </c>
      <c r="E150" s="38" t="s">
        <v>3172</v>
      </c>
      <c r="F150" s="40"/>
      <c r="G150" s="40"/>
      <c r="H150" s="41" t="str">
        <f>VLOOKUP(C150,Stores!$A$200:$G$1118,3,0)</f>
        <v>#N/A</v>
      </c>
      <c r="I150" s="41" t="str">
        <f>VLOOKUP(C150,Stores!$A$200:$G$1118,4,0)</f>
        <v>#N/A</v>
      </c>
      <c r="J150" s="41" t="str">
        <f>VLOOKUP(C150,Stores!$A$200:$G$1118,5,0)</f>
        <v>#N/A</v>
      </c>
      <c r="K150" s="41" t="str">
        <f>VLOOKUP(C150,Stores!$A$200:$G$1118,6,0)</f>
        <v>#N/A</v>
      </c>
      <c r="L150" s="41" t="str">
        <f>VLOOKUP(C150,Stores!$A$200:$G$1118,7,0)</f>
        <v>#N/A</v>
      </c>
      <c r="M150" s="42" t="s">
        <v>3083</v>
      </c>
    </row>
    <row r="151">
      <c r="A151" s="38" t="s">
        <v>2962</v>
      </c>
      <c r="B151" s="38" t="s">
        <v>3174</v>
      </c>
      <c r="C151" s="44" t="s">
        <v>118</v>
      </c>
      <c r="D151" s="39" t="s">
        <v>3175</v>
      </c>
      <c r="E151" s="38" t="s">
        <v>3172</v>
      </c>
      <c r="F151" s="40"/>
      <c r="G151" s="40"/>
      <c r="H151" s="41" t="str">
        <f>VLOOKUP(C151,Stores!$A$200:$G$1118,3,0)</f>
        <v>#N/A</v>
      </c>
      <c r="I151" s="41" t="str">
        <f>VLOOKUP(C151,Stores!$A$200:$G$1118,4,0)</f>
        <v>#N/A</v>
      </c>
      <c r="J151" s="41" t="str">
        <f>VLOOKUP(C151,Stores!$A$200:$G$1118,5,0)</f>
        <v>#N/A</v>
      </c>
      <c r="K151" s="41" t="str">
        <f>VLOOKUP(C151,Stores!$A$200:$G$1118,6,0)</f>
        <v>#N/A</v>
      </c>
      <c r="L151" s="41" t="str">
        <f>VLOOKUP(C151,Stores!$A$200:$G$1118,7,0)</f>
        <v>#N/A</v>
      </c>
      <c r="M151" s="42" t="s">
        <v>3083</v>
      </c>
    </row>
    <row r="152">
      <c r="A152" s="38" t="s">
        <v>2962</v>
      </c>
      <c r="B152" s="38" t="s">
        <v>3176</v>
      </c>
      <c r="C152" s="44" t="s">
        <v>222</v>
      </c>
      <c r="D152" s="39" t="s">
        <v>223</v>
      </c>
      <c r="E152" s="38" t="s">
        <v>3177</v>
      </c>
      <c r="F152" s="40"/>
      <c r="G152" s="40"/>
      <c r="H152" s="41" t="str">
        <f>VLOOKUP(C152,Stores!$A$200:$G$1118,3,0)</f>
        <v>#N/A</v>
      </c>
      <c r="I152" s="41" t="str">
        <f>VLOOKUP(C152,Stores!$A$200:$G$1118,4,0)</f>
        <v>#N/A</v>
      </c>
      <c r="J152" s="41" t="str">
        <f>VLOOKUP(C152,Stores!$A$200:$G$1118,5,0)</f>
        <v>#N/A</v>
      </c>
      <c r="K152" s="41" t="str">
        <f>VLOOKUP(C152,Stores!$A$200:$G$1118,6,0)</f>
        <v>#N/A</v>
      </c>
      <c r="L152" s="41" t="str">
        <f>VLOOKUP(C152,Stores!$A$200:$G$1118,7,0)</f>
        <v>#N/A</v>
      </c>
      <c r="M152" s="42" t="s">
        <v>3083</v>
      </c>
    </row>
    <row r="153">
      <c r="A153" s="38" t="s">
        <v>2962</v>
      </c>
      <c r="B153" s="38" t="s">
        <v>3178</v>
      </c>
      <c r="C153" s="44" t="s">
        <v>220</v>
      </c>
      <c r="D153" s="39" t="s">
        <v>221</v>
      </c>
      <c r="E153" s="38" t="s">
        <v>3177</v>
      </c>
      <c r="F153" s="40"/>
      <c r="G153" s="40"/>
      <c r="H153" s="41" t="str">
        <f>VLOOKUP(C153,Stores!$A$200:$G$1118,3,0)</f>
        <v>#N/A</v>
      </c>
      <c r="I153" s="41" t="str">
        <f>VLOOKUP(C153,Stores!$A$200:$G$1118,4,0)</f>
        <v>#N/A</v>
      </c>
      <c r="J153" s="41" t="str">
        <f>VLOOKUP(C153,Stores!$A$200:$G$1118,5,0)</f>
        <v>#N/A</v>
      </c>
      <c r="K153" s="41" t="str">
        <f>VLOOKUP(C153,Stores!$A$200:$G$1118,6,0)</f>
        <v>#N/A</v>
      </c>
      <c r="L153" s="41" t="str">
        <f>VLOOKUP(C153,Stores!$A$200:$G$1118,7,0)</f>
        <v>#N/A</v>
      </c>
      <c r="M153" s="42" t="s">
        <v>3083</v>
      </c>
    </row>
    <row r="154">
      <c r="A154" s="38" t="s">
        <v>2962</v>
      </c>
      <c r="B154" s="38" t="s">
        <v>3179</v>
      </c>
      <c r="C154" s="44" t="s">
        <v>87</v>
      </c>
      <c r="D154" s="39" t="s">
        <v>88</v>
      </c>
      <c r="E154" s="38" t="s">
        <v>3177</v>
      </c>
      <c r="F154" s="40"/>
      <c r="G154" s="40"/>
      <c r="H154" s="41" t="str">
        <f>VLOOKUP(C154,Stores!$A$200:$G$1118,3,0)</f>
        <v>#N/A</v>
      </c>
      <c r="I154" s="41" t="str">
        <f>VLOOKUP(C154,Stores!$A$200:$G$1118,4,0)</f>
        <v>#N/A</v>
      </c>
      <c r="J154" s="41" t="str">
        <f>VLOOKUP(C154,Stores!$A$200:$G$1118,5,0)</f>
        <v>#N/A</v>
      </c>
      <c r="K154" s="41" t="str">
        <f>VLOOKUP(C154,Stores!$A$200:$G$1118,6,0)</f>
        <v>#N/A</v>
      </c>
      <c r="L154" s="41" t="str">
        <f>VLOOKUP(C154,Stores!$A$200:$G$1118,7,0)</f>
        <v>#N/A</v>
      </c>
      <c r="M154" s="42" t="s">
        <v>3083</v>
      </c>
    </row>
    <row r="155">
      <c r="A155" s="38" t="s">
        <v>2962</v>
      </c>
      <c r="B155" s="38" t="s">
        <v>3180</v>
      </c>
      <c r="C155" s="44" t="s">
        <v>218</v>
      </c>
      <c r="D155" s="39" t="s">
        <v>3181</v>
      </c>
      <c r="E155" s="38" t="s">
        <v>3177</v>
      </c>
      <c r="F155" s="40"/>
      <c r="G155" s="40"/>
      <c r="H155" s="41" t="str">
        <f>VLOOKUP(C155,Stores!$A$200:$G$1118,3,0)</f>
        <v>#N/A</v>
      </c>
      <c r="I155" s="41" t="str">
        <f>VLOOKUP(C155,Stores!$A$200:$G$1118,4,0)</f>
        <v>#N/A</v>
      </c>
      <c r="J155" s="41" t="str">
        <f>VLOOKUP(C155,Stores!$A$200:$G$1118,5,0)</f>
        <v>#N/A</v>
      </c>
      <c r="K155" s="41" t="str">
        <f>VLOOKUP(C155,Stores!$A$200:$G$1118,6,0)</f>
        <v>#N/A</v>
      </c>
      <c r="L155" s="41" t="str">
        <f>VLOOKUP(C155,Stores!$A$200:$G$1118,7,0)</f>
        <v>#N/A</v>
      </c>
      <c r="M155" s="42" t="s">
        <v>3083</v>
      </c>
    </row>
    <row r="156">
      <c r="A156" s="38" t="s">
        <v>2962</v>
      </c>
      <c r="B156" s="38" t="s">
        <v>3182</v>
      </c>
      <c r="C156" s="44" t="s">
        <v>56</v>
      </c>
      <c r="D156" s="39" t="s">
        <v>3183</v>
      </c>
      <c r="E156" s="38" t="s">
        <v>3177</v>
      </c>
      <c r="F156" s="40"/>
      <c r="G156" s="40"/>
      <c r="H156" s="41" t="str">
        <f>VLOOKUP(C156,Stores!$A$200:$G$1118,3,0)</f>
        <v>#N/A</v>
      </c>
      <c r="I156" s="41" t="str">
        <f>VLOOKUP(C156,Stores!$A$200:$G$1118,4,0)</f>
        <v>#N/A</v>
      </c>
      <c r="J156" s="41" t="str">
        <f>VLOOKUP(C156,Stores!$A$200:$G$1118,5,0)</f>
        <v>#N/A</v>
      </c>
      <c r="K156" s="41" t="str">
        <f>VLOOKUP(C156,Stores!$A$200:$G$1118,6,0)</f>
        <v>#N/A</v>
      </c>
      <c r="L156" s="41" t="str">
        <f>VLOOKUP(C156,Stores!$A$200:$G$1118,7,0)</f>
        <v>#N/A</v>
      </c>
      <c r="M156" s="42" t="s">
        <v>3083</v>
      </c>
    </row>
    <row r="157">
      <c r="A157" s="38" t="s">
        <v>2962</v>
      </c>
      <c r="B157" s="38" t="s">
        <v>3184</v>
      </c>
      <c r="C157" s="44" t="s">
        <v>288</v>
      </c>
      <c r="D157" s="39" t="s">
        <v>3185</v>
      </c>
      <c r="E157" s="38" t="s">
        <v>3177</v>
      </c>
      <c r="F157" s="40"/>
      <c r="G157" s="40"/>
      <c r="H157" s="41" t="str">
        <f>VLOOKUP(C157,Stores!$A$200:$G$1118,3,0)</f>
        <v>#N/A</v>
      </c>
      <c r="I157" s="41" t="str">
        <f>VLOOKUP(C157,Stores!$A$200:$G$1118,4,0)</f>
        <v>#N/A</v>
      </c>
      <c r="J157" s="41" t="str">
        <f>VLOOKUP(C157,Stores!$A$200:$G$1118,5,0)</f>
        <v>#N/A</v>
      </c>
      <c r="K157" s="41" t="str">
        <f>VLOOKUP(C157,Stores!$A$200:$G$1118,6,0)</f>
        <v>#N/A</v>
      </c>
      <c r="L157" s="41" t="str">
        <f>VLOOKUP(C157,Stores!$A$200:$G$1118,7,0)</f>
        <v>#N/A</v>
      </c>
      <c r="M157" s="42" t="s">
        <v>3083</v>
      </c>
    </row>
    <row r="158">
      <c r="A158" s="38" t="s">
        <v>2962</v>
      </c>
      <c r="B158" s="38" t="s">
        <v>3186</v>
      </c>
      <c r="C158" s="44" t="s">
        <v>226</v>
      </c>
      <c r="D158" s="39" t="s">
        <v>227</v>
      </c>
      <c r="E158" s="38" t="s">
        <v>3177</v>
      </c>
      <c r="F158" s="40"/>
      <c r="G158" s="40"/>
      <c r="H158" s="41" t="str">
        <f>VLOOKUP(C158,Stores!$A$200:$G$1118,3,0)</f>
        <v>#N/A</v>
      </c>
      <c r="I158" s="41" t="str">
        <f>VLOOKUP(C158,Stores!$A$200:$G$1118,4,0)</f>
        <v>#N/A</v>
      </c>
      <c r="J158" s="41" t="str">
        <f>VLOOKUP(C158,Stores!$A$200:$G$1118,5,0)</f>
        <v>#N/A</v>
      </c>
      <c r="K158" s="41" t="str">
        <f>VLOOKUP(C158,Stores!$A$200:$G$1118,6,0)</f>
        <v>#N/A</v>
      </c>
      <c r="L158" s="41" t="str">
        <f>VLOOKUP(C158,Stores!$A$200:$G$1118,7,0)</f>
        <v>#N/A</v>
      </c>
      <c r="M158" s="42" t="s">
        <v>3083</v>
      </c>
    </row>
    <row r="159">
      <c r="A159" s="38" t="s">
        <v>2962</v>
      </c>
      <c r="B159" s="38" t="s">
        <v>3187</v>
      </c>
      <c r="C159" s="44" t="s">
        <v>116</v>
      </c>
      <c r="D159" s="39" t="s">
        <v>3188</v>
      </c>
      <c r="E159" s="38" t="s">
        <v>3177</v>
      </c>
      <c r="F159" s="40"/>
      <c r="G159" s="40"/>
      <c r="H159" s="41" t="str">
        <f>VLOOKUP(C159,Stores!$A$200:$G$1118,3,0)</f>
        <v>#N/A</v>
      </c>
      <c r="I159" s="41" t="str">
        <f>VLOOKUP(C159,Stores!$A$200:$G$1118,4,0)</f>
        <v>#N/A</v>
      </c>
      <c r="J159" s="41" t="str">
        <f>VLOOKUP(C159,Stores!$A$200:$G$1118,5,0)</f>
        <v>#N/A</v>
      </c>
      <c r="K159" s="41" t="str">
        <f>VLOOKUP(C159,Stores!$A$200:$G$1118,6,0)</f>
        <v>#N/A</v>
      </c>
      <c r="L159" s="41" t="str">
        <f>VLOOKUP(C159,Stores!$A$200:$G$1118,7,0)</f>
        <v>#N/A</v>
      </c>
      <c r="M159" s="42" t="s">
        <v>3083</v>
      </c>
    </row>
    <row r="160">
      <c r="A160" s="38" t="s">
        <v>2962</v>
      </c>
      <c r="B160" s="38" t="s">
        <v>3189</v>
      </c>
      <c r="C160" s="44" t="s">
        <v>3190</v>
      </c>
      <c r="D160" s="39" t="s">
        <v>3191</v>
      </c>
      <c r="E160" s="38" t="s">
        <v>3177</v>
      </c>
      <c r="F160" s="40"/>
      <c r="G160" s="40"/>
      <c r="H160" s="41" t="str">
        <f>VLOOKUP(C160,Stores!$A$200:$G$1118,3,0)</f>
        <v>#N/A</v>
      </c>
      <c r="I160" s="41" t="str">
        <f>VLOOKUP(C160,Stores!$A$200:$G$1118,4,0)</f>
        <v>#N/A</v>
      </c>
      <c r="J160" s="41" t="str">
        <f>VLOOKUP(C160,Stores!$A$200:$G$1118,5,0)</f>
        <v>#N/A</v>
      </c>
      <c r="K160" s="41" t="str">
        <f>VLOOKUP(C160,Stores!$A$200:$G$1118,6,0)</f>
        <v>#N/A</v>
      </c>
      <c r="L160" s="41" t="str">
        <f>VLOOKUP(C160,Stores!$A$200:$G$1118,7,0)</f>
        <v>#N/A</v>
      </c>
      <c r="M160" s="42" t="s">
        <v>3083</v>
      </c>
    </row>
    <row r="161">
      <c r="A161" s="38" t="s">
        <v>2962</v>
      </c>
      <c r="B161" s="38" t="s">
        <v>3192</v>
      </c>
      <c r="C161" s="44" t="s">
        <v>232</v>
      </c>
      <c r="D161" s="39" t="s">
        <v>233</v>
      </c>
      <c r="E161" s="38" t="s">
        <v>3193</v>
      </c>
      <c r="F161" s="40"/>
      <c r="G161" s="40"/>
      <c r="H161" s="41" t="str">
        <f>VLOOKUP(C161,Stores!$A$200:$G$1118,3,0)</f>
        <v>#N/A</v>
      </c>
      <c r="I161" s="41" t="str">
        <f>VLOOKUP(C161,Stores!$A$200:$G$1118,4,0)</f>
        <v>#N/A</v>
      </c>
      <c r="J161" s="41" t="str">
        <f>VLOOKUP(C161,Stores!$A$200:$G$1118,5,0)</f>
        <v>#N/A</v>
      </c>
      <c r="K161" s="41" t="str">
        <f>VLOOKUP(C161,Stores!$A$200:$G$1118,6,0)</f>
        <v>#N/A</v>
      </c>
      <c r="L161" s="41" t="str">
        <f>VLOOKUP(C161,Stores!$A$200:$G$1118,7,0)</f>
        <v>#N/A</v>
      </c>
      <c r="M161" s="42" t="s">
        <v>3083</v>
      </c>
    </row>
    <row r="162">
      <c r="A162" s="38" t="s">
        <v>2962</v>
      </c>
      <c r="B162" s="38" t="s">
        <v>3194</v>
      </c>
      <c r="C162" s="44" t="s">
        <v>42</v>
      </c>
      <c r="D162" s="39" t="s">
        <v>3195</v>
      </c>
      <c r="E162" s="38" t="s">
        <v>3193</v>
      </c>
      <c r="F162" s="40"/>
      <c r="G162" s="40"/>
      <c r="H162" s="41" t="str">
        <f>VLOOKUP(C162,Stores!$A$200:$G$1118,3,0)</f>
        <v>#N/A</v>
      </c>
      <c r="I162" s="41" t="str">
        <f>VLOOKUP(C162,Stores!$A$200:$G$1118,4,0)</f>
        <v>#N/A</v>
      </c>
      <c r="J162" s="41" t="str">
        <f>VLOOKUP(C162,Stores!$A$200:$G$1118,5,0)</f>
        <v>#N/A</v>
      </c>
      <c r="K162" s="41" t="str">
        <f>VLOOKUP(C162,Stores!$A$200:$G$1118,6,0)</f>
        <v>#N/A</v>
      </c>
      <c r="L162" s="41" t="str">
        <f>VLOOKUP(C162,Stores!$A$200:$G$1118,7,0)</f>
        <v>#N/A</v>
      </c>
      <c r="M162" s="42" t="s">
        <v>3083</v>
      </c>
    </row>
    <row r="163">
      <c r="A163" s="38" t="s">
        <v>2962</v>
      </c>
      <c r="B163" s="38" t="s">
        <v>3196</v>
      </c>
      <c r="C163" s="44" t="s">
        <v>32</v>
      </c>
      <c r="D163" s="39" t="s">
        <v>33</v>
      </c>
      <c r="E163" s="38" t="s">
        <v>3193</v>
      </c>
      <c r="F163" s="40"/>
      <c r="G163" s="40"/>
      <c r="H163" s="41" t="str">
        <f>VLOOKUP(C163,Stores!$A$200:$G$1118,3,0)</f>
        <v>#N/A</v>
      </c>
      <c r="I163" s="41" t="str">
        <f>VLOOKUP(C163,Stores!$A$200:$G$1118,4,0)</f>
        <v>#N/A</v>
      </c>
      <c r="J163" s="41" t="str">
        <f>VLOOKUP(C163,Stores!$A$200:$G$1118,5,0)</f>
        <v>#N/A</v>
      </c>
      <c r="K163" s="41" t="str">
        <f>VLOOKUP(C163,Stores!$A$200:$G$1118,6,0)</f>
        <v>#N/A</v>
      </c>
      <c r="L163" s="41" t="str">
        <f>VLOOKUP(C163,Stores!$A$200:$G$1118,7,0)</f>
        <v>#N/A</v>
      </c>
      <c r="M163" s="42" t="s">
        <v>3083</v>
      </c>
    </row>
    <row r="164">
      <c r="A164" s="38" t="s">
        <v>2962</v>
      </c>
      <c r="B164" s="38" t="s">
        <v>3197</v>
      </c>
      <c r="C164" s="44" t="s">
        <v>38</v>
      </c>
      <c r="D164" s="39" t="s">
        <v>3198</v>
      </c>
      <c r="E164" s="38" t="s">
        <v>3193</v>
      </c>
      <c r="F164" s="40"/>
      <c r="G164" s="40"/>
      <c r="H164" s="41" t="str">
        <f>VLOOKUP(C164,Stores!$A$200:$G$1118,3,0)</f>
        <v>#N/A</v>
      </c>
      <c r="I164" s="41" t="str">
        <f>VLOOKUP(C164,Stores!$A$200:$G$1118,4,0)</f>
        <v>#N/A</v>
      </c>
      <c r="J164" s="41" t="str">
        <f>VLOOKUP(C164,Stores!$A$200:$G$1118,5,0)</f>
        <v>#N/A</v>
      </c>
      <c r="K164" s="41" t="str">
        <f>VLOOKUP(C164,Stores!$A$200:$G$1118,6,0)</f>
        <v>#N/A</v>
      </c>
      <c r="L164" s="41" t="str">
        <f>VLOOKUP(C164,Stores!$A$200:$G$1118,7,0)</f>
        <v>#N/A</v>
      </c>
      <c r="M164" s="42" t="s">
        <v>3083</v>
      </c>
    </row>
    <row r="165">
      <c r="A165" s="38" t="s">
        <v>2962</v>
      </c>
      <c r="B165" s="38" t="s">
        <v>3199</v>
      </c>
      <c r="C165" s="44" t="s">
        <v>62</v>
      </c>
      <c r="D165" s="39" t="s">
        <v>3200</v>
      </c>
      <c r="E165" s="38" t="s">
        <v>3193</v>
      </c>
      <c r="F165" s="40"/>
      <c r="G165" s="40"/>
      <c r="H165" s="41" t="str">
        <f>VLOOKUP(C165,Stores!$A$200:$G$1118,3,0)</f>
        <v>#N/A</v>
      </c>
      <c r="I165" s="41" t="str">
        <f>VLOOKUP(C165,Stores!$A$200:$G$1118,4,0)</f>
        <v>#N/A</v>
      </c>
      <c r="J165" s="41" t="str">
        <f>VLOOKUP(C165,Stores!$A$200:$G$1118,5,0)</f>
        <v>#N/A</v>
      </c>
      <c r="K165" s="41" t="str">
        <f>VLOOKUP(C165,Stores!$A$200:$G$1118,6,0)</f>
        <v>#N/A</v>
      </c>
      <c r="L165" s="41" t="str">
        <f>VLOOKUP(C165,Stores!$A$200:$G$1118,7,0)</f>
        <v>#N/A</v>
      </c>
      <c r="M165" s="42" t="s">
        <v>3083</v>
      </c>
    </row>
    <row r="166">
      <c r="A166" s="38" t="s">
        <v>2962</v>
      </c>
      <c r="B166" s="38" t="s">
        <v>3201</v>
      </c>
      <c r="C166" s="44" t="s">
        <v>94</v>
      </c>
      <c r="D166" s="39" t="s">
        <v>95</v>
      </c>
      <c r="E166" s="38" t="s">
        <v>3193</v>
      </c>
      <c r="F166" s="40"/>
      <c r="G166" s="40"/>
      <c r="H166" s="41" t="str">
        <f>VLOOKUP(C166,Stores!$A$200:$G$1118,3,0)</f>
        <v>#N/A</v>
      </c>
      <c r="I166" s="41" t="str">
        <f>VLOOKUP(C166,Stores!$A$200:$G$1118,4,0)</f>
        <v>#N/A</v>
      </c>
      <c r="J166" s="41" t="str">
        <f>VLOOKUP(C166,Stores!$A$200:$G$1118,5,0)</f>
        <v>#N/A</v>
      </c>
      <c r="K166" s="41" t="str">
        <f>VLOOKUP(C166,Stores!$A$200:$G$1118,6,0)</f>
        <v>#N/A</v>
      </c>
      <c r="L166" s="41" t="str">
        <f>VLOOKUP(C166,Stores!$A$200:$G$1118,7,0)</f>
        <v>#N/A</v>
      </c>
      <c r="M166" s="42" t="s">
        <v>3083</v>
      </c>
    </row>
    <row r="167">
      <c r="A167" s="38" t="s">
        <v>2962</v>
      </c>
      <c r="B167" s="38" t="s">
        <v>3202</v>
      </c>
      <c r="C167" s="44" t="s">
        <v>96</v>
      </c>
      <c r="D167" s="39" t="s">
        <v>97</v>
      </c>
      <c r="E167" s="38" t="s">
        <v>3193</v>
      </c>
      <c r="F167" s="40"/>
      <c r="G167" s="40"/>
      <c r="H167" s="41" t="str">
        <f>VLOOKUP(C167,Stores!$A$200:$G$1118,3,0)</f>
        <v>#N/A</v>
      </c>
      <c r="I167" s="41" t="str">
        <f>VLOOKUP(C167,Stores!$A$200:$G$1118,4,0)</f>
        <v>#N/A</v>
      </c>
      <c r="J167" s="41" t="str">
        <f>VLOOKUP(C167,Stores!$A$200:$G$1118,5,0)</f>
        <v>#N/A</v>
      </c>
      <c r="K167" s="41" t="str">
        <f>VLOOKUP(C167,Stores!$A$200:$G$1118,6,0)</f>
        <v>#N/A</v>
      </c>
      <c r="L167" s="41" t="str">
        <f>VLOOKUP(C167,Stores!$A$200:$G$1118,7,0)</f>
        <v>#N/A</v>
      </c>
      <c r="M167" s="42" t="s">
        <v>3083</v>
      </c>
    </row>
    <row r="168">
      <c r="A168" s="38" t="s">
        <v>2962</v>
      </c>
      <c r="B168" s="38" t="s">
        <v>3203</v>
      </c>
      <c r="C168" s="38" t="s">
        <v>717</v>
      </c>
      <c r="D168" s="39" t="s">
        <v>718</v>
      </c>
      <c r="E168" s="38" t="s">
        <v>2964</v>
      </c>
      <c r="F168" s="40"/>
      <c r="G168" s="40"/>
      <c r="H168" s="41" t="str">
        <f>VLOOKUP(C168,Stores!$A$200:$G$1118,3,0)</f>
        <v>Opened Stores</v>
      </c>
      <c r="I168" s="41" t="str">
        <f>VLOOKUP(C168,Stores!$A$200:$G$1118,4,0)</f>
        <v>Stage 7 - Installed</v>
      </c>
      <c r="J168" s="41" t="str">
        <f>VLOOKUP(C168,Stores!$A$200:$G$1118,5,0)</f>
        <v>ZKTECO</v>
      </c>
      <c r="K168" s="41" t="str">
        <f>VLOOKUP(C168,Stores!$A$200:$G$1118,6,0)</f>
        <v>PAS4252500098</v>
      </c>
      <c r="L168" s="41" t="str">
        <f>VLOOKUP(C168,Stores!$A$200:$G$1118,7,0)</f>
        <v>192.168.1.201</v>
      </c>
      <c r="M168" s="42" t="s">
        <v>3204</v>
      </c>
    </row>
    <row r="169">
      <c r="A169" s="38" t="s">
        <v>2962</v>
      </c>
      <c r="B169" s="38" t="s">
        <v>3205</v>
      </c>
      <c r="C169" s="38" t="s">
        <v>1146</v>
      </c>
      <c r="D169" s="39" t="s">
        <v>1147</v>
      </c>
      <c r="E169" s="38" t="s">
        <v>2964</v>
      </c>
      <c r="F169" s="40"/>
      <c r="G169" s="40"/>
      <c r="H169" s="41" t="str">
        <f>VLOOKUP(C169,Stores!$A$200:$G$1118,3,0)</f>
        <v>Opened Stores</v>
      </c>
      <c r="I169" s="41" t="str">
        <f>VLOOKUP(C169,Stores!$A$200:$G$1118,4,0)</f>
        <v>Stage 7 - Installed</v>
      </c>
      <c r="J169" s="41" t="str">
        <f>VLOOKUP(C169,Stores!$A$200:$G$1118,5,0)</f>
        <v>ZKTECO</v>
      </c>
      <c r="K169" s="41" t="str">
        <f>VLOOKUP(C169,Stores!$A$200:$G$1118,6,0)</f>
        <v>A8N5221960158</v>
      </c>
      <c r="L169" s="41" t="str">
        <f>VLOOKUP(C169,Stores!$A$200:$G$1118,7,0)</f>
        <v>192.168.1.201</v>
      </c>
      <c r="M169" s="42" t="s">
        <v>3204</v>
      </c>
    </row>
    <row r="170">
      <c r="A170" s="38" t="s">
        <v>2962</v>
      </c>
      <c r="B170" s="38" t="s">
        <v>3206</v>
      </c>
      <c r="C170" s="38" t="s">
        <v>1496</v>
      </c>
      <c r="D170" s="39" t="s">
        <v>1497</v>
      </c>
      <c r="E170" s="38" t="s">
        <v>2964</v>
      </c>
      <c r="F170" s="40"/>
      <c r="G170" s="40"/>
      <c r="H170" s="41" t="str">
        <f>VLOOKUP(C170,Stores!$A$200:$G$1118,3,0)</f>
        <v>Opened Stores</v>
      </c>
      <c r="I170" s="41" t="str">
        <f>VLOOKUP(C170,Stores!$A$200:$G$1118,4,0)</f>
        <v>Stage 7 - Installed</v>
      </c>
      <c r="J170" s="41" t="str">
        <f>VLOOKUP(C170,Stores!$A$200:$G$1118,5,0)</f>
        <v>ZKTECO</v>
      </c>
      <c r="K170" s="41" t="str">
        <f>VLOOKUP(C170,Stores!$A$200:$G$1118,6,0)</f>
        <v>AEYU082360216</v>
      </c>
      <c r="L170" s="41" t="str">
        <f>VLOOKUP(C170,Stores!$A$200:$G$1118,7,0)</f>
        <v>192.168.1.201</v>
      </c>
      <c r="M170" s="42" t="s">
        <v>3204</v>
      </c>
    </row>
    <row r="171">
      <c r="A171" s="38" t="s">
        <v>2962</v>
      </c>
      <c r="B171" s="38" t="s">
        <v>3207</v>
      </c>
      <c r="C171" s="38" t="s">
        <v>1321</v>
      </c>
      <c r="D171" s="39" t="s">
        <v>1322</v>
      </c>
      <c r="E171" s="38" t="s">
        <v>2964</v>
      </c>
      <c r="F171" s="40"/>
      <c r="G171" s="40"/>
      <c r="H171" s="41" t="str">
        <f>VLOOKUP(C171,Stores!$A$200:$G$1118,3,0)</f>
        <v>Opened Stores</v>
      </c>
      <c r="I171" s="41" t="str">
        <f>VLOOKUP(C171,Stores!$A$200:$G$1118,4,0)</f>
        <v>Stage 7 - Installed</v>
      </c>
      <c r="J171" s="41" t="str">
        <f>VLOOKUP(C171,Stores!$A$200:$G$1118,5,0)</f>
        <v>ZKTECO</v>
      </c>
      <c r="K171" s="41" t="str">
        <f>VLOOKUP(C171,Stores!$A$200:$G$1118,6,0)</f>
        <v>AKDG012350240</v>
      </c>
      <c r="L171" s="41" t="str">
        <f>VLOOKUP(C171,Stores!$A$200:$G$1118,7,0)</f>
        <v>192.168.1.201</v>
      </c>
      <c r="M171" s="42" t="s">
        <v>3204</v>
      </c>
    </row>
    <row r="172">
      <c r="A172" s="38" t="s">
        <v>2962</v>
      </c>
      <c r="B172" s="38" t="s">
        <v>3208</v>
      </c>
      <c r="C172" s="38" t="s">
        <v>771</v>
      </c>
      <c r="D172" s="39" t="s">
        <v>772</v>
      </c>
      <c r="E172" s="38" t="s">
        <v>2964</v>
      </c>
      <c r="F172" s="40"/>
      <c r="G172" s="40"/>
      <c r="H172" s="41" t="str">
        <f>VLOOKUP(C172,Stores!$A$200:$G$1118,3,0)</f>
        <v>Opened Stores</v>
      </c>
      <c r="I172" s="41" t="str">
        <f>VLOOKUP(C172,Stores!$A$200:$G$1118,4,0)</f>
        <v>Stage 7 - Installed</v>
      </c>
      <c r="J172" s="41" t="str">
        <f>VLOOKUP(C172,Stores!$A$200:$G$1118,5,0)</f>
        <v>FINGERTEC</v>
      </c>
      <c r="K172" s="41">
        <f>VLOOKUP(C172,Stores!$A$200:$G$1118,6,0)</f>
        <v>7424186</v>
      </c>
      <c r="L172" s="41" t="str">
        <f>VLOOKUP(C172,Stores!$A$200:$G$1118,7,0)</f>
        <v>192.168.1.201</v>
      </c>
      <c r="M172" s="42" t="s">
        <v>3204</v>
      </c>
    </row>
    <row r="173">
      <c r="A173" s="38" t="s">
        <v>2962</v>
      </c>
      <c r="B173" s="38" t="s">
        <v>3209</v>
      </c>
      <c r="C173" s="38" t="s">
        <v>1036</v>
      </c>
      <c r="D173" s="39" t="s">
        <v>1037</v>
      </c>
      <c r="E173" s="38" t="s">
        <v>2964</v>
      </c>
      <c r="F173" s="40"/>
      <c r="G173" s="40"/>
      <c r="H173" s="41" t="str">
        <f>VLOOKUP(C173,Stores!$A$200:$G$1118,3,0)</f>
        <v>Opened Stores</v>
      </c>
      <c r="I173" s="41" t="str">
        <f>VLOOKUP(C173,Stores!$A$200:$G$1118,4,0)</f>
        <v>Stage 7 - Installed</v>
      </c>
      <c r="J173" s="41" t="str">
        <f>VLOOKUP(C173,Stores!$A$200:$G$1118,5,0)</f>
        <v>ZKTECO</v>
      </c>
      <c r="K173" s="41" t="str">
        <f>VLOOKUP(C173,Stores!$A$200:$G$1118,6,0)</f>
        <v>A8N5221860507</v>
      </c>
      <c r="L173" s="41" t="str">
        <f>VLOOKUP(C173,Stores!$A$200:$G$1118,7,0)</f>
        <v>192.168.1.201</v>
      </c>
      <c r="M173" s="42" t="s">
        <v>3204</v>
      </c>
    </row>
    <row r="174">
      <c r="A174" s="38" t="s">
        <v>2962</v>
      </c>
      <c r="B174" s="38" t="s">
        <v>3210</v>
      </c>
      <c r="C174" s="38" t="s">
        <v>945</v>
      </c>
      <c r="D174" s="39" t="s">
        <v>946</v>
      </c>
      <c r="E174" s="38" t="s">
        <v>2964</v>
      </c>
      <c r="F174" s="40"/>
      <c r="G174" s="40"/>
      <c r="H174" s="41" t="str">
        <f>VLOOKUP(C174,Stores!$A$200:$G$1118,3,0)</f>
        <v>Opened Stores</v>
      </c>
      <c r="I174" s="41" t="str">
        <f>VLOOKUP(C174,Stores!$A$200:$G$1118,4,0)</f>
        <v>Stage 7 - Installed</v>
      </c>
      <c r="J174" s="41" t="str">
        <f>VLOOKUP(C174,Stores!$A$200:$G$1118,5,0)</f>
        <v>FINGERTEC</v>
      </c>
      <c r="K174" s="41">
        <f>VLOOKUP(C174,Stores!$A$200:$G$1118,6,0)</f>
        <v>7425891</v>
      </c>
      <c r="L174" s="41" t="str">
        <f>VLOOKUP(C174,Stores!$A$200:$G$1118,7,0)</f>
        <v>192.168.1.201</v>
      </c>
      <c r="M174" s="42" t="s">
        <v>3204</v>
      </c>
    </row>
    <row r="175">
      <c r="A175" s="38" t="s">
        <v>2962</v>
      </c>
      <c r="B175" s="38" t="s">
        <v>3211</v>
      </c>
      <c r="C175" s="38" t="s">
        <v>2886</v>
      </c>
      <c r="D175" s="39" t="s">
        <v>2887</v>
      </c>
      <c r="E175" s="38" t="s">
        <v>2964</v>
      </c>
      <c r="F175" s="40"/>
      <c r="G175" s="40"/>
      <c r="H175" s="41" t="str">
        <f>VLOOKUP(C175,Stores!$A$200:$G$1118,3,0)</f>
        <v>Opened Stores</v>
      </c>
      <c r="I175" s="41" t="str">
        <f>VLOOKUP(C175,Stores!$A$200:$G$1118,4,0)</f>
        <v>Stage 7 - Installed</v>
      </c>
      <c r="J175" s="41" t="str">
        <f>VLOOKUP(C175,Stores!$A$200:$G$1118,5,0)</f>
        <v>ZKTECO</v>
      </c>
      <c r="K175" s="41" t="str">
        <f>VLOOKUP(C175,Stores!$A$200:$G$1118,6,0)</f>
        <v>PAS4252500122</v>
      </c>
      <c r="L175" s="41" t="str">
        <f>VLOOKUP(C175,Stores!$A$200:$G$1118,7,0)</f>
        <v>192.168.1.201</v>
      </c>
      <c r="M175" s="42" t="s">
        <v>3204</v>
      </c>
    </row>
    <row r="176">
      <c r="A176" s="38" t="s">
        <v>2962</v>
      </c>
      <c r="B176" s="38" t="s">
        <v>3212</v>
      </c>
      <c r="C176" s="38" t="s">
        <v>823</v>
      </c>
      <c r="D176" s="39" t="s">
        <v>824</v>
      </c>
      <c r="E176" s="38" t="s">
        <v>2964</v>
      </c>
      <c r="F176" s="40"/>
      <c r="G176" s="40"/>
      <c r="H176" s="41" t="str">
        <f>VLOOKUP(C176,Stores!$A$200:$G$1118,3,0)</f>
        <v>Opened Stores</v>
      </c>
      <c r="I176" s="41" t="str">
        <f>VLOOKUP(C176,Stores!$A$200:$G$1118,4,0)</f>
        <v>Stage 7 - Installed</v>
      </c>
      <c r="J176" s="41" t="str">
        <f>VLOOKUP(C176,Stores!$A$200:$G$1118,5,0)</f>
        <v>FINGERTEC</v>
      </c>
      <c r="K176" s="41">
        <f>VLOOKUP(C176,Stores!$A$200:$G$1118,6,0)</f>
        <v>7425642</v>
      </c>
      <c r="L176" s="41" t="str">
        <f>VLOOKUP(C176,Stores!$A$200:$G$1118,7,0)</f>
        <v>192.168.1.201</v>
      </c>
      <c r="M176" s="42" t="s">
        <v>3204</v>
      </c>
    </row>
    <row r="177">
      <c r="A177" s="38" t="s">
        <v>2962</v>
      </c>
      <c r="B177" s="38" t="s">
        <v>3213</v>
      </c>
      <c r="C177" s="38" t="s">
        <v>1457</v>
      </c>
      <c r="D177" s="39" t="s">
        <v>1458</v>
      </c>
      <c r="E177" s="38" t="s">
        <v>3147</v>
      </c>
      <c r="F177" s="40"/>
      <c r="G177" s="40"/>
      <c r="H177" s="41" t="str">
        <f>VLOOKUP(C177,Stores!$A$200:$G$1118,3,0)</f>
        <v>Opened Stores</v>
      </c>
      <c r="I177" s="41" t="str">
        <f>VLOOKUP(C177,Stores!$A$200:$G$1118,4,0)</f>
        <v>Stage 7 - Installed</v>
      </c>
      <c r="J177" s="41" t="str">
        <f>VLOOKUP(C177,Stores!$A$200:$G$1118,5,0)</f>
        <v>ZKTECO</v>
      </c>
      <c r="K177" s="41" t="str">
        <f>VLOOKUP(C177,Stores!$A$200:$G$1118,6,0)</f>
        <v>AKDG012350234</v>
      </c>
      <c r="L177" s="41" t="str">
        <f>VLOOKUP(C177,Stores!$A$200:$G$1118,7,0)</f>
        <v>192.168.1.201</v>
      </c>
      <c r="M177" s="42" t="s">
        <v>3204</v>
      </c>
    </row>
    <row r="178">
      <c r="A178" s="38" t="s">
        <v>2962</v>
      </c>
      <c r="B178" s="38" t="s">
        <v>3214</v>
      </c>
      <c r="C178" s="38" t="s">
        <v>1463</v>
      </c>
      <c r="D178" s="39" t="s">
        <v>1464</v>
      </c>
      <c r="E178" s="38" t="s">
        <v>3147</v>
      </c>
      <c r="F178" s="40"/>
      <c r="G178" s="40"/>
      <c r="H178" s="41" t="str">
        <f>VLOOKUP(C178,Stores!$A$200:$G$1118,3,0)</f>
        <v>Opened Stores</v>
      </c>
      <c r="I178" s="41" t="str">
        <f>VLOOKUP(C178,Stores!$A$200:$G$1118,4,0)</f>
        <v>Stage 7 - Installed</v>
      </c>
      <c r="J178" s="41" t="str">
        <f>VLOOKUP(C178,Stores!$A$200:$G$1118,5,0)</f>
        <v>ZKTECO</v>
      </c>
      <c r="K178" s="41" t="str">
        <f>VLOOKUP(C178,Stores!$A$200:$G$1118,6,0)</f>
        <v>AEYU082360298</v>
      </c>
      <c r="L178" s="41" t="str">
        <f>VLOOKUP(C178,Stores!$A$200:$G$1118,7,0)</f>
        <v>192.168.1.201</v>
      </c>
      <c r="M178" s="42" t="s">
        <v>3204</v>
      </c>
    </row>
    <row r="179">
      <c r="A179" s="38" t="s">
        <v>2962</v>
      </c>
      <c r="B179" s="38" t="s">
        <v>3215</v>
      </c>
      <c r="C179" s="38" t="s">
        <v>759</v>
      </c>
      <c r="D179" s="39" t="s">
        <v>760</v>
      </c>
      <c r="E179" s="38" t="s">
        <v>3147</v>
      </c>
      <c r="F179" s="40"/>
      <c r="G179" s="40"/>
      <c r="H179" s="41" t="str">
        <f>VLOOKUP(C179,Stores!$A$200:$G$1118,3,0)</f>
        <v>Opened Stores</v>
      </c>
      <c r="I179" s="41" t="str">
        <f>VLOOKUP(C179,Stores!$A$200:$G$1118,4,0)</f>
        <v>Stage 7 - Installed</v>
      </c>
      <c r="J179" s="41" t="str">
        <f>VLOOKUP(C179,Stores!$A$200:$G$1118,5,0)</f>
        <v>FINGERTEC</v>
      </c>
      <c r="K179" s="41">
        <f>VLOOKUP(C179,Stores!$A$200:$G$1118,6,0)</f>
        <v>7424185</v>
      </c>
      <c r="L179" s="41" t="str">
        <f>VLOOKUP(C179,Stores!$A$200:$G$1118,7,0)</f>
        <v>192.168.1.201</v>
      </c>
      <c r="M179" s="42" t="s">
        <v>3204</v>
      </c>
    </row>
    <row r="180">
      <c r="A180" s="38" t="s">
        <v>2962</v>
      </c>
      <c r="B180" s="38" t="s">
        <v>3216</v>
      </c>
      <c r="C180" s="38" t="s">
        <v>918</v>
      </c>
      <c r="D180" s="39" t="s">
        <v>919</v>
      </c>
      <c r="E180" s="38" t="s">
        <v>3147</v>
      </c>
      <c r="F180" s="40"/>
      <c r="G180" s="40"/>
      <c r="H180" s="41" t="str">
        <f>VLOOKUP(C180,Stores!$A$200:$G$1118,3,0)</f>
        <v>Opened Stores</v>
      </c>
      <c r="I180" s="41" t="str">
        <f>VLOOKUP(C180,Stores!$A$200:$G$1118,4,0)</f>
        <v>Stage 7 - Installed</v>
      </c>
      <c r="J180" s="41" t="str">
        <f>VLOOKUP(C180,Stores!$A$200:$G$1118,5,0)</f>
        <v>FINGERTEC</v>
      </c>
      <c r="K180" s="41">
        <f>VLOOKUP(C180,Stores!$A$200:$G$1118,6,0)</f>
        <v>7425663</v>
      </c>
      <c r="L180" s="41" t="str">
        <f>VLOOKUP(C180,Stores!$A$200:$G$1118,7,0)</f>
        <v>192.168.1.201</v>
      </c>
      <c r="M180" s="42" t="s">
        <v>3204</v>
      </c>
    </row>
    <row r="181">
      <c r="A181" s="38" t="s">
        <v>2962</v>
      </c>
      <c r="B181" s="38" t="s">
        <v>3217</v>
      </c>
      <c r="C181" s="38" t="s">
        <v>661</v>
      </c>
      <c r="D181" s="39" t="s">
        <v>662</v>
      </c>
      <c r="E181" s="38" t="s">
        <v>3147</v>
      </c>
      <c r="F181" s="40"/>
      <c r="G181" s="40"/>
      <c r="H181" s="41" t="str">
        <f>VLOOKUP(C181,Stores!$A$200:$G$1118,3,0)</f>
        <v>Opened Stores</v>
      </c>
      <c r="I181" s="41" t="str">
        <f>VLOOKUP(C181,Stores!$A$200:$G$1118,4,0)</f>
        <v>Stage 7 - Installed</v>
      </c>
      <c r="J181" s="41" t="str">
        <f>VLOOKUP(C181,Stores!$A$200:$G$1118,5,0)</f>
        <v>FINGERTEC</v>
      </c>
      <c r="K181" s="41">
        <f>VLOOKUP(C181,Stores!$A$200:$G$1118,6,0)</f>
        <v>7422141</v>
      </c>
      <c r="L181" s="41" t="str">
        <f>VLOOKUP(C181,Stores!$A$200:$G$1118,7,0)</f>
        <v>192.168.1.201</v>
      </c>
      <c r="M181" s="42" t="s">
        <v>3204</v>
      </c>
    </row>
    <row r="182">
      <c r="A182" s="38" t="s">
        <v>2962</v>
      </c>
      <c r="B182" s="38" t="s">
        <v>3218</v>
      </c>
      <c r="C182" s="38" t="s">
        <v>690</v>
      </c>
      <c r="D182" s="39" t="s">
        <v>691</v>
      </c>
      <c r="E182" s="38" t="s">
        <v>3147</v>
      </c>
      <c r="F182" s="40"/>
      <c r="G182" s="40"/>
      <c r="H182" s="41" t="str">
        <f>VLOOKUP(C182,Stores!$A$200:$G$1118,3,0)</f>
        <v>Opened Stores</v>
      </c>
      <c r="I182" s="41" t="str">
        <f>VLOOKUP(C182,Stores!$A$200:$G$1118,4,0)</f>
        <v>Stage 7 - Installed</v>
      </c>
      <c r="J182" s="41" t="str">
        <f>VLOOKUP(C182,Stores!$A$200:$G$1118,5,0)</f>
        <v>ZKTECO</v>
      </c>
      <c r="K182" s="41" t="str">
        <f>VLOOKUP(C182,Stores!$A$200:$G$1118,6,0)</f>
        <v>PAS4252900033</v>
      </c>
      <c r="L182" s="41" t="str">
        <f>VLOOKUP(C182,Stores!$A$200:$G$1118,7,0)</f>
        <v>192.168.1.201</v>
      </c>
      <c r="M182" s="42" t="s">
        <v>3204</v>
      </c>
    </row>
    <row r="183">
      <c r="A183" s="38" t="s">
        <v>2962</v>
      </c>
      <c r="B183" s="38" t="s">
        <v>3219</v>
      </c>
      <c r="C183" s="38" t="s">
        <v>2859</v>
      </c>
      <c r="D183" s="39" t="s">
        <v>2860</v>
      </c>
      <c r="E183" s="38" t="s">
        <v>3147</v>
      </c>
      <c r="F183" s="40"/>
      <c r="G183" s="40"/>
      <c r="H183" s="41" t="str">
        <f>VLOOKUP(C183,Stores!$A$200:$G$1118,3,0)</f>
        <v>Opened Stores</v>
      </c>
      <c r="I183" s="41" t="str">
        <f>VLOOKUP(C183,Stores!$A$200:$G$1118,4,0)</f>
        <v>Stage 7 - Installed</v>
      </c>
      <c r="J183" s="41" t="str">
        <f>VLOOKUP(C183,Stores!$A$200:$G$1118,5,0)</f>
        <v>ZKTECO</v>
      </c>
      <c r="K183" s="41" t="str">
        <f>VLOOKUP(C183,Stores!$A$200:$G$1118,6,0)</f>
        <v>PAS4252500182</v>
      </c>
      <c r="L183" s="41" t="str">
        <f>VLOOKUP(C183,Stores!$A$200:$G$1118,7,0)</f>
        <v>192.168.1.201</v>
      </c>
      <c r="M183" s="42" t="s">
        <v>3204</v>
      </c>
    </row>
    <row r="184">
      <c r="A184" s="38" t="s">
        <v>2962</v>
      </c>
      <c r="B184" s="38" t="s">
        <v>3220</v>
      </c>
      <c r="C184" s="38" t="s">
        <v>571</v>
      </c>
      <c r="D184" s="39" t="s">
        <v>572</v>
      </c>
      <c r="E184" s="38" t="s">
        <v>3147</v>
      </c>
      <c r="F184" s="40"/>
      <c r="G184" s="40"/>
      <c r="H184" s="41" t="str">
        <f>VLOOKUP(C184,Stores!$A$200:$G$1118,3,0)</f>
        <v>Opened Stores</v>
      </c>
      <c r="I184" s="41" t="str">
        <f>VLOOKUP(C184,Stores!$A$200:$G$1118,4,0)</f>
        <v>Stage 7 - Installed</v>
      </c>
      <c r="J184" s="41" t="str">
        <f>VLOOKUP(C184,Stores!$A$200:$G$1118,5,0)</f>
        <v>FINGERTEC</v>
      </c>
      <c r="K184" s="41">
        <f>VLOOKUP(C184,Stores!$A$200:$G$1118,6,0)</f>
        <v>7421296</v>
      </c>
      <c r="L184" s="41" t="str">
        <f>VLOOKUP(C184,Stores!$A$200:$G$1118,7,0)</f>
        <v>192.168.1.201</v>
      </c>
      <c r="M184" s="42" t="s">
        <v>3204</v>
      </c>
    </row>
    <row r="185">
      <c r="A185" s="38" t="s">
        <v>2962</v>
      </c>
      <c r="B185" s="38" t="s">
        <v>3221</v>
      </c>
      <c r="C185" s="38" t="s">
        <v>730</v>
      </c>
      <c r="D185" s="39" t="s">
        <v>731</v>
      </c>
      <c r="E185" s="38" t="s">
        <v>3147</v>
      </c>
      <c r="F185" s="40"/>
      <c r="G185" s="40"/>
      <c r="H185" s="41" t="str">
        <f>VLOOKUP(C185,Stores!$A$200:$G$1118,3,0)</f>
        <v>Opened Stores</v>
      </c>
      <c r="I185" s="41" t="str">
        <f>VLOOKUP(C185,Stores!$A$200:$G$1118,4,0)</f>
        <v>Stage 7 - Installed</v>
      </c>
      <c r="J185" s="41" t="str">
        <f>VLOOKUP(C185,Stores!$A$200:$G$1118,5,0)</f>
        <v>FINGERTEC</v>
      </c>
      <c r="K185" s="41">
        <f>VLOOKUP(C185,Stores!$A$200:$G$1118,6,0)</f>
        <v>7423462</v>
      </c>
      <c r="L185" s="41" t="str">
        <f>VLOOKUP(C185,Stores!$A$200:$G$1118,7,0)</f>
        <v>192.168.1.201</v>
      </c>
      <c r="M185" s="42" t="s">
        <v>3204</v>
      </c>
    </row>
    <row r="186">
      <c r="A186" s="38" t="s">
        <v>2962</v>
      </c>
      <c r="B186" s="38" t="s">
        <v>3222</v>
      </c>
      <c r="C186" s="38" t="s">
        <v>671</v>
      </c>
      <c r="D186" s="39" t="s">
        <v>672</v>
      </c>
      <c r="E186" s="38" t="s">
        <v>3147</v>
      </c>
      <c r="F186" s="40"/>
      <c r="G186" s="40"/>
      <c r="H186" s="41" t="str">
        <f>VLOOKUP(C186,Stores!$A$200:$G$1118,3,0)</f>
        <v>Opened Stores</v>
      </c>
      <c r="I186" s="41" t="str">
        <f>VLOOKUP(C186,Stores!$A$200:$G$1118,4,0)</f>
        <v>Stage 7 - Installed</v>
      </c>
      <c r="J186" s="41" t="str">
        <f>VLOOKUP(C186,Stores!$A$200:$G$1118,5,0)</f>
        <v>FINGERTEC</v>
      </c>
      <c r="K186" s="41">
        <f>VLOOKUP(C186,Stores!$A$200:$G$1118,6,0)</f>
        <v>7422151</v>
      </c>
      <c r="L186" s="41" t="str">
        <f>VLOOKUP(C186,Stores!$A$200:$G$1118,7,0)</f>
        <v>192.168.1.201</v>
      </c>
      <c r="M186" s="42" t="s">
        <v>3204</v>
      </c>
    </row>
    <row r="187">
      <c r="A187" s="38" t="s">
        <v>2962</v>
      </c>
      <c r="B187" s="38" t="s">
        <v>3223</v>
      </c>
      <c r="C187" s="38" t="s">
        <v>1200</v>
      </c>
      <c r="D187" s="39" t="s">
        <v>1201</v>
      </c>
      <c r="E187" s="38" t="s">
        <v>3147</v>
      </c>
      <c r="F187" s="40"/>
      <c r="G187" s="40"/>
      <c r="H187" s="41" t="str">
        <f>VLOOKUP(C187,Stores!$A$200:$G$1118,3,0)</f>
        <v>Opened Stores</v>
      </c>
      <c r="I187" s="41" t="str">
        <f>VLOOKUP(C187,Stores!$A$200:$G$1118,4,0)</f>
        <v>Stage 7 - Installed</v>
      </c>
      <c r="J187" s="41" t="str">
        <f>VLOOKUP(C187,Stores!$A$200:$G$1118,5,0)</f>
        <v>ZKTECO</v>
      </c>
      <c r="K187" s="41" t="str">
        <f>VLOOKUP(C187,Stores!$A$200:$G$1118,6,0)</f>
        <v>ZKM6245100041</v>
      </c>
      <c r="L187" s="41" t="str">
        <f>VLOOKUP(C187,Stores!$A$200:$G$1118,7,0)</f>
        <v>192.168.1.201</v>
      </c>
      <c r="M187" s="42" t="s">
        <v>3204</v>
      </c>
    </row>
    <row r="188">
      <c r="A188" s="38" t="s">
        <v>2962</v>
      </c>
      <c r="B188" s="38" t="s">
        <v>3224</v>
      </c>
      <c r="C188" s="38" t="s">
        <v>2575</v>
      </c>
      <c r="D188" s="39" t="s">
        <v>3225</v>
      </c>
      <c r="E188" s="38" t="s">
        <v>3147</v>
      </c>
      <c r="F188" s="40"/>
      <c r="G188" s="40"/>
      <c r="H188" s="41" t="str">
        <f>VLOOKUP(C188,Stores!$A$200:$G$1118,3,0)</f>
        <v>Opened Stores</v>
      </c>
      <c r="I188" s="41" t="str">
        <f>VLOOKUP(C188,Stores!$A$200:$G$1118,4,0)</f>
        <v>Stage 7 - Installed</v>
      </c>
      <c r="J188" s="41" t="str">
        <f>VLOOKUP(C188,Stores!$A$200:$G$1118,5,0)</f>
        <v>ZKTECO</v>
      </c>
      <c r="K188" s="41" t="str">
        <f>VLOOKUP(C188,Stores!$A$200:$G$1118,6,0)</f>
        <v>ZKM6251700046</v>
      </c>
      <c r="L188" s="41" t="str">
        <f>VLOOKUP(C188,Stores!$A$200:$G$1118,7,0)</f>
        <v>192.168.1.201</v>
      </c>
      <c r="M188" s="42" t="s">
        <v>3204</v>
      </c>
    </row>
    <row r="189">
      <c r="A189" s="38" t="s">
        <v>2962</v>
      </c>
      <c r="B189" s="38" t="s">
        <v>3226</v>
      </c>
      <c r="C189" s="38" t="s">
        <v>495</v>
      </c>
      <c r="D189" s="39" t="s">
        <v>496</v>
      </c>
      <c r="E189" s="38" t="s">
        <v>3147</v>
      </c>
      <c r="F189" s="40"/>
      <c r="G189" s="40"/>
      <c r="H189" s="41" t="str">
        <f>VLOOKUP(C189,Stores!$A$200:$G$1118,3,0)</f>
        <v>Opened Stores</v>
      </c>
      <c r="I189" s="41" t="str">
        <f>VLOOKUP(C189,Stores!$A$200:$G$1118,4,0)</f>
        <v>Stage 7 - Installed</v>
      </c>
      <c r="J189" s="41" t="str">
        <f>VLOOKUP(C189,Stores!$A$200:$G$1118,5,0)</f>
        <v>FINGERTEC</v>
      </c>
      <c r="K189" s="41">
        <f>VLOOKUP(C189,Stores!$A$200:$G$1118,6,0)</f>
        <v>7417486</v>
      </c>
      <c r="L189" s="41" t="str">
        <f>VLOOKUP(C189,Stores!$A$200:$G$1118,7,0)</f>
        <v>192.168.1.201</v>
      </c>
      <c r="M189" s="42" t="s">
        <v>3204</v>
      </c>
    </row>
    <row r="190">
      <c r="A190" s="38" t="s">
        <v>2962</v>
      </c>
      <c r="B190" s="38" t="s">
        <v>3227</v>
      </c>
      <c r="C190" s="38" t="s">
        <v>2602</v>
      </c>
      <c r="D190" s="39" t="s">
        <v>2603</v>
      </c>
      <c r="E190" s="38" t="s">
        <v>3147</v>
      </c>
      <c r="F190" s="40"/>
      <c r="G190" s="40"/>
      <c r="H190" s="41" t="str">
        <f>VLOOKUP(C190,Stores!$A$200:$G$1118,3,0)</f>
        <v>Opened Stores</v>
      </c>
      <c r="I190" s="41" t="str">
        <f>VLOOKUP(C190,Stores!$A$200:$G$1118,4,0)</f>
        <v>Stage 7 - Installed</v>
      </c>
      <c r="J190" s="41" t="str">
        <f>VLOOKUP(C190,Stores!$A$200:$G$1118,5,0)</f>
        <v>ZKTECO</v>
      </c>
      <c r="K190" s="41" t="str">
        <f>VLOOKUP(C190,Stores!$A$200:$G$1118,6,0)</f>
        <v>ZKM6251400071</v>
      </c>
      <c r="L190" s="41" t="str">
        <f>VLOOKUP(C190,Stores!$A$200:$G$1118,7,0)</f>
        <v>192.168.1.201</v>
      </c>
      <c r="M190" s="42" t="s">
        <v>3204</v>
      </c>
    </row>
    <row r="191">
      <c r="A191" s="38" t="s">
        <v>2962</v>
      </c>
      <c r="B191" s="38" t="s">
        <v>3228</v>
      </c>
      <c r="C191" s="38" t="s">
        <v>1179</v>
      </c>
      <c r="D191" s="39" t="s">
        <v>1180</v>
      </c>
      <c r="E191" s="38" t="s">
        <v>3147</v>
      </c>
      <c r="F191" s="40"/>
      <c r="G191" s="40"/>
      <c r="H191" s="41" t="str">
        <f>VLOOKUP(C191,Stores!$A$200:$G$1118,3,0)</f>
        <v>Opened Stores</v>
      </c>
      <c r="I191" s="41" t="str">
        <f>VLOOKUP(C191,Stores!$A$200:$G$1118,4,0)</f>
        <v>Stage 7 - Installed</v>
      </c>
      <c r="J191" s="41" t="str">
        <f>VLOOKUP(C191,Stores!$A$200:$G$1118,5,0)</f>
        <v>ZKTECO</v>
      </c>
      <c r="K191" s="41" t="str">
        <f>VLOOKUP(C191,Stores!$A$200:$G$1118,6,0)</f>
        <v>A8N5221960161</v>
      </c>
      <c r="L191" s="41" t="str">
        <f>VLOOKUP(C191,Stores!$A$200:$G$1118,7,0)</f>
        <v>192.168.1.201</v>
      </c>
      <c r="M191" s="42" t="s">
        <v>3204</v>
      </c>
    </row>
    <row r="192">
      <c r="A192" s="38" t="s">
        <v>2962</v>
      </c>
      <c r="B192" s="38" t="s">
        <v>3229</v>
      </c>
      <c r="C192" s="38" t="s">
        <v>2447</v>
      </c>
      <c r="D192" s="39" t="s">
        <v>2448</v>
      </c>
      <c r="E192" s="38" t="s">
        <v>3147</v>
      </c>
      <c r="F192" s="40"/>
      <c r="G192" s="40"/>
      <c r="H192" s="41" t="str">
        <f>VLOOKUP(C192,Stores!$A$200:$G$1118,3,0)</f>
        <v>Opened Stores</v>
      </c>
      <c r="I192" s="41" t="str">
        <f>VLOOKUP(C192,Stores!$A$200:$G$1118,4,0)</f>
        <v>Stage 7 - Installed</v>
      </c>
      <c r="J192" s="41" t="str">
        <f>VLOOKUP(C192,Stores!$A$200:$G$1118,5,0)</f>
        <v>ZKTECO</v>
      </c>
      <c r="K192" s="41" t="str">
        <f>VLOOKUP(C192,Stores!$A$200:$G$1118,6,0)</f>
        <v>ZKM6251500295</v>
      </c>
      <c r="L192" s="41" t="str">
        <f>VLOOKUP(C192,Stores!$A$200:$G$1118,7,0)</f>
        <v>192.168.1.201</v>
      </c>
      <c r="M192" s="42" t="s">
        <v>3204</v>
      </c>
    </row>
    <row r="193">
      <c r="A193" s="38" t="s">
        <v>2962</v>
      </c>
      <c r="B193" s="38" t="s">
        <v>3230</v>
      </c>
      <c r="C193" s="38" t="s">
        <v>1206</v>
      </c>
      <c r="D193" s="39" t="s">
        <v>1207</v>
      </c>
      <c r="E193" s="38" t="s">
        <v>3147</v>
      </c>
      <c r="F193" s="40"/>
      <c r="G193" s="40"/>
      <c r="H193" s="41" t="str">
        <f>VLOOKUP(C193,Stores!$A$200:$G$1118,3,0)</f>
        <v>Opened Stores</v>
      </c>
      <c r="I193" s="41" t="str">
        <f>VLOOKUP(C193,Stores!$A$200:$G$1118,4,0)</f>
        <v>Stage 7 - Installed</v>
      </c>
      <c r="J193" s="41" t="str">
        <f>VLOOKUP(C193,Stores!$A$200:$G$1118,5,0)</f>
        <v>ZKTECO</v>
      </c>
      <c r="K193" s="41" t="str">
        <f>VLOOKUP(C193,Stores!$A$200:$G$1118,6,0)</f>
        <v>PAS4254500181</v>
      </c>
      <c r="L193" s="41" t="str">
        <f>VLOOKUP(C193,Stores!$A$200:$G$1118,7,0)</f>
        <v>192.168.1.201</v>
      </c>
      <c r="M193" s="42" t="s">
        <v>3204</v>
      </c>
    </row>
    <row r="194">
      <c r="A194" s="38" t="s">
        <v>2962</v>
      </c>
      <c r="B194" s="38" t="s">
        <v>3231</v>
      </c>
      <c r="C194" s="38" t="s">
        <v>1116</v>
      </c>
      <c r="D194" s="39" t="s">
        <v>1117</v>
      </c>
      <c r="E194" s="38" t="s">
        <v>3147</v>
      </c>
      <c r="F194" s="40"/>
      <c r="G194" s="40"/>
      <c r="H194" s="41" t="str">
        <f>VLOOKUP(C194,Stores!$A$200:$G$1118,3,0)</f>
        <v>Opened Stores</v>
      </c>
      <c r="I194" s="41" t="str">
        <f>VLOOKUP(C194,Stores!$A$200:$G$1118,4,0)</f>
        <v>Stage 7 - Installed</v>
      </c>
      <c r="J194" s="41" t="str">
        <f>VLOOKUP(C194,Stores!$A$200:$G$1118,5,0)</f>
        <v>ZKTECO</v>
      </c>
      <c r="K194" s="41" t="str">
        <f>VLOOKUP(C194,Stores!$A$200:$G$1118,6,0)</f>
        <v>A8N5221960168</v>
      </c>
      <c r="L194" s="41" t="str">
        <f>VLOOKUP(C194,Stores!$A$200:$G$1118,7,0)</f>
        <v>192.168.1.201</v>
      </c>
      <c r="M194" s="42" t="s">
        <v>3204</v>
      </c>
    </row>
    <row r="195">
      <c r="A195" s="38" t="s">
        <v>2962</v>
      </c>
      <c r="B195" s="38" t="s">
        <v>3232</v>
      </c>
      <c r="C195" s="38" t="s">
        <v>2327</v>
      </c>
      <c r="D195" s="39" t="s">
        <v>2328</v>
      </c>
      <c r="E195" s="38" t="s">
        <v>3147</v>
      </c>
      <c r="F195" s="40"/>
      <c r="G195" s="40"/>
      <c r="H195" s="41" t="str">
        <f>VLOOKUP(C195,Stores!$A$200:$G$1118,3,0)</f>
        <v>Opened Stores</v>
      </c>
      <c r="I195" s="41" t="str">
        <f>VLOOKUP(C195,Stores!$A$200:$G$1118,4,0)</f>
        <v>Stage 7 - Installed</v>
      </c>
      <c r="J195" s="41" t="str">
        <f>VLOOKUP(C195,Stores!$A$200:$G$1118,5,0)</f>
        <v>ZKTECO</v>
      </c>
      <c r="K195" s="41" t="str">
        <f>VLOOKUP(C195,Stores!$A$200:$G$1118,6,0)</f>
        <v>ZKM6245100295</v>
      </c>
      <c r="L195" s="41" t="str">
        <f>VLOOKUP(C195,Stores!$A$200:$G$1118,7,0)</f>
        <v>192.168.1.201</v>
      </c>
      <c r="M195" s="42" t="s">
        <v>3204</v>
      </c>
    </row>
    <row r="196">
      <c r="A196" s="38" t="s">
        <v>2962</v>
      </c>
      <c r="B196" s="38" t="s">
        <v>3233</v>
      </c>
      <c r="C196" s="38" t="s">
        <v>2697</v>
      </c>
      <c r="D196" s="39" t="s">
        <v>2698</v>
      </c>
      <c r="E196" s="38" t="s">
        <v>3147</v>
      </c>
      <c r="F196" s="40"/>
      <c r="G196" s="40"/>
      <c r="H196" s="41" t="str">
        <f>VLOOKUP(C196,Stores!$A$200:$G$1118,3,0)</f>
        <v>Opened Stores</v>
      </c>
      <c r="I196" s="41" t="str">
        <f>VLOOKUP(C196,Stores!$A$200:$G$1118,4,0)</f>
        <v>Stage 7 - Installed</v>
      </c>
      <c r="J196" s="41" t="str">
        <f>VLOOKUP(C196,Stores!$A$200:$G$1118,5,0)</f>
        <v>ZKTECO</v>
      </c>
      <c r="K196" s="41" t="str">
        <f>VLOOKUP(C196,Stores!$A$200:$G$1118,6,0)</f>
        <v>ZKM6251500121</v>
      </c>
      <c r="L196" s="41" t="str">
        <f>VLOOKUP(C196,Stores!$A$200:$G$1118,7,0)</f>
        <v>192.168.1.201</v>
      </c>
      <c r="M196" s="42" t="s">
        <v>3204</v>
      </c>
    </row>
    <row r="197">
      <c r="A197" s="38" t="s">
        <v>2962</v>
      </c>
      <c r="B197" s="38" t="s">
        <v>3234</v>
      </c>
      <c r="C197" s="38" t="s">
        <v>2652</v>
      </c>
      <c r="D197" s="39" t="s">
        <v>2653</v>
      </c>
      <c r="E197" s="38" t="s">
        <v>3147</v>
      </c>
      <c r="F197" s="40"/>
      <c r="G197" s="40"/>
      <c r="H197" s="41" t="str">
        <f>VLOOKUP(C197,Stores!$A$200:$G$1118,3,0)</f>
        <v>Opened Stores</v>
      </c>
      <c r="I197" s="41" t="str">
        <f>VLOOKUP(C197,Stores!$A$200:$G$1118,4,0)</f>
        <v>Stage 7 - Installed</v>
      </c>
      <c r="J197" s="41" t="str">
        <f>VLOOKUP(C197,Stores!$A$200:$G$1118,5,0)</f>
        <v>ZKTECO</v>
      </c>
      <c r="K197" s="41" t="str">
        <f>VLOOKUP(C197,Stores!$A$200:$G$1118,6,0)</f>
        <v>ZKM6251700119</v>
      </c>
      <c r="L197" s="41" t="str">
        <f>VLOOKUP(C197,Stores!$A$200:$G$1118,7,0)</f>
        <v>192.168.1.201</v>
      </c>
      <c r="M197" s="42" t="s">
        <v>3204</v>
      </c>
    </row>
    <row r="198">
      <c r="A198" s="38" t="s">
        <v>2962</v>
      </c>
      <c r="B198" s="38" t="s">
        <v>3235</v>
      </c>
      <c r="C198" s="38" t="s">
        <v>878</v>
      </c>
      <c r="D198" s="39" t="s">
        <v>879</v>
      </c>
      <c r="E198" s="38" t="s">
        <v>3147</v>
      </c>
      <c r="F198" s="40"/>
      <c r="G198" s="40"/>
      <c r="H198" s="41" t="str">
        <f>VLOOKUP(C198,Stores!$A$200:$G$1118,3,0)</f>
        <v>Opened Stores</v>
      </c>
      <c r="I198" s="41" t="str">
        <f>VLOOKUP(C198,Stores!$A$200:$G$1118,4,0)</f>
        <v>Stage 7 - Installed</v>
      </c>
      <c r="J198" s="41" t="str">
        <f>VLOOKUP(C198,Stores!$A$200:$G$1118,5,0)</f>
        <v>ZKTECO</v>
      </c>
      <c r="K198" s="41" t="str">
        <f>VLOOKUP(C198,Stores!$A$200:$G$1118,6,0)</f>
        <v>ZKM62451700070</v>
      </c>
      <c r="L198" s="41" t="str">
        <f>VLOOKUP(C198,Stores!$A$200:$G$1118,7,0)</f>
        <v>192.168.1.201</v>
      </c>
      <c r="M198" s="42" t="s">
        <v>3204</v>
      </c>
    </row>
    <row r="199">
      <c r="A199" s="38" t="s">
        <v>2962</v>
      </c>
      <c r="B199" s="38" t="s">
        <v>3236</v>
      </c>
      <c r="C199" s="38" t="s">
        <v>1218</v>
      </c>
      <c r="D199" s="39" t="s">
        <v>1219</v>
      </c>
      <c r="E199" s="38" t="s">
        <v>3147</v>
      </c>
      <c r="F199" s="40"/>
      <c r="G199" s="40"/>
      <c r="H199" s="41" t="str">
        <f>VLOOKUP(C199,Stores!$A$200:$G$1118,3,0)</f>
        <v>Opened Stores</v>
      </c>
      <c r="I199" s="41" t="str">
        <f>VLOOKUP(C199,Stores!$A$200:$G$1118,4,0)</f>
        <v>Stage 7 - Installed</v>
      </c>
      <c r="J199" s="41" t="str">
        <f>VLOOKUP(C199,Stores!$A$200:$G$1118,5,0)</f>
        <v>ZKTECO</v>
      </c>
      <c r="K199" s="41" t="str">
        <f>VLOOKUP(C199,Stores!$A$200:$G$1118,6,0)</f>
        <v>AEYU082360203</v>
      </c>
      <c r="L199" s="41" t="str">
        <f>VLOOKUP(C199,Stores!$A$200:$G$1118,7,0)</f>
        <v>192.168.1.198</v>
      </c>
      <c r="M199" s="42" t="s">
        <v>3204</v>
      </c>
    </row>
    <row r="200">
      <c r="A200" s="38" t="s">
        <v>2962</v>
      </c>
      <c r="B200" s="38" t="s">
        <v>3237</v>
      </c>
      <c r="C200" s="38" t="s">
        <v>492</v>
      </c>
      <c r="D200" s="39" t="s">
        <v>493</v>
      </c>
      <c r="E200" s="38" t="s">
        <v>3147</v>
      </c>
      <c r="F200" s="40"/>
      <c r="G200" s="40"/>
      <c r="H200" s="41" t="str">
        <f>VLOOKUP(C200,Stores!$A$200:$G$1118,3,0)</f>
        <v>Opened Stores</v>
      </c>
      <c r="I200" s="41" t="str">
        <f>VLOOKUP(C200,Stores!$A$200:$G$1118,4,0)</f>
        <v>Stage 7 - Installed</v>
      </c>
      <c r="J200" s="41" t="str">
        <f>VLOOKUP(C200,Stores!$A$200:$G$1118,5,0)</f>
        <v>ZKTECO</v>
      </c>
      <c r="K200" s="41" t="str">
        <f>VLOOKUP(C200,Stores!$A$200:$G$1118,6,0)</f>
        <v>ZKM6245100285</v>
      </c>
      <c r="L200" s="41" t="str">
        <f>VLOOKUP(C200,Stores!$A$200:$G$1118,7,0)</f>
        <v>192.168.1.201</v>
      </c>
      <c r="M200" s="42" t="s">
        <v>3204</v>
      </c>
    </row>
    <row r="201">
      <c r="A201" s="38" t="s">
        <v>2962</v>
      </c>
      <c r="B201" s="38" t="s">
        <v>3238</v>
      </c>
      <c r="C201" s="38" t="s">
        <v>1499</v>
      </c>
      <c r="D201" s="39" t="s">
        <v>1500</v>
      </c>
      <c r="E201" s="38" t="s">
        <v>3147</v>
      </c>
      <c r="F201" s="40"/>
      <c r="G201" s="40"/>
      <c r="H201" s="41" t="str">
        <f>VLOOKUP(C201,Stores!$A$200:$G$1118,3,0)</f>
        <v>Opened Stores</v>
      </c>
      <c r="I201" s="41" t="str">
        <f>VLOOKUP(C201,Stores!$A$200:$G$1118,4,0)</f>
        <v>Stage 7 - Installed</v>
      </c>
      <c r="J201" s="41" t="str">
        <f>VLOOKUP(C201,Stores!$A$200:$G$1118,5,0)</f>
        <v>ZKTECO</v>
      </c>
      <c r="K201" s="41" t="str">
        <f>VLOOKUP(C201,Stores!$A$200:$G$1118,6,0)</f>
        <v>PAS4252500028</v>
      </c>
      <c r="L201" s="41" t="str">
        <f>VLOOKUP(C201,Stores!$A$200:$G$1118,7,0)</f>
        <v>192.168.1.201</v>
      </c>
      <c r="M201" s="42" t="s">
        <v>3204</v>
      </c>
    </row>
    <row r="202">
      <c r="A202" s="38" t="s">
        <v>2962</v>
      </c>
      <c r="B202" s="38" t="s">
        <v>3239</v>
      </c>
      <c r="C202" s="38" t="s">
        <v>2200</v>
      </c>
      <c r="D202" s="39" t="s">
        <v>2201</v>
      </c>
      <c r="E202" s="38" t="s">
        <v>3147</v>
      </c>
      <c r="F202" s="40"/>
      <c r="G202" s="40"/>
      <c r="H202" s="41" t="str">
        <f>VLOOKUP(C202,Stores!$A$200:$G$1118,3,0)</f>
        <v>Opened Stores</v>
      </c>
      <c r="I202" s="41" t="str">
        <f>VLOOKUP(C202,Stores!$A$200:$G$1118,4,0)</f>
        <v>Stage 7 - Installed</v>
      </c>
      <c r="J202" s="41" t="str">
        <f>VLOOKUP(C202,Stores!$A$200:$G$1118,5,0)</f>
        <v>ZKTECO</v>
      </c>
      <c r="K202" s="41" t="str">
        <f>VLOOKUP(C202,Stores!$A$200:$G$1118,6,0)</f>
        <v>AKDG012350206</v>
      </c>
      <c r="L202" s="41" t="str">
        <f>VLOOKUP(C202,Stores!$A$200:$G$1118,7,0)</f>
        <v>192.168.1.201</v>
      </c>
      <c r="M202" s="42" t="s">
        <v>3204</v>
      </c>
    </row>
    <row r="203">
      <c r="A203" s="38" t="s">
        <v>2962</v>
      </c>
      <c r="B203" s="38" t="s">
        <v>3240</v>
      </c>
      <c r="C203" s="38" t="s">
        <v>1060</v>
      </c>
      <c r="D203" s="39" t="s">
        <v>1061</v>
      </c>
      <c r="E203" s="38" t="s">
        <v>3147</v>
      </c>
      <c r="F203" s="40"/>
      <c r="G203" s="40"/>
      <c r="H203" s="41" t="str">
        <f>VLOOKUP(C203,Stores!$A$200:$G$1118,3,0)</f>
        <v>Opened Stores</v>
      </c>
      <c r="I203" s="41" t="str">
        <f>VLOOKUP(C203,Stores!$A$200:$G$1118,4,0)</f>
        <v>Stage 7 - Installed</v>
      </c>
      <c r="J203" s="41" t="str">
        <f>VLOOKUP(C203,Stores!$A$200:$G$1118,5,0)</f>
        <v>ZKTECO</v>
      </c>
      <c r="K203" s="41" t="str">
        <f>VLOOKUP(C203,Stores!$A$200:$G$1118,6,0)</f>
        <v>A8N5221960253</v>
      </c>
      <c r="L203" s="41" t="str">
        <f>VLOOKUP(C203,Stores!$A$200:$G$1118,7,0)</f>
        <v>192.168.1.201</v>
      </c>
      <c r="M203" s="42" t="s">
        <v>3204</v>
      </c>
    </row>
    <row r="204">
      <c r="A204" s="38" t="s">
        <v>2962</v>
      </c>
      <c r="B204" s="38" t="s">
        <v>3241</v>
      </c>
      <c r="C204" s="38" t="s">
        <v>886</v>
      </c>
      <c r="D204" s="39" t="s">
        <v>887</v>
      </c>
      <c r="E204" s="38" t="s">
        <v>3147</v>
      </c>
      <c r="F204" s="40"/>
      <c r="G204" s="40"/>
      <c r="H204" s="41" t="str">
        <f>VLOOKUP(C204,Stores!$A$200:$G$1118,3,0)</f>
        <v>Opened Stores</v>
      </c>
      <c r="I204" s="41" t="str">
        <f>VLOOKUP(C204,Stores!$A$200:$G$1118,4,0)</f>
        <v>Stage 7 - Installed</v>
      </c>
      <c r="J204" s="41" t="str">
        <f>VLOOKUP(C204,Stores!$A$200:$G$1118,5,0)</f>
        <v>FINGERTEC</v>
      </c>
      <c r="K204" s="41">
        <f>VLOOKUP(C204,Stores!$A$200:$G$1118,6,0)</f>
        <v>7425685</v>
      </c>
      <c r="L204" s="41" t="str">
        <f>VLOOKUP(C204,Stores!$A$200:$G$1118,7,0)</f>
        <v>192.168.1.201</v>
      </c>
      <c r="M204" s="42" t="s">
        <v>3204</v>
      </c>
    </row>
    <row r="205">
      <c r="A205" s="38" t="s">
        <v>2962</v>
      </c>
      <c r="B205" s="38" t="s">
        <v>3242</v>
      </c>
      <c r="C205" s="38" t="s">
        <v>1155</v>
      </c>
      <c r="D205" s="39" t="s">
        <v>1156</v>
      </c>
      <c r="E205" s="38" t="s">
        <v>3147</v>
      </c>
      <c r="F205" s="40"/>
      <c r="G205" s="40"/>
      <c r="H205" s="41" t="str">
        <f>VLOOKUP(C205,Stores!$A$200:$G$1118,3,0)</f>
        <v>Opened Stores</v>
      </c>
      <c r="I205" s="41" t="str">
        <f>VLOOKUP(C205,Stores!$A$200:$G$1118,4,0)</f>
        <v>Stage 7 - Installed</v>
      </c>
      <c r="J205" s="41" t="str">
        <f>VLOOKUP(C205,Stores!$A$200:$G$1118,5,0)</f>
        <v>ZKTECO</v>
      </c>
      <c r="K205" s="41" t="str">
        <f>VLOOKUP(C205,Stores!$A$200:$G$1118,6,0)</f>
        <v>ZKM6245100105</v>
      </c>
      <c r="L205" s="41" t="str">
        <f>VLOOKUP(C205,Stores!$A$200:$G$1118,7,0)</f>
        <v>192.168.1.201</v>
      </c>
      <c r="M205" s="42" t="s">
        <v>3204</v>
      </c>
    </row>
    <row r="206">
      <c r="A206" s="38" t="s">
        <v>2962</v>
      </c>
      <c r="B206" s="38" t="s">
        <v>3243</v>
      </c>
      <c r="C206" s="38" t="s">
        <v>460</v>
      </c>
      <c r="D206" s="39" t="s">
        <v>461</v>
      </c>
      <c r="E206" s="38" t="s">
        <v>3147</v>
      </c>
      <c r="F206" s="40"/>
      <c r="G206" s="40"/>
      <c r="H206" s="41" t="str">
        <f>VLOOKUP(C206,Stores!$A$200:$G$1118,3,0)</f>
        <v>Opened Stores</v>
      </c>
      <c r="I206" s="41" t="str">
        <f>VLOOKUP(C206,Stores!$A$200:$G$1118,4,0)</f>
        <v>Stage 7 - Installed</v>
      </c>
      <c r="J206" s="41" t="str">
        <f>VLOOKUP(C206,Stores!$A$200:$G$1118,5,0)</f>
        <v>FINGERTEC</v>
      </c>
      <c r="K206" s="41">
        <f>VLOOKUP(C206,Stores!$A$200:$G$1118,6,0)</f>
        <v>7417219</v>
      </c>
      <c r="L206" s="41" t="str">
        <f>VLOOKUP(C206,Stores!$A$200:$G$1118,7,0)</f>
        <v>192.168.1.201</v>
      </c>
      <c r="M206" s="42" t="s">
        <v>3204</v>
      </c>
    </row>
    <row r="207">
      <c r="A207" s="38" t="s">
        <v>2962</v>
      </c>
      <c r="B207" s="38" t="s">
        <v>3244</v>
      </c>
      <c r="C207" s="38" t="s">
        <v>2550</v>
      </c>
      <c r="D207" s="39" t="s">
        <v>2551</v>
      </c>
      <c r="E207" s="38" t="s">
        <v>3147</v>
      </c>
      <c r="F207" s="40"/>
      <c r="G207" s="40"/>
      <c r="H207" s="41" t="str">
        <f>VLOOKUP(C207,Stores!$A$200:$G$1118,3,0)</f>
        <v>Opened Stores</v>
      </c>
      <c r="I207" s="41" t="str">
        <f>VLOOKUP(C207,Stores!$A$200:$G$1118,4,0)</f>
        <v>Stage 7 - Installed</v>
      </c>
      <c r="J207" s="41" t="str">
        <f>VLOOKUP(C207,Stores!$A$200:$G$1118,5,0)</f>
        <v>ZKTECO</v>
      </c>
      <c r="K207" s="41" t="str">
        <f>VLOOKUP(C207,Stores!$A$200:$G$1118,6,0)</f>
        <v>ZKM6245100102</v>
      </c>
      <c r="L207" s="41" t="str">
        <f>VLOOKUP(C207,Stores!$A$200:$G$1118,7,0)</f>
        <v>192.168.1.201</v>
      </c>
      <c r="M207" s="42" t="s">
        <v>3204</v>
      </c>
    </row>
    <row r="208">
      <c r="A208" s="38" t="s">
        <v>2962</v>
      </c>
      <c r="B208" s="38" t="s">
        <v>3245</v>
      </c>
      <c r="C208" s="38" t="s">
        <v>2664</v>
      </c>
      <c r="D208" s="39" t="s">
        <v>2665</v>
      </c>
      <c r="E208" s="38" t="s">
        <v>3147</v>
      </c>
      <c r="F208" s="40"/>
      <c r="G208" s="40"/>
      <c r="H208" s="41" t="str">
        <f>VLOOKUP(C208,Stores!$A$200:$G$1118,3,0)</f>
        <v>Opened Stores</v>
      </c>
      <c r="I208" s="41" t="str">
        <f>VLOOKUP(C208,Stores!$A$200:$G$1118,4,0)</f>
        <v>Stage 7 - Installed</v>
      </c>
      <c r="J208" s="41" t="str">
        <f>VLOOKUP(C208,Stores!$A$200:$G$1118,5,0)</f>
        <v>ZKTECO</v>
      </c>
      <c r="K208" s="41" t="str">
        <f>VLOOKUP(C208,Stores!$A$200:$G$1118,6,0)</f>
        <v>ZKM6251700115</v>
      </c>
      <c r="L208" s="41" t="str">
        <f>VLOOKUP(C208,Stores!$A$200:$G$1118,7,0)</f>
        <v>192.168.1.201</v>
      </c>
      <c r="M208" s="42" t="s">
        <v>3204</v>
      </c>
    </row>
    <row r="209">
      <c r="A209" s="38" t="s">
        <v>2962</v>
      </c>
      <c r="B209" s="38" t="s">
        <v>3246</v>
      </c>
      <c r="C209" s="38" t="s">
        <v>714</v>
      </c>
      <c r="D209" s="39" t="s">
        <v>715</v>
      </c>
      <c r="E209" s="38" t="s">
        <v>3147</v>
      </c>
      <c r="F209" s="40"/>
      <c r="G209" s="40"/>
      <c r="H209" s="41" t="str">
        <f>VLOOKUP(C209,Stores!$A$200:$G$1118,3,0)</f>
        <v>Opened Stores</v>
      </c>
      <c r="I209" s="41" t="str">
        <f>VLOOKUP(C209,Stores!$A$200:$G$1118,4,0)</f>
        <v>Stage 7 - Installed</v>
      </c>
      <c r="J209" s="41" t="str">
        <f>VLOOKUP(C209,Stores!$A$200:$G$1118,5,0)</f>
        <v>ZKTECO</v>
      </c>
      <c r="K209" s="41" t="str">
        <f>VLOOKUP(C209,Stores!$A$200:$G$1118,6,0)</f>
        <v>ZKM6245100122</v>
      </c>
      <c r="L209" s="41" t="str">
        <f>VLOOKUP(C209,Stores!$A$200:$G$1118,7,0)</f>
        <v>192.168.1.201</v>
      </c>
      <c r="M209" s="42" t="s">
        <v>3204</v>
      </c>
    </row>
    <row r="210">
      <c r="A210" s="38" t="s">
        <v>2962</v>
      </c>
      <c r="B210" s="38" t="s">
        <v>3247</v>
      </c>
      <c r="C210" s="38" t="s">
        <v>2272</v>
      </c>
      <c r="D210" s="39" t="s">
        <v>2273</v>
      </c>
      <c r="E210" s="38" t="s">
        <v>3147</v>
      </c>
      <c r="F210" s="40"/>
      <c r="G210" s="40"/>
      <c r="H210" s="41" t="str">
        <f>VLOOKUP(C210,Stores!$A$200:$G$1118,3,0)</f>
        <v>Opened Stores</v>
      </c>
      <c r="I210" s="41" t="str">
        <f>VLOOKUP(C210,Stores!$A$200:$G$1118,4,0)</f>
        <v>Stage 7 - Installed</v>
      </c>
      <c r="J210" s="41" t="str">
        <f>VLOOKUP(C210,Stores!$A$200:$G$1118,5,0)</f>
        <v>ZKTECO</v>
      </c>
      <c r="K210" s="41" t="str">
        <f>VLOOKUP(C210,Stores!$A$200:$G$1118,6,0)</f>
        <v>ZKM6245100138</v>
      </c>
      <c r="L210" s="41" t="str">
        <f>VLOOKUP(C210,Stores!$A$200:$G$1118,7,0)</f>
        <v>192.168.1.201</v>
      </c>
      <c r="M210" s="42" t="s">
        <v>3204</v>
      </c>
    </row>
    <row r="211">
      <c r="A211" s="38" t="s">
        <v>2962</v>
      </c>
      <c r="B211" s="38" t="s">
        <v>3248</v>
      </c>
      <c r="C211" s="38" t="s">
        <v>2796</v>
      </c>
      <c r="D211" s="39" t="s">
        <v>2797</v>
      </c>
      <c r="E211" s="38" t="s">
        <v>3147</v>
      </c>
      <c r="F211" s="40"/>
      <c r="G211" s="40"/>
      <c r="H211" s="41" t="str">
        <f>VLOOKUP(C211,Stores!$A$200:$G$1118,3,0)</f>
        <v>Opened Stores</v>
      </c>
      <c r="I211" s="41" t="str">
        <f>VLOOKUP(C211,Stores!$A$200:$G$1118,4,0)</f>
        <v>Stage 7 - Installed</v>
      </c>
      <c r="J211" s="41" t="str">
        <f>VLOOKUP(C211,Stores!$A$200:$G$1118,5,0)</f>
        <v>ZKTECO</v>
      </c>
      <c r="K211" s="41" t="str">
        <f>VLOOKUP(C211,Stores!$A$200:$G$1118,6,0)</f>
        <v>ZKM6251700036</v>
      </c>
      <c r="L211" s="41" t="str">
        <f>VLOOKUP(C211,Stores!$A$200:$G$1118,7,0)</f>
        <v>192.168.1.201</v>
      </c>
      <c r="M211" s="42" t="s">
        <v>3204</v>
      </c>
    </row>
    <row r="212">
      <c r="A212" s="38" t="s">
        <v>2962</v>
      </c>
      <c r="B212" s="38" t="s">
        <v>3249</v>
      </c>
      <c r="C212" s="38" t="s">
        <v>610</v>
      </c>
      <c r="D212" s="39" t="s">
        <v>3250</v>
      </c>
      <c r="E212" s="38" t="s">
        <v>3147</v>
      </c>
      <c r="F212" s="40"/>
      <c r="G212" s="40"/>
      <c r="H212" s="41" t="str">
        <f>VLOOKUP(C212,Stores!$A$200:$G$1118,3,0)</f>
        <v>Opened Stores</v>
      </c>
      <c r="I212" s="41" t="str">
        <f>VLOOKUP(C212,Stores!$A$200:$G$1118,4,0)</f>
        <v>Stage 7 - Installed</v>
      </c>
      <c r="J212" s="41" t="str">
        <f>VLOOKUP(C212,Stores!$A$200:$G$1118,5,0)</f>
        <v>FINGERTEC</v>
      </c>
      <c r="K212" s="41">
        <f>VLOOKUP(C212,Stores!$A$200:$G$1118,6,0)</f>
        <v>7421815</v>
      </c>
      <c r="L212" s="41" t="str">
        <f>VLOOKUP(C212,Stores!$A$200:$G$1118,7,0)</f>
        <v>192.168.1.201</v>
      </c>
      <c r="M212" s="42" t="s">
        <v>3204</v>
      </c>
    </row>
    <row r="213">
      <c r="A213" s="38" t="s">
        <v>2962</v>
      </c>
      <c r="B213" s="38" t="s">
        <v>3251</v>
      </c>
      <c r="C213" s="38" t="s">
        <v>435</v>
      </c>
      <c r="D213" s="39" t="s">
        <v>436</v>
      </c>
      <c r="E213" s="38" t="s">
        <v>3147</v>
      </c>
      <c r="F213" s="40"/>
      <c r="G213" s="40"/>
      <c r="H213" s="41" t="str">
        <f>VLOOKUP(C213,Stores!$A$200:$G$1118,3,0)</f>
        <v>Opened Stores</v>
      </c>
      <c r="I213" s="41" t="str">
        <f>VLOOKUP(C213,Stores!$A$200:$G$1118,4,0)</f>
        <v>Stage 7 - Installed</v>
      </c>
      <c r="J213" s="41" t="str">
        <f>VLOOKUP(C213,Stores!$A$200:$G$1118,5,0)</f>
        <v>FINGERTEC</v>
      </c>
      <c r="K213" s="41">
        <f>VLOOKUP(C213,Stores!$A$200:$G$1118,6,0)</f>
        <v>7415890</v>
      </c>
      <c r="L213" s="41" t="str">
        <f>VLOOKUP(C213,Stores!$A$200:$G$1118,7,0)</f>
        <v>192.168.1.201</v>
      </c>
      <c r="M213" s="42" t="s">
        <v>3204</v>
      </c>
    </row>
    <row r="214">
      <c r="A214" s="38" t="s">
        <v>2962</v>
      </c>
      <c r="B214" s="38" t="s">
        <v>3252</v>
      </c>
      <c r="C214" s="38" t="s">
        <v>819</v>
      </c>
      <c r="D214" s="39" t="s">
        <v>820</v>
      </c>
      <c r="E214" s="38" t="s">
        <v>3147</v>
      </c>
      <c r="F214" s="40"/>
      <c r="G214" s="40"/>
      <c r="H214" s="41" t="str">
        <f>VLOOKUP(C214,Stores!$A$200:$G$1118,3,0)</f>
        <v>Opened Stores</v>
      </c>
      <c r="I214" s="41" t="str">
        <f>VLOOKUP(C214,Stores!$A$200:$G$1118,4,0)</f>
        <v>Stage 7 - Installed</v>
      </c>
      <c r="J214" s="41" t="str">
        <f>VLOOKUP(C214,Stores!$A$200:$G$1118,5,0)</f>
        <v>FINGERTEC</v>
      </c>
      <c r="K214" s="41">
        <f>VLOOKUP(C214,Stores!$A$200:$G$1118,6,0)</f>
        <v>7425396</v>
      </c>
      <c r="L214" s="41" t="str">
        <f>VLOOKUP(C214,Stores!$A$200:$G$1118,7,0)</f>
        <v>192.168.1.201</v>
      </c>
      <c r="M214" s="42" t="s">
        <v>3204</v>
      </c>
    </row>
    <row r="215">
      <c r="A215" s="38" t="s">
        <v>2962</v>
      </c>
      <c r="B215" s="38" t="s">
        <v>3253</v>
      </c>
      <c r="C215" s="38" t="s">
        <v>1633</v>
      </c>
      <c r="D215" s="39" t="s">
        <v>1634</v>
      </c>
      <c r="E215" s="38" t="s">
        <v>3147</v>
      </c>
      <c r="F215" s="40"/>
      <c r="G215" s="40"/>
      <c r="H215" s="41" t="str">
        <f>VLOOKUP(C215,Stores!$A$200:$G$1118,3,0)</f>
        <v>Opened Stores</v>
      </c>
      <c r="I215" s="41" t="str">
        <f>VLOOKUP(C215,Stores!$A$200:$G$1118,4,0)</f>
        <v>Stage 7 - Installed</v>
      </c>
      <c r="J215" s="41" t="str">
        <f>VLOOKUP(C215,Stores!$A$200:$G$1118,5,0)</f>
        <v>ZKTECO</v>
      </c>
      <c r="K215" s="41" t="str">
        <f>VLOOKUP(C215,Stores!$A$200:$G$1118,6,0)</f>
        <v>AEYU082360285</v>
      </c>
      <c r="L215" s="41" t="str">
        <f>VLOOKUP(C215,Stores!$A$200:$G$1118,7,0)</f>
        <v>192.168.1.201</v>
      </c>
      <c r="M215" s="42" t="s">
        <v>3204</v>
      </c>
    </row>
    <row r="216">
      <c r="A216" s="38" t="s">
        <v>2962</v>
      </c>
      <c r="B216" s="38" t="s">
        <v>3254</v>
      </c>
      <c r="C216" s="38" t="s">
        <v>1033</v>
      </c>
      <c r="D216" s="39" t="s">
        <v>1034</v>
      </c>
      <c r="E216" s="38" t="s">
        <v>3147</v>
      </c>
      <c r="F216" s="40"/>
      <c r="G216" s="40"/>
      <c r="H216" s="41" t="str">
        <f>VLOOKUP(C216,Stores!$A$200:$G$1118,3,0)</f>
        <v>Opened Stores</v>
      </c>
      <c r="I216" s="41" t="str">
        <f>VLOOKUP(C216,Stores!$A$200:$G$1118,4,0)</f>
        <v>Stage 7 - Installed</v>
      </c>
      <c r="J216" s="41" t="str">
        <f>VLOOKUP(C216,Stores!$A$200:$G$1118,5,0)</f>
        <v>ZKTECO</v>
      </c>
      <c r="K216" s="41" t="str">
        <f>VLOOKUP(C216,Stores!$A$200:$G$1118,6,0)</f>
        <v>A8N5221860515</v>
      </c>
      <c r="L216" s="41" t="str">
        <f>VLOOKUP(C216,Stores!$A$200:$G$1118,7,0)</f>
        <v>192.168.1.201</v>
      </c>
      <c r="M216" s="42" t="s">
        <v>3204</v>
      </c>
    </row>
    <row r="217">
      <c r="A217" s="38" t="s">
        <v>2962</v>
      </c>
      <c r="B217" s="38" t="s">
        <v>3255</v>
      </c>
      <c r="C217" s="38" t="s">
        <v>2191</v>
      </c>
      <c r="D217" s="39" t="s">
        <v>2192</v>
      </c>
      <c r="E217" s="38" t="s">
        <v>3147</v>
      </c>
      <c r="F217" s="40"/>
      <c r="G217" s="40"/>
      <c r="H217" s="41" t="str">
        <f>VLOOKUP(C217,Stores!$A$200:$G$1118,3,0)</f>
        <v>Opened Stores</v>
      </c>
      <c r="I217" s="41" t="str">
        <f>VLOOKUP(C217,Stores!$A$200:$G$1118,4,0)</f>
        <v>Stage 7 - Installed</v>
      </c>
      <c r="J217" s="41" t="str">
        <f>VLOOKUP(C217,Stores!$A$200:$G$1118,5,0)</f>
        <v>ZKTECO</v>
      </c>
      <c r="K217" s="41" t="str">
        <f>VLOOKUP(C217,Stores!$A$200:$G$1118,6,0)</f>
        <v>CQUJ233560676</v>
      </c>
      <c r="L217" s="41" t="str">
        <f>VLOOKUP(C217,Stores!$A$200:$G$1118,7,0)</f>
        <v>192.168.1.201</v>
      </c>
      <c r="M217" s="42" t="s">
        <v>3204</v>
      </c>
    </row>
    <row r="218">
      <c r="A218" s="38" t="s">
        <v>2962</v>
      </c>
      <c r="B218" s="38" t="s">
        <v>3256</v>
      </c>
      <c r="C218" s="38" t="s">
        <v>2099</v>
      </c>
      <c r="D218" s="39" t="s">
        <v>2100</v>
      </c>
      <c r="E218" s="38" t="s">
        <v>3147</v>
      </c>
      <c r="F218" s="40"/>
      <c r="G218" s="40"/>
      <c r="H218" s="41" t="str">
        <f>VLOOKUP(C218,Stores!$A$200:$G$1118,3,0)</f>
        <v>Opened Stores</v>
      </c>
      <c r="I218" s="41" t="str">
        <f>VLOOKUP(C218,Stores!$A$200:$G$1118,4,0)</f>
        <v>Stage 7 - Installed</v>
      </c>
      <c r="J218" s="41" t="str">
        <f>VLOOKUP(C218,Stores!$A$200:$G$1118,5,0)</f>
        <v>ZKTECO</v>
      </c>
      <c r="K218" s="41" t="str">
        <f>VLOOKUP(C218,Stores!$A$200:$G$1118,6,0)</f>
        <v>CQUJ233561149</v>
      </c>
      <c r="L218" s="41" t="str">
        <f>VLOOKUP(C218,Stores!$A$200:$G$1118,7,0)</f>
        <v>192.168.1.201</v>
      </c>
      <c r="M218" s="42" t="s">
        <v>3204</v>
      </c>
    </row>
    <row r="219">
      <c r="A219" s="38" t="s">
        <v>2962</v>
      </c>
      <c r="B219" s="38" t="s">
        <v>3257</v>
      </c>
      <c r="C219" s="38" t="s">
        <v>693</v>
      </c>
      <c r="D219" s="39" t="s">
        <v>694</v>
      </c>
      <c r="E219" s="38" t="s">
        <v>3147</v>
      </c>
      <c r="F219" s="40"/>
      <c r="G219" s="40"/>
      <c r="H219" s="41" t="str">
        <f>VLOOKUP(C219,Stores!$A$200:$G$1118,3,0)</f>
        <v>Opened Stores</v>
      </c>
      <c r="I219" s="41" t="str">
        <f>VLOOKUP(C219,Stores!$A$200:$G$1118,4,0)</f>
        <v>Stage 7 - Installed</v>
      </c>
      <c r="J219" s="41" t="str">
        <f>VLOOKUP(C219,Stores!$A$200:$G$1118,5,0)</f>
        <v>FINGERTEC</v>
      </c>
      <c r="K219" s="41">
        <f>VLOOKUP(C219,Stores!$A$200:$G$1118,6,0)</f>
        <v>7423448</v>
      </c>
      <c r="L219" s="41" t="str">
        <f>VLOOKUP(C219,Stores!$A$200:$G$1118,7,0)</f>
        <v>192.168.1.201</v>
      </c>
      <c r="M219" s="42" t="s">
        <v>3204</v>
      </c>
    </row>
    <row r="220">
      <c r="A220" s="38" t="s">
        <v>2962</v>
      </c>
      <c r="B220" s="38" t="s">
        <v>3258</v>
      </c>
      <c r="C220" s="38" t="s">
        <v>444</v>
      </c>
      <c r="D220" s="39" t="s">
        <v>445</v>
      </c>
      <c r="E220" s="38" t="s">
        <v>3147</v>
      </c>
      <c r="F220" s="40"/>
      <c r="G220" s="40"/>
      <c r="H220" s="41" t="str">
        <f>VLOOKUP(C220,Stores!$A$200:$G$1118,3,0)</f>
        <v>Opened Stores</v>
      </c>
      <c r="I220" s="41" t="str">
        <f>VLOOKUP(C220,Stores!$A$200:$G$1118,4,0)</f>
        <v>Stage 7 - Installed</v>
      </c>
      <c r="J220" s="41" t="str">
        <f>VLOOKUP(C220,Stores!$A$200:$G$1118,5,0)</f>
        <v>ZKTECO</v>
      </c>
      <c r="K220" s="41" t="str">
        <f>VLOOKUP(C220,Stores!$A$200:$G$1118,6,0)</f>
        <v>PAS4253000047</v>
      </c>
      <c r="L220" s="41" t="str">
        <f>VLOOKUP(C220,Stores!$A$200:$G$1118,7,0)</f>
        <v>192.168.1.201</v>
      </c>
      <c r="M220" s="42" t="s">
        <v>3204</v>
      </c>
    </row>
    <row r="221">
      <c r="A221" s="38" t="s">
        <v>2962</v>
      </c>
      <c r="B221" s="38" t="s">
        <v>3259</v>
      </c>
      <c r="C221" s="38" t="s">
        <v>1430</v>
      </c>
      <c r="D221" s="39" t="s">
        <v>1431</v>
      </c>
      <c r="E221" s="38" t="s">
        <v>3147</v>
      </c>
      <c r="F221" s="40"/>
      <c r="G221" s="40"/>
      <c r="H221" s="41" t="str">
        <f>VLOOKUP(C221,Stores!$A$200:$G$1118,3,0)</f>
        <v>Opened Stores</v>
      </c>
      <c r="I221" s="41" t="str">
        <f>VLOOKUP(C221,Stores!$A$200:$G$1118,4,0)</f>
        <v>Stage 7 - Installed</v>
      </c>
      <c r="J221" s="41" t="str">
        <f>VLOOKUP(C221,Stores!$A$200:$G$1118,5,0)</f>
        <v>ZKTECO</v>
      </c>
      <c r="K221" s="41" t="str">
        <f>VLOOKUP(C221,Stores!$A$200:$G$1118,6,0)</f>
        <v>AKDG012350220</v>
      </c>
      <c r="L221" s="41" t="str">
        <f>VLOOKUP(C221,Stores!$A$200:$G$1118,7,0)</f>
        <v>192.168.1.201</v>
      </c>
      <c r="M221" s="42" t="s">
        <v>3204</v>
      </c>
    </row>
    <row r="222">
      <c r="A222" s="38" t="s">
        <v>2962</v>
      </c>
      <c r="B222" s="38" t="s">
        <v>3260</v>
      </c>
      <c r="C222" s="38" t="s">
        <v>595</v>
      </c>
      <c r="D222" s="39" t="s">
        <v>596</v>
      </c>
      <c r="E222" s="38" t="s">
        <v>3147</v>
      </c>
      <c r="F222" s="40"/>
      <c r="G222" s="40"/>
      <c r="H222" s="41" t="str">
        <f>VLOOKUP(C222,Stores!$A$200:$G$1118,3,0)</f>
        <v>Opened Stores</v>
      </c>
      <c r="I222" s="41" t="str">
        <f>VLOOKUP(C222,Stores!$A$200:$G$1118,4,0)</f>
        <v>Stage 7 - Installed</v>
      </c>
      <c r="J222" s="41" t="str">
        <f>VLOOKUP(C222,Stores!$A$200:$G$1118,5,0)</f>
        <v>FINGERTEC</v>
      </c>
      <c r="K222" s="41">
        <f>VLOOKUP(C222,Stores!$A$200:$G$1118,6,0)</f>
        <v>7421814</v>
      </c>
      <c r="L222" s="41" t="str">
        <f>VLOOKUP(C222,Stores!$A$200:$G$1118,7,0)</f>
        <v>192.168.1.201</v>
      </c>
      <c r="M222" s="42" t="s">
        <v>3204</v>
      </c>
    </row>
    <row r="223">
      <c r="A223" s="38" t="s">
        <v>2962</v>
      </c>
      <c r="B223" s="38" t="s">
        <v>3261</v>
      </c>
      <c r="C223" s="38" t="s">
        <v>1000</v>
      </c>
      <c r="D223" s="39" t="s">
        <v>1001</v>
      </c>
      <c r="E223" s="38" t="s">
        <v>3147</v>
      </c>
      <c r="F223" s="40"/>
      <c r="G223" s="40"/>
      <c r="H223" s="41" t="str">
        <f>VLOOKUP(C223,Stores!$A$200:$G$1118,3,0)</f>
        <v>Opened Stores</v>
      </c>
      <c r="I223" s="41" t="str">
        <f>VLOOKUP(C223,Stores!$A$200:$G$1118,4,0)</f>
        <v>Stage 7 - Installed</v>
      </c>
      <c r="J223" s="41" t="str">
        <f>VLOOKUP(C223,Stores!$A$200:$G$1118,5,0)</f>
        <v>ZKTECO</v>
      </c>
      <c r="K223" s="41" t="str">
        <f>VLOOKUP(C223,Stores!$A$200:$G$1118,6,0)</f>
        <v>A8N5221960184</v>
      </c>
      <c r="L223" s="41" t="str">
        <f>VLOOKUP(C223,Stores!$A$200:$G$1118,7,0)</f>
        <v>192.168.1.201</v>
      </c>
      <c r="M223" s="42" t="s">
        <v>3204</v>
      </c>
    </row>
    <row r="224">
      <c r="A224" s="38" t="s">
        <v>2962</v>
      </c>
      <c r="B224" s="38" t="s">
        <v>3262</v>
      </c>
      <c r="C224" s="38" t="s">
        <v>2703</v>
      </c>
      <c r="D224" s="39" t="s">
        <v>3263</v>
      </c>
      <c r="E224" s="38" t="s">
        <v>3147</v>
      </c>
      <c r="F224" s="40"/>
      <c r="G224" s="40"/>
      <c r="H224" s="41" t="str">
        <f>VLOOKUP(C224,Stores!$A$200:$G$1118,3,0)</f>
        <v>Opened Stores</v>
      </c>
      <c r="I224" s="41" t="str">
        <f>VLOOKUP(C224,Stores!$A$200:$G$1118,4,0)</f>
        <v>Stage 7 - Installed</v>
      </c>
      <c r="J224" s="41" t="str">
        <f>VLOOKUP(C224,Stores!$A$200:$G$1118,5,0)</f>
        <v>ZKTECO</v>
      </c>
      <c r="K224" s="41" t="str">
        <f>VLOOKUP(C224,Stores!$A$200:$G$1118,6,0)</f>
        <v>ZKM6251500297</v>
      </c>
      <c r="L224" s="41" t="str">
        <f>VLOOKUP(C224,Stores!$A$200:$G$1118,7,0)</f>
        <v>192.168.1.201</v>
      </c>
      <c r="M224" s="42" t="s">
        <v>3204</v>
      </c>
    </row>
    <row r="225">
      <c r="A225" s="38" t="s">
        <v>2962</v>
      </c>
      <c r="B225" s="38" t="s">
        <v>3264</v>
      </c>
      <c r="C225" s="38" t="s">
        <v>862</v>
      </c>
      <c r="D225" s="39" t="s">
        <v>863</v>
      </c>
      <c r="E225" s="38" t="s">
        <v>3147</v>
      </c>
      <c r="F225" s="40"/>
      <c r="G225" s="40"/>
      <c r="H225" s="41" t="str">
        <f>VLOOKUP(C225,Stores!$A$200:$G$1118,3,0)</f>
        <v>Opened Stores</v>
      </c>
      <c r="I225" s="41" t="str">
        <f>VLOOKUP(C225,Stores!$A$200:$G$1118,4,0)</f>
        <v>Stage 7 - Installed</v>
      </c>
      <c r="J225" s="41" t="str">
        <f>VLOOKUP(C225,Stores!$A$200:$G$1118,5,0)</f>
        <v>FINGERTEC</v>
      </c>
      <c r="K225" s="41">
        <f>VLOOKUP(C225,Stores!$A$200:$G$1118,6,0)</f>
        <v>7425649</v>
      </c>
      <c r="L225" s="41" t="str">
        <f>VLOOKUP(C225,Stores!$A$200:$G$1118,7,0)</f>
        <v>192.168.1.201</v>
      </c>
      <c r="M225" s="42" t="s">
        <v>3204</v>
      </c>
    </row>
    <row r="226">
      <c r="A226" s="38" t="s">
        <v>2962</v>
      </c>
      <c r="B226" s="38" t="s">
        <v>3265</v>
      </c>
      <c r="C226" s="38" t="s">
        <v>1285</v>
      </c>
      <c r="D226" s="39" t="s">
        <v>1286</v>
      </c>
      <c r="E226" s="38" t="s">
        <v>3147</v>
      </c>
      <c r="F226" s="40"/>
      <c r="G226" s="40"/>
      <c r="H226" s="41" t="str">
        <f>VLOOKUP(C226,Stores!$A$200:$G$1118,3,0)</f>
        <v>Opened Stores</v>
      </c>
      <c r="I226" s="41" t="str">
        <f>VLOOKUP(C226,Stores!$A$200:$G$1118,4,0)</f>
        <v>Stage 7 - Installed</v>
      </c>
      <c r="J226" s="41" t="str">
        <f>VLOOKUP(C226,Stores!$A$200:$G$1118,5,0)</f>
        <v>ZKTECO</v>
      </c>
      <c r="K226" s="41" t="str">
        <f>VLOOKUP(C226,Stores!$A$200:$G$1118,6,0)</f>
        <v>AKDG012351707</v>
      </c>
      <c r="L226" s="41" t="str">
        <f>VLOOKUP(C226,Stores!$A$200:$G$1118,7,0)</f>
        <v>192.168.1.201</v>
      </c>
      <c r="M226" s="42" t="s">
        <v>3204</v>
      </c>
    </row>
    <row r="227">
      <c r="A227" s="38" t="s">
        <v>2962</v>
      </c>
      <c r="B227" s="38" t="s">
        <v>3266</v>
      </c>
      <c r="C227" s="38" t="s">
        <v>790</v>
      </c>
      <c r="D227" s="39" t="s">
        <v>791</v>
      </c>
      <c r="E227" s="38" t="s">
        <v>3147</v>
      </c>
      <c r="F227" s="40"/>
      <c r="G227" s="40"/>
      <c r="H227" s="41" t="str">
        <f>VLOOKUP(C227,Stores!$A$200:$G$1118,3,0)</f>
        <v>Opened Stores</v>
      </c>
      <c r="I227" s="41" t="str">
        <f>VLOOKUP(C227,Stores!$A$200:$G$1118,4,0)</f>
        <v>Stage 7 - Installed</v>
      </c>
      <c r="J227" s="41" t="str">
        <f>VLOOKUP(C227,Stores!$A$200:$G$1118,5,0)</f>
        <v>FINGERTEC</v>
      </c>
      <c r="K227" s="41">
        <f>VLOOKUP(C227,Stores!$A$200:$G$1118,6,0)</f>
        <v>7425409</v>
      </c>
      <c r="L227" s="41" t="str">
        <f>VLOOKUP(C227,Stores!$A$200:$G$1118,7,0)</f>
        <v>192.168.1.201</v>
      </c>
      <c r="M227" s="42" t="s">
        <v>3204</v>
      </c>
    </row>
    <row r="228">
      <c r="A228" s="38" t="s">
        <v>2962</v>
      </c>
      <c r="B228" s="38" t="s">
        <v>3267</v>
      </c>
      <c r="C228" s="38" t="s">
        <v>604</v>
      </c>
      <c r="D228" s="39" t="s">
        <v>605</v>
      </c>
      <c r="E228" s="38" t="s">
        <v>3147</v>
      </c>
      <c r="F228" s="40"/>
      <c r="G228" s="40"/>
      <c r="H228" s="41" t="str">
        <f>VLOOKUP(C228,Stores!$A$200:$G$1118,3,0)</f>
        <v>Opened Stores</v>
      </c>
      <c r="I228" s="41" t="str">
        <f>VLOOKUP(C228,Stores!$A$200:$G$1118,4,0)</f>
        <v>Stage 7 - Installed</v>
      </c>
      <c r="J228" s="41" t="str">
        <f>VLOOKUP(C228,Stores!$A$200:$G$1118,5,0)</f>
        <v>FINGERTEC</v>
      </c>
      <c r="K228" s="41">
        <f>VLOOKUP(C228,Stores!$A$200:$G$1118,6,0)</f>
        <v>7420089</v>
      </c>
      <c r="L228" s="41" t="str">
        <f>VLOOKUP(C228,Stores!$A$200:$G$1118,7,0)</f>
        <v>192.168.1.201</v>
      </c>
      <c r="M228" s="42" t="s">
        <v>3204</v>
      </c>
    </row>
    <row r="229">
      <c r="A229" s="38" t="s">
        <v>2962</v>
      </c>
      <c r="B229" s="38" t="s">
        <v>3268</v>
      </c>
      <c r="C229" s="38" t="s">
        <v>1039</v>
      </c>
      <c r="D229" s="39" t="s">
        <v>1040</v>
      </c>
      <c r="E229" s="38" t="s">
        <v>3147</v>
      </c>
      <c r="F229" s="40"/>
      <c r="G229" s="40"/>
      <c r="H229" s="41" t="str">
        <f>VLOOKUP(C229,Stores!$A$200:$G$1118,3,0)</f>
        <v>Opened Stores</v>
      </c>
      <c r="I229" s="41" t="str">
        <f>VLOOKUP(C229,Stores!$A$200:$G$1118,4,0)</f>
        <v>Stage 7 - Installed</v>
      </c>
      <c r="J229" s="41" t="str">
        <f>VLOOKUP(C229,Stores!$A$200:$G$1118,5,0)</f>
        <v>ZKTECO</v>
      </c>
      <c r="K229" s="41" t="str">
        <f>VLOOKUP(C229,Stores!$A$200:$G$1118,6,0)</f>
        <v>A8N5221860486</v>
      </c>
      <c r="L229" s="41" t="str">
        <f>VLOOKUP(C229,Stores!$A$200:$G$1118,7,0)</f>
        <v>192.168.1.201</v>
      </c>
      <c r="M229" s="42" t="s">
        <v>3204</v>
      </c>
    </row>
    <row r="230">
      <c r="A230" s="38" t="s">
        <v>2962</v>
      </c>
      <c r="B230" s="38" t="s">
        <v>3269</v>
      </c>
      <c r="C230" s="38" t="s">
        <v>2411</v>
      </c>
      <c r="D230" s="39" t="s">
        <v>3270</v>
      </c>
      <c r="E230" s="38" t="s">
        <v>3147</v>
      </c>
      <c r="F230" s="40"/>
      <c r="G230" s="40"/>
      <c r="H230" s="41" t="str">
        <f>VLOOKUP(C230,Stores!$A$200:$G$1118,3,0)</f>
        <v>Opened Stores</v>
      </c>
      <c r="I230" s="41" t="str">
        <f>VLOOKUP(C230,Stores!$A$200:$G$1118,4,0)</f>
        <v>Stage 7 - Installed</v>
      </c>
      <c r="J230" s="41" t="str">
        <f>VLOOKUP(C230,Stores!$A$200:$G$1118,5,0)</f>
        <v>ZKTECO</v>
      </c>
      <c r="K230" s="41" t="str">
        <f>VLOOKUP(C230,Stores!$A$200:$G$1118,6,0)</f>
        <v>ZKM6245100279</v>
      </c>
      <c r="L230" s="41" t="str">
        <f>VLOOKUP(C230,Stores!$A$200:$G$1118,7,0)</f>
        <v>192.168.1.201</v>
      </c>
      <c r="M230" s="42" t="s">
        <v>3204</v>
      </c>
    </row>
    <row r="231">
      <c r="A231" s="38" t="s">
        <v>2962</v>
      </c>
      <c r="B231" s="38" t="s">
        <v>3271</v>
      </c>
      <c r="C231" s="38" t="s">
        <v>1511</v>
      </c>
      <c r="D231" s="39" t="s">
        <v>1512</v>
      </c>
      <c r="E231" s="38" t="s">
        <v>3147</v>
      </c>
      <c r="F231" s="40"/>
      <c r="G231" s="40"/>
      <c r="H231" s="41" t="str">
        <f>VLOOKUP(C231,Stores!$A$200:$G$1118,3,0)</f>
        <v>Opened Stores</v>
      </c>
      <c r="I231" s="41" t="str">
        <f>VLOOKUP(C231,Stores!$A$200:$G$1118,4,0)</f>
        <v>Stage 7 - Installed</v>
      </c>
      <c r="J231" s="41" t="str">
        <f>VLOOKUP(C231,Stores!$A$200:$G$1118,5,0)</f>
        <v>ZKTECO</v>
      </c>
      <c r="K231" s="41" t="str">
        <f>VLOOKUP(C231,Stores!$A$200:$G$1118,6,0)</f>
        <v>ZKM6245100181</v>
      </c>
      <c r="L231" s="41" t="str">
        <f>VLOOKUP(C231,Stores!$A$200:$G$1118,7,0)</f>
        <v>192.168.1.201</v>
      </c>
      <c r="M231" s="42" t="s">
        <v>3204</v>
      </c>
    </row>
    <row r="232">
      <c r="A232" s="38" t="s">
        <v>2962</v>
      </c>
      <c r="B232" s="38" t="s">
        <v>3272</v>
      </c>
      <c r="C232" s="38" t="s">
        <v>1104</v>
      </c>
      <c r="D232" s="39" t="s">
        <v>1105</v>
      </c>
      <c r="E232" s="38" t="s">
        <v>3147</v>
      </c>
      <c r="F232" s="40"/>
      <c r="G232" s="40"/>
      <c r="H232" s="41" t="str">
        <f>VLOOKUP(C232,Stores!$A$200:$G$1118,3,0)</f>
        <v>Opened Stores</v>
      </c>
      <c r="I232" s="41" t="str">
        <f>VLOOKUP(C232,Stores!$A$200:$G$1118,4,0)</f>
        <v>Stage 7 - Installed</v>
      </c>
      <c r="J232" s="41" t="str">
        <f>VLOOKUP(C232,Stores!$A$200:$G$1118,5,0)</f>
        <v>ZKTECO</v>
      </c>
      <c r="K232" s="41" t="str">
        <f>VLOOKUP(C232,Stores!$A$200:$G$1118,6,0)</f>
        <v>A8N5221960164</v>
      </c>
      <c r="L232" s="41" t="str">
        <f>VLOOKUP(C232,Stores!$A$200:$G$1118,7,0)</f>
        <v>192.168.1.201</v>
      </c>
      <c r="M232" s="42" t="s">
        <v>3204</v>
      </c>
    </row>
    <row r="233">
      <c r="A233" s="38" t="s">
        <v>2962</v>
      </c>
      <c r="B233" s="38" t="s">
        <v>3273</v>
      </c>
      <c r="C233" s="38" t="s">
        <v>786</v>
      </c>
      <c r="D233" s="39" t="s">
        <v>787</v>
      </c>
      <c r="E233" s="38" t="s">
        <v>3147</v>
      </c>
      <c r="F233" s="40"/>
      <c r="G233" s="40"/>
      <c r="H233" s="41" t="str">
        <f>VLOOKUP(C233,Stores!$A$200:$G$1118,3,0)</f>
        <v>Opened Stores</v>
      </c>
      <c r="I233" s="41" t="str">
        <f>VLOOKUP(C233,Stores!$A$200:$G$1118,4,0)</f>
        <v>Stage 7 - Installed</v>
      </c>
      <c r="J233" s="41" t="str">
        <f>VLOOKUP(C233,Stores!$A$200:$G$1118,5,0)</f>
        <v>FINGERTEC</v>
      </c>
      <c r="K233" s="41">
        <f>VLOOKUP(C233,Stores!$A$200:$G$1118,6,0)</f>
        <v>7425404</v>
      </c>
      <c r="L233" s="41" t="str">
        <f>VLOOKUP(C233,Stores!$A$200:$G$1118,7,0)</f>
        <v>192.168.1.201</v>
      </c>
      <c r="M233" s="42" t="s">
        <v>3204</v>
      </c>
    </row>
    <row r="234">
      <c r="A234" s="38" t="s">
        <v>2962</v>
      </c>
      <c r="B234" s="38" t="s">
        <v>3274</v>
      </c>
      <c r="C234" s="38" t="s">
        <v>1573</v>
      </c>
      <c r="D234" s="39" t="s">
        <v>1574</v>
      </c>
      <c r="E234" s="38" t="s">
        <v>3147</v>
      </c>
      <c r="F234" s="40"/>
      <c r="G234" s="40"/>
      <c r="H234" s="41" t="str">
        <f>VLOOKUP(C234,Stores!$A$200:$G$1118,3,0)</f>
        <v>Opened Stores</v>
      </c>
      <c r="I234" s="41" t="str">
        <f>VLOOKUP(C234,Stores!$A$200:$G$1118,4,0)</f>
        <v>Stage 7 - Installed</v>
      </c>
      <c r="J234" s="41" t="str">
        <f>VLOOKUP(C234,Stores!$A$200:$G$1118,5,0)</f>
        <v>ZKTECO</v>
      </c>
      <c r="K234" s="41" t="str">
        <f>VLOOKUP(C234,Stores!$A$200:$G$1118,6,0)</f>
        <v>AEYU082360254</v>
      </c>
      <c r="L234" s="41" t="str">
        <f>VLOOKUP(C234,Stores!$A$200:$G$1118,7,0)</f>
        <v>192.168.1.201</v>
      </c>
      <c r="M234" s="42" t="s">
        <v>3204</v>
      </c>
    </row>
    <row r="235">
      <c r="A235" s="38" t="s">
        <v>2962</v>
      </c>
      <c r="B235" s="38" t="s">
        <v>3275</v>
      </c>
      <c r="C235" s="38" t="s">
        <v>2281</v>
      </c>
      <c r="D235" s="39" t="s">
        <v>3276</v>
      </c>
      <c r="E235" s="38" t="s">
        <v>3147</v>
      </c>
      <c r="F235" s="40"/>
      <c r="G235" s="40"/>
      <c r="H235" s="41" t="str">
        <f>VLOOKUP(C235,Stores!$A$200:$G$1118,3,0)</f>
        <v>Opened Stores</v>
      </c>
      <c r="I235" s="41" t="str">
        <f>VLOOKUP(C235,Stores!$A$200:$G$1118,4,0)</f>
        <v>Stage 7 - Installed</v>
      </c>
      <c r="J235" s="41" t="str">
        <f>VLOOKUP(C235,Stores!$A$200:$G$1118,5,0)</f>
        <v>ZKTECO</v>
      </c>
      <c r="K235" s="41" t="str">
        <f>VLOOKUP(C235,Stores!$A$200:$G$1118,6,0)</f>
        <v>CQUJ233560419</v>
      </c>
      <c r="L235" s="41" t="str">
        <f>VLOOKUP(C235,Stores!$A$200:$G$1118,7,0)</f>
        <v>192.168.1.201</v>
      </c>
      <c r="M235" s="42" t="s">
        <v>3204</v>
      </c>
    </row>
    <row r="236">
      <c r="A236" s="38" t="s">
        <v>2962</v>
      </c>
      <c r="B236" s="38" t="s">
        <v>3277</v>
      </c>
      <c r="C236" s="38" t="s">
        <v>2423</v>
      </c>
      <c r="D236" s="39" t="s">
        <v>3278</v>
      </c>
      <c r="E236" s="38" t="s">
        <v>3147</v>
      </c>
      <c r="F236" s="40"/>
      <c r="G236" s="40"/>
      <c r="H236" s="41" t="str">
        <f>VLOOKUP(C236,Stores!$A$200:$G$1118,3,0)</f>
        <v>Opened Stores</v>
      </c>
      <c r="I236" s="41" t="str">
        <f>VLOOKUP(C236,Stores!$A$200:$G$1118,4,0)</f>
        <v>Stage 7 - Installed</v>
      </c>
      <c r="J236" s="41" t="str">
        <f>VLOOKUP(C236,Stores!$A$200:$G$1118,5,0)</f>
        <v>ZKTECO</v>
      </c>
      <c r="K236" s="41" t="str">
        <f>VLOOKUP(C236,Stores!$A$200:$G$1118,6,0)</f>
        <v>ZKM6245100406</v>
      </c>
      <c r="L236" s="41" t="str">
        <f>VLOOKUP(C236,Stores!$A$200:$G$1118,7,0)</f>
        <v>192.168.1.201</v>
      </c>
      <c r="M236" s="42" t="s">
        <v>3204</v>
      </c>
    </row>
    <row r="237">
      <c r="A237" s="38" t="s">
        <v>2962</v>
      </c>
      <c r="B237" s="38" t="s">
        <v>3279</v>
      </c>
      <c r="C237" s="38" t="s">
        <v>2315</v>
      </c>
      <c r="D237" s="39" t="s">
        <v>3280</v>
      </c>
      <c r="E237" s="38" t="s">
        <v>3147</v>
      </c>
      <c r="F237" s="40"/>
      <c r="G237" s="40"/>
      <c r="H237" s="41" t="str">
        <f>VLOOKUP(C237,Stores!$A$200:$G$1118,3,0)</f>
        <v>Opened Stores</v>
      </c>
      <c r="I237" s="41" t="str">
        <f>VLOOKUP(C237,Stores!$A$200:$G$1118,4,0)</f>
        <v>Stage 7 - Installed</v>
      </c>
      <c r="J237" s="41" t="str">
        <f>VLOOKUP(C237,Stores!$A$200:$G$1118,5,0)</f>
        <v>ZKTECO</v>
      </c>
      <c r="K237" s="41" t="str">
        <f>VLOOKUP(C237,Stores!$A$200:$G$1118,6,0)</f>
        <v>ZKM6245100266</v>
      </c>
      <c r="L237" s="41" t="str">
        <f>VLOOKUP(C237,Stores!$A$200:$G$1118,7,0)</f>
        <v>192.168.1.201</v>
      </c>
      <c r="M237" s="42" t="s">
        <v>3204</v>
      </c>
    </row>
    <row r="238">
      <c r="A238" s="38" t="s">
        <v>2962</v>
      </c>
      <c r="B238" s="38" t="s">
        <v>3281</v>
      </c>
      <c r="C238" s="38" t="s">
        <v>852</v>
      </c>
      <c r="D238" s="39" t="s">
        <v>853</v>
      </c>
      <c r="E238" s="38" t="s">
        <v>3147</v>
      </c>
      <c r="F238" s="40"/>
      <c r="G238" s="40"/>
      <c r="H238" s="41" t="str">
        <f>VLOOKUP(C238,Stores!$A$200:$G$1118,3,0)</f>
        <v>Opened Stores</v>
      </c>
      <c r="I238" s="41" t="str">
        <f>VLOOKUP(C238,Stores!$A$200:$G$1118,4,0)</f>
        <v>Stage 7 - Installed</v>
      </c>
      <c r="J238" s="41" t="str">
        <f>VLOOKUP(C238,Stores!$A$200:$G$1118,5,0)</f>
        <v>FINGERTEC</v>
      </c>
      <c r="K238" s="41">
        <f>VLOOKUP(C238,Stores!$A$200:$G$1118,6,0)</f>
        <v>7425651</v>
      </c>
      <c r="L238" s="41" t="str">
        <f>VLOOKUP(C238,Stores!$A$200:$G$1118,7,0)</f>
        <v>192.168.1.201</v>
      </c>
      <c r="M238" s="42" t="s">
        <v>3204</v>
      </c>
    </row>
    <row r="239">
      <c r="A239" s="38" t="s">
        <v>2962</v>
      </c>
      <c r="B239" s="38" t="s">
        <v>3282</v>
      </c>
      <c r="C239" s="38" t="s">
        <v>831</v>
      </c>
      <c r="D239" s="39" t="s">
        <v>832</v>
      </c>
      <c r="E239" s="38" t="s">
        <v>3147</v>
      </c>
      <c r="F239" s="40"/>
      <c r="G239" s="40"/>
      <c r="H239" s="41" t="str">
        <f>VLOOKUP(C239,Stores!$A$200:$G$1118,3,0)</f>
        <v>Opened Stores</v>
      </c>
      <c r="I239" s="41" t="str">
        <f>VLOOKUP(C239,Stores!$A$200:$G$1118,4,0)</f>
        <v>Stage 7 - Installed</v>
      </c>
      <c r="J239" s="41" t="str">
        <f>VLOOKUP(C239,Stores!$A$200:$G$1118,5,0)</f>
        <v>FINGERTEC</v>
      </c>
      <c r="K239" s="41">
        <f>VLOOKUP(C239,Stores!$A$200:$G$1118,6,0)</f>
        <v>7425655</v>
      </c>
      <c r="L239" s="41" t="str">
        <f>VLOOKUP(C239,Stores!$A$200:$G$1118,7,0)</f>
        <v>192.168.1.201</v>
      </c>
      <c r="M239" s="42" t="s">
        <v>3204</v>
      </c>
    </row>
    <row r="240">
      <c r="A240" s="38" t="s">
        <v>2962</v>
      </c>
      <c r="B240" s="38" t="s">
        <v>3283</v>
      </c>
      <c r="C240" s="38" t="s">
        <v>833</v>
      </c>
      <c r="D240" s="39" t="s">
        <v>834</v>
      </c>
      <c r="E240" s="38" t="s">
        <v>3147</v>
      </c>
      <c r="F240" s="40"/>
      <c r="G240" s="40"/>
      <c r="H240" s="41" t="str">
        <f>VLOOKUP(C240,Stores!$A$200:$G$1118,3,0)</f>
        <v>Opened Stores</v>
      </c>
      <c r="I240" s="41" t="str">
        <f>VLOOKUP(C240,Stores!$A$200:$G$1118,4,0)</f>
        <v>Stage 7 - Installed</v>
      </c>
      <c r="J240" s="41" t="str">
        <f>VLOOKUP(C240,Stores!$A$200:$G$1118,5,0)</f>
        <v>FINGERTEC</v>
      </c>
      <c r="K240" s="41">
        <f>VLOOKUP(C240,Stores!$A$200:$G$1118,6,0)</f>
        <v>7425658</v>
      </c>
      <c r="L240" s="41" t="str">
        <f>VLOOKUP(C240,Stores!$A$200:$G$1118,7,0)</f>
        <v>192.168.1.201</v>
      </c>
      <c r="M240" s="42" t="s">
        <v>3204</v>
      </c>
    </row>
    <row r="241">
      <c r="A241" s="38" t="s">
        <v>2962</v>
      </c>
      <c r="B241" s="38" t="s">
        <v>3284</v>
      </c>
      <c r="C241" s="38" t="s">
        <v>1353</v>
      </c>
      <c r="D241" s="39" t="s">
        <v>1354</v>
      </c>
      <c r="E241" s="38" t="s">
        <v>3147</v>
      </c>
      <c r="F241" s="40"/>
      <c r="G241" s="40"/>
      <c r="H241" s="41" t="str">
        <f>VLOOKUP(C241,Stores!$A$200:$G$1118,3,0)</f>
        <v>Opened Stores</v>
      </c>
      <c r="I241" s="41" t="str">
        <f>VLOOKUP(C241,Stores!$A$200:$G$1118,4,0)</f>
        <v>Stage 7 - Installed</v>
      </c>
      <c r="J241" s="41" t="str">
        <f>VLOOKUP(C241,Stores!$A$200:$G$1118,5,0)</f>
        <v>ZKTECO</v>
      </c>
      <c r="K241" s="41" t="str">
        <f>VLOOKUP(C241,Stores!$A$200:$G$1118,6,0)</f>
        <v>AKDG012350239</v>
      </c>
      <c r="L241" s="41" t="str">
        <f>VLOOKUP(C241,Stores!$A$200:$G$1118,7,0)</f>
        <v>192.168.1.201</v>
      </c>
      <c r="M241" s="42" t="s">
        <v>3204</v>
      </c>
    </row>
    <row r="242">
      <c r="A242" s="38" t="s">
        <v>2962</v>
      </c>
      <c r="B242" s="38" t="s">
        <v>3285</v>
      </c>
      <c r="C242" s="38" t="s">
        <v>2817</v>
      </c>
      <c r="D242" s="39" t="s">
        <v>2818</v>
      </c>
      <c r="E242" s="38" t="s">
        <v>3147</v>
      </c>
      <c r="F242" s="40"/>
      <c r="G242" s="40"/>
      <c r="H242" s="41" t="str">
        <f>VLOOKUP(C242,Stores!$A$200:$G$1118,3,0)</f>
        <v>Opened Stores</v>
      </c>
      <c r="I242" s="41" t="str">
        <f>VLOOKUP(C242,Stores!$A$200:$G$1118,4,0)</f>
        <v>Stage 7 - Installed</v>
      </c>
      <c r="J242" s="41" t="str">
        <f>VLOOKUP(C242,Stores!$A$200:$G$1118,5,0)</f>
        <v>ZKTECO</v>
      </c>
      <c r="K242" s="41" t="str">
        <f>VLOOKUP(C242,Stores!$A$200:$G$1118,6,0)</f>
        <v>PAS452900100</v>
      </c>
      <c r="L242" s="41" t="str">
        <f>VLOOKUP(C242,Stores!$A$200:$G$1118,7,0)</f>
        <v>192.168.1.201</v>
      </c>
      <c r="M242" s="42" t="s">
        <v>3204</v>
      </c>
    </row>
    <row r="243">
      <c r="A243" s="38" t="s">
        <v>2962</v>
      </c>
      <c r="B243" s="38" t="s">
        <v>3286</v>
      </c>
      <c r="C243" s="38" t="s">
        <v>1535</v>
      </c>
      <c r="D243" s="39" t="s">
        <v>1536</v>
      </c>
      <c r="E243" s="38" t="s">
        <v>3147</v>
      </c>
      <c r="F243" s="40"/>
      <c r="G243" s="40"/>
      <c r="H243" s="41" t="str">
        <f>VLOOKUP(C243,Stores!$A$200:$G$1118,3,0)</f>
        <v>Opened Stores</v>
      </c>
      <c r="I243" s="41" t="str">
        <f>VLOOKUP(C243,Stores!$A$200:$G$1118,4,0)</f>
        <v>Stage 7 - Installed</v>
      </c>
      <c r="J243" s="41" t="str">
        <f>VLOOKUP(C243,Stores!$A$200:$G$1118,5,0)</f>
        <v>ZKTECO</v>
      </c>
      <c r="K243" s="41" t="str">
        <f>VLOOKUP(C243,Stores!$A$200:$G$1118,6,0)</f>
        <v>AEYU082360283</v>
      </c>
      <c r="L243" s="41" t="str">
        <f>VLOOKUP(C243,Stores!$A$200:$G$1118,7,0)</f>
        <v>192.168.1.201</v>
      </c>
      <c r="M243" s="42" t="s">
        <v>3204</v>
      </c>
    </row>
    <row r="244">
      <c r="A244" s="38" t="s">
        <v>2962</v>
      </c>
      <c r="B244" s="38" t="s">
        <v>3287</v>
      </c>
      <c r="C244" s="38" t="s">
        <v>932</v>
      </c>
      <c r="D244" s="39" t="s">
        <v>933</v>
      </c>
      <c r="E244" s="38" t="s">
        <v>3147</v>
      </c>
      <c r="F244" s="40"/>
      <c r="G244" s="40"/>
      <c r="H244" s="41" t="str">
        <f>VLOOKUP(C244,Stores!$A$200:$G$1118,3,0)</f>
        <v>Opened Stores</v>
      </c>
      <c r="I244" s="41" t="str">
        <f>VLOOKUP(C244,Stores!$A$200:$G$1118,4,0)</f>
        <v>Stage 7 - Installed</v>
      </c>
      <c r="J244" s="41" t="str">
        <f>VLOOKUP(C244,Stores!$A$200:$G$1118,5,0)</f>
        <v>ZKTECO</v>
      </c>
      <c r="K244" s="41" t="str">
        <f>VLOOKUP(C244,Stores!$A$200:$G$1118,6,0)</f>
        <v>ZKM6245100118</v>
      </c>
      <c r="L244" s="41" t="str">
        <f>VLOOKUP(C244,Stores!$A$200:$G$1118,7,0)</f>
        <v>192.168.1.201</v>
      </c>
      <c r="M244" s="42" t="s">
        <v>3204</v>
      </c>
    </row>
    <row r="245">
      <c r="A245" s="38" t="s">
        <v>2962</v>
      </c>
      <c r="B245" s="38" t="s">
        <v>3288</v>
      </c>
      <c r="C245" s="38" t="s">
        <v>688</v>
      </c>
      <c r="D245" s="39" t="s">
        <v>689</v>
      </c>
      <c r="E245" s="38" t="s">
        <v>3147</v>
      </c>
      <c r="F245" s="40"/>
      <c r="G245" s="40"/>
      <c r="H245" s="41" t="str">
        <f>VLOOKUP(C245,Stores!$A$200:$G$1118,3,0)</f>
        <v>Opened Stores</v>
      </c>
      <c r="I245" s="41" t="str">
        <f>VLOOKUP(C245,Stores!$A$200:$G$1118,4,0)</f>
        <v>Stage 7 - Installed</v>
      </c>
      <c r="J245" s="41" t="str">
        <f>VLOOKUP(C245,Stores!$A$200:$G$1118,5,0)</f>
        <v>FINGERTEC</v>
      </c>
      <c r="K245" s="41">
        <f>VLOOKUP(C245,Stores!$A$200:$G$1118,6,0)</f>
        <v>7423455</v>
      </c>
      <c r="L245" s="41" t="str">
        <f>VLOOKUP(C245,Stores!$A$200:$G$1118,7,0)</f>
        <v>192.168.1.201</v>
      </c>
      <c r="M245" s="42" t="s">
        <v>3204</v>
      </c>
    </row>
    <row r="246">
      <c r="A246" s="38" t="s">
        <v>2962</v>
      </c>
      <c r="B246" s="38" t="s">
        <v>3289</v>
      </c>
      <c r="C246" s="38" t="s">
        <v>810</v>
      </c>
      <c r="D246" s="39" t="s">
        <v>811</v>
      </c>
      <c r="E246" s="38" t="s">
        <v>3147</v>
      </c>
      <c r="F246" s="40"/>
      <c r="G246" s="40"/>
      <c r="H246" s="41" t="str">
        <f>VLOOKUP(C246,Stores!$A$200:$G$1118,3,0)</f>
        <v>Opened Stores</v>
      </c>
      <c r="I246" s="41" t="str">
        <f>VLOOKUP(C246,Stores!$A$200:$G$1118,4,0)</f>
        <v>Stage 7 - Installed</v>
      </c>
      <c r="J246" s="41" t="str">
        <f>VLOOKUP(C246,Stores!$A$200:$G$1118,5,0)</f>
        <v>FINGERTEC</v>
      </c>
      <c r="K246" s="41">
        <f>VLOOKUP(C246,Stores!$A$200:$G$1118,6,0)</f>
        <v>7425413</v>
      </c>
      <c r="L246" s="41" t="str">
        <f>VLOOKUP(C246,Stores!$A$200:$G$1118,7,0)</f>
        <v>192.168.3.31</v>
      </c>
      <c r="M246" s="42" t="s">
        <v>3204</v>
      </c>
    </row>
    <row r="247">
      <c r="A247" s="38" t="s">
        <v>2962</v>
      </c>
      <c r="B247" s="38" t="s">
        <v>3290</v>
      </c>
      <c r="C247" s="38" t="s">
        <v>1797</v>
      </c>
      <c r="D247" s="39" t="s">
        <v>1798</v>
      </c>
      <c r="E247" s="38" t="s">
        <v>3147</v>
      </c>
      <c r="F247" s="40"/>
      <c r="G247" s="40"/>
      <c r="H247" s="41" t="str">
        <f>VLOOKUP(C247,Stores!$A$200:$G$1118,3,0)</f>
        <v>Opened Stores</v>
      </c>
      <c r="I247" s="41" t="str">
        <f>VLOOKUP(C247,Stores!$A$200:$G$1118,4,0)</f>
        <v>Stage 7 - Installed</v>
      </c>
      <c r="J247" s="41" t="str">
        <f>VLOOKUP(C247,Stores!$A$200:$G$1118,5,0)</f>
        <v>ZKTECO</v>
      </c>
      <c r="K247" s="41" t="str">
        <f>VLOOKUP(C247,Stores!$A$200:$G$1118,6,0)</f>
        <v>CQUJ233560567</v>
      </c>
      <c r="L247" s="41" t="str">
        <f>VLOOKUP(C247,Stores!$A$200:$G$1118,7,0)</f>
        <v>192.168.1.201</v>
      </c>
      <c r="M247" s="42" t="s">
        <v>3204</v>
      </c>
    </row>
    <row r="248">
      <c r="A248" s="38" t="s">
        <v>2962</v>
      </c>
      <c r="B248" s="38" t="s">
        <v>3291</v>
      </c>
      <c r="C248" s="38" t="s">
        <v>906</v>
      </c>
      <c r="D248" s="39" t="s">
        <v>907</v>
      </c>
      <c r="E248" s="38" t="s">
        <v>3147</v>
      </c>
      <c r="F248" s="40"/>
      <c r="G248" s="40"/>
      <c r="H248" s="41" t="str">
        <f>VLOOKUP(C248,Stores!$A$200:$G$1118,3,0)</f>
        <v>Opened Stores</v>
      </c>
      <c r="I248" s="41" t="str">
        <f>VLOOKUP(C248,Stores!$A$200:$G$1118,4,0)</f>
        <v>Stage 7 - Installed</v>
      </c>
      <c r="J248" s="41" t="str">
        <f>VLOOKUP(C248,Stores!$A$200:$G$1118,5,0)</f>
        <v>FINGERTEC</v>
      </c>
      <c r="K248" s="41">
        <f>VLOOKUP(C248,Stores!$A$200:$G$1118,6,0)</f>
        <v>7425664</v>
      </c>
      <c r="L248" s="41" t="str">
        <f>VLOOKUP(C248,Stores!$A$200:$G$1118,7,0)</f>
        <v>192.168.1.201</v>
      </c>
      <c r="M248" s="42" t="s">
        <v>3204</v>
      </c>
    </row>
    <row r="249">
      <c r="A249" s="38" t="s">
        <v>2962</v>
      </c>
      <c r="B249" s="38" t="s">
        <v>3292</v>
      </c>
      <c r="C249" s="38" t="s">
        <v>2224</v>
      </c>
      <c r="D249" s="39" t="s">
        <v>3293</v>
      </c>
      <c r="E249" s="38" t="s">
        <v>3147</v>
      </c>
      <c r="F249" s="40"/>
      <c r="G249" s="40"/>
      <c r="H249" s="41" t="str">
        <f>VLOOKUP(C249,Stores!$A$200:$G$1118,3,0)</f>
        <v>Opened Stores</v>
      </c>
      <c r="I249" s="41" t="str">
        <f>VLOOKUP(C249,Stores!$A$200:$G$1118,4,0)</f>
        <v>Stage 7 - Installed</v>
      </c>
      <c r="J249" s="41" t="str">
        <f>VLOOKUP(C249,Stores!$A$200:$G$1118,5,0)</f>
        <v>ZKTECO</v>
      </c>
      <c r="K249" s="41" t="str">
        <f>VLOOKUP(C249,Stores!$A$200:$G$1118,6,0)</f>
        <v>CQUJ233560099</v>
      </c>
      <c r="L249" s="41" t="str">
        <f>VLOOKUP(C249,Stores!$A$200:$G$1118,7,0)</f>
        <v>192.168.1.201</v>
      </c>
      <c r="M249" s="42" t="s">
        <v>3204</v>
      </c>
    </row>
    <row r="250">
      <c r="A250" s="38" t="s">
        <v>2962</v>
      </c>
      <c r="B250" s="38" t="s">
        <v>3294</v>
      </c>
      <c r="C250" s="38" t="s">
        <v>1648</v>
      </c>
      <c r="D250" s="39" t="s">
        <v>1649</v>
      </c>
      <c r="E250" s="38" t="s">
        <v>3147</v>
      </c>
      <c r="F250" s="40"/>
      <c r="G250" s="40"/>
      <c r="H250" s="41" t="str">
        <f>VLOOKUP(C250,Stores!$A$200:$G$1118,3,0)</f>
        <v>Opened Stores</v>
      </c>
      <c r="I250" s="41" t="str">
        <f>VLOOKUP(C250,Stores!$A$200:$G$1118,4,0)</f>
        <v>Stage 7 - Installed</v>
      </c>
      <c r="J250" s="41" t="str">
        <f>VLOOKUP(C250,Stores!$A$200:$G$1118,5,0)</f>
        <v>ZKTECO</v>
      </c>
      <c r="K250" s="41" t="str">
        <f>VLOOKUP(C250,Stores!$A$200:$G$1118,6,0)</f>
        <v>AEYU082360237</v>
      </c>
      <c r="L250" s="41" t="str">
        <f>VLOOKUP(C250,Stores!$A$200:$G$1118,7,0)</f>
        <v>192.168.1.201</v>
      </c>
      <c r="M250" s="42" t="s">
        <v>3204</v>
      </c>
    </row>
    <row r="251">
      <c r="A251" s="38" t="s">
        <v>2962</v>
      </c>
      <c r="B251" s="38" t="s">
        <v>3295</v>
      </c>
      <c r="C251" s="38" t="s">
        <v>897</v>
      </c>
      <c r="D251" s="39" t="s">
        <v>3296</v>
      </c>
      <c r="E251" s="38" t="s">
        <v>3147</v>
      </c>
      <c r="F251" s="40"/>
      <c r="G251" s="40"/>
      <c r="H251" s="41" t="str">
        <f>VLOOKUP(C251,Stores!$A$200:$G$1118,3,0)</f>
        <v>Opened Stores</v>
      </c>
      <c r="I251" s="41" t="str">
        <f>VLOOKUP(C251,Stores!$A$200:$G$1118,4,0)</f>
        <v>Stage 7 - Installed</v>
      </c>
      <c r="J251" s="41" t="str">
        <f>VLOOKUP(C251,Stores!$A$200:$G$1118,5,0)</f>
        <v>FINGERTEC</v>
      </c>
      <c r="K251" s="41">
        <f>VLOOKUP(C251,Stores!$A$200:$G$1118,6,0)</f>
        <v>7425641</v>
      </c>
      <c r="L251" s="41" t="str">
        <f>VLOOKUP(C251,Stores!$A$200:$G$1118,7,0)</f>
        <v>192.168.1.201</v>
      </c>
      <c r="M251" s="42" t="s">
        <v>3204</v>
      </c>
    </row>
    <row r="252">
      <c r="A252" s="38" t="s">
        <v>2962</v>
      </c>
      <c r="B252" s="38" t="s">
        <v>3297</v>
      </c>
      <c r="C252" s="38" t="s">
        <v>1907</v>
      </c>
      <c r="D252" s="39" t="s">
        <v>1908</v>
      </c>
      <c r="E252" s="38" t="s">
        <v>3147</v>
      </c>
      <c r="F252" s="40"/>
      <c r="G252" s="40"/>
      <c r="H252" s="41" t="str">
        <f>VLOOKUP(C252,Stores!$A$200:$G$1118,3,0)</f>
        <v>Opened Stores</v>
      </c>
      <c r="I252" s="41" t="str">
        <f>VLOOKUP(C252,Stores!$A$200:$G$1118,4,0)</f>
        <v>Stage 7 - Installed</v>
      </c>
      <c r="J252" s="41" t="str">
        <f>VLOOKUP(C252,Stores!$A$200:$G$1118,5,0)</f>
        <v>ZKTECO</v>
      </c>
      <c r="K252" s="41" t="str">
        <f>VLOOKUP(C252,Stores!$A$200:$G$1118,6,0)</f>
        <v>CQUJ233561177</v>
      </c>
      <c r="L252" s="41" t="str">
        <f>VLOOKUP(C252,Stores!$A$200:$G$1118,7,0)</f>
        <v>192.168.1.201</v>
      </c>
      <c r="M252" s="42" t="s">
        <v>3204</v>
      </c>
    </row>
    <row r="253">
      <c r="A253" s="38" t="s">
        <v>2962</v>
      </c>
      <c r="B253" s="38" t="s">
        <v>3298</v>
      </c>
      <c r="C253" s="38" t="s">
        <v>753</v>
      </c>
      <c r="D253" s="39" t="s">
        <v>754</v>
      </c>
      <c r="E253" s="38" t="s">
        <v>3147</v>
      </c>
      <c r="F253" s="40"/>
      <c r="G253" s="40"/>
      <c r="H253" s="41" t="str">
        <f>VLOOKUP(C253,Stores!$A$200:$G$1118,3,0)</f>
        <v>Opened Stores</v>
      </c>
      <c r="I253" s="41" t="str">
        <f>VLOOKUP(C253,Stores!$A$200:$G$1118,4,0)</f>
        <v>Stage 7 - Installed</v>
      </c>
      <c r="J253" s="41" t="str">
        <f>VLOOKUP(C253,Stores!$A$200:$G$1118,5,0)</f>
        <v>FINGERTEC</v>
      </c>
      <c r="K253" s="41">
        <f>VLOOKUP(C253,Stores!$A$200:$G$1118,6,0)</f>
        <v>7424203</v>
      </c>
      <c r="L253" s="41" t="str">
        <f>VLOOKUP(C253,Stores!$A$200:$G$1118,7,0)</f>
        <v>192.168.1.16</v>
      </c>
      <c r="M253" s="42" t="s">
        <v>3204</v>
      </c>
    </row>
    <row r="254">
      <c r="A254" s="38" t="s">
        <v>2962</v>
      </c>
      <c r="B254" s="38" t="s">
        <v>3299</v>
      </c>
      <c r="C254" s="38" t="s">
        <v>1309</v>
      </c>
      <c r="D254" s="39" t="s">
        <v>1310</v>
      </c>
      <c r="E254" s="38" t="s">
        <v>3147</v>
      </c>
      <c r="F254" s="40"/>
      <c r="G254" s="40"/>
      <c r="H254" s="41" t="str">
        <f>VLOOKUP(C254,Stores!$A$200:$G$1118,3,0)</f>
        <v>Opened Stores</v>
      </c>
      <c r="I254" s="41" t="str">
        <f>VLOOKUP(C254,Stores!$A$200:$G$1118,4,0)</f>
        <v>Stage 7 - Installed</v>
      </c>
      <c r="J254" s="41" t="str">
        <f>VLOOKUP(C254,Stores!$A$200:$G$1118,5,0)</f>
        <v>ZKTECO</v>
      </c>
      <c r="K254" s="41" t="str">
        <f>VLOOKUP(C254,Stores!$A$200:$G$1118,6,0)</f>
        <v>PAS4252900194</v>
      </c>
      <c r="L254" s="41" t="str">
        <f>VLOOKUP(C254,Stores!$A$200:$G$1118,7,0)</f>
        <v>192.168.1.201</v>
      </c>
      <c r="M254" s="42" t="s">
        <v>3204</v>
      </c>
    </row>
    <row r="255">
      <c r="A255" s="38" t="s">
        <v>2962</v>
      </c>
      <c r="B255" s="38" t="s">
        <v>3300</v>
      </c>
      <c r="C255" s="38" t="s">
        <v>769</v>
      </c>
      <c r="D255" s="39" t="s">
        <v>770</v>
      </c>
      <c r="E255" s="38" t="s">
        <v>3147</v>
      </c>
      <c r="F255" s="40"/>
      <c r="G255" s="40"/>
      <c r="H255" s="41" t="str">
        <f>VLOOKUP(C255,Stores!$A$200:$G$1118,3,0)</f>
        <v>Opened Stores</v>
      </c>
      <c r="I255" s="41" t="str">
        <f>VLOOKUP(C255,Stores!$A$200:$G$1118,4,0)</f>
        <v>Stage 7 - Installed</v>
      </c>
      <c r="J255" s="41" t="str">
        <f>VLOOKUP(C255,Stores!$A$200:$G$1118,5,0)</f>
        <v>FINGERTEC</v>
      </c>
      <c r="K255" s="41">
        <f>VLOOKUP(C255,Stores!$A$200:$G$1118,6,0)</f>
        <v>7424197</v>
      </c>
      <c r="L255" s="41" t="str">
        <f>VLOOKUP(C255,Stores!$A$200:$G$1118,7,0)</f>
        <v>192.168.1.201</v>
      </c>
      <c r="M255" s="42" t="s">
        <v>3204</v>
      </c>
    </row>
    <row r="256">
      <c r="A256" s="38" t="s">
        <v>2962</v>
      </c>
      <c r="B256" s="38" t="s">
        <v>3301</v>
      </c>
      <c r="C256" s="38" t="s">
        <v>2402</v>
      </c>
      <c r="D256" s="39" t="s">
        <v>2403</v>
      </c>
      <c r="E256" s="38" t="s">
        <v>3147</v>
      </c>
      <c r="F256" s="40"/>
      <c r="G256" s="40"/>
      <c r="H256" s="41" t="str">
        <f>VLOOKUP(C256,Stores!$A$200:$G$1118,3,0)</f>
        <v>Opened Stores</v>
      </c>
      <c r="I256" s="41" t="str">
        <f>VLOOKUP(C256,Stores!$A$200:$G$1118,4,0)</f>
        <v>Stage 7 - Installed</v>
      </c>
      <c r="J256" s="41" t="str">
        <f>VLOOKUP(C256,Stores!$A$200:$G$1118,5,0)</f>
        <v>ZKTECO</v>
      </c>
      <c r="K256" s="41" t="str">
        <f>VLOOKUP(C256,Stores!$A$200:$G$1118,6,0)</f>
        <v>ZKM6245100079</v>
      </c>
      <c r="L256" s="41" t="str">
        <f>VLOOKUP(C256,Stores!$A$200:$G$1118,7,0)</f>
        <v>192.168.1.201</v>
      </c>
      <c r="M256" s="42" t="s">
        <v>3204</v>
      </c>
    </row>
    <row r="257">
      <c r="A257" s="38" t="s">
        <v>2962</v>
      </c>
      <c r="B257" s="38" t="s">
        <v>3302</v>
      </c>
      <c r="C257" s="38" t="s">
        <v>2871</v>
      </c>
      <c r="D257" s="39" t="s">
        <v>2872</v>
      </c>
      <c r="E257" s="38" t="s">
        <v>3162</v>
      </c>
      <c r="F257" s="40"/>
      <c r="G257" s="40"/>
      <c r="H257" s="41" t="str">
        <f>VLOOKUP(C257,Stores!$A$200:$G$1118,3,0)</f>
        <v>Opened Stores</v>
      </c>
      <c r="I257" s="41" t="str">
        <f>VLOOKUP(C257,Stores!$A$200:$G$1118,4,0)</f>
        <v>Stage 7 - Installed</v>
      </c>
      <c r="J257" s="41" t="str">
        <f>VLOOKUP(C257,Stores!$A$200:$G$1118,5,0)</f>
        <v>ZKTECO</v>
      </c>
      <c r="K257" s="41" t="str">
        <f>VLOOKUP(C257,Stores!$A$200:$G$1118,6,0)</f>
        <v>PAS4252500204</v>
      </c>
      <c r="L257" s="41" t="str">
        <f>VLOOKUP(C257,Stores!$A$200:$G$1118,7,0)</f>
        <v>192.168.1.201</v>
      </c>
      <c r="M257" s="42" t="s">
        <v>3204</v>
      </c>
    </row>
    <row r="258">
      <c r="A258" s="38" t="s">
        <v>2962</v>
      </c>
      <c r="B258" s="38" t="s">
        <v>3303</v>
      </c>
      <c r="C258" s="38" t="s">
        <v>821</v>
      </c>
      <c r="D258" s="39" t="s">
        <v>822</v>
      </c>
      <c r="E258" s="38" t="s">
        <v>3162</v>
      </c>
      <c r="F258" s="40"/>
      <c r="G258" s="40"/>
      <c r="H258" s="41" t="str">
        <f>VLOOKUP(C258,Stores!$A$200:$G$1118,3,0)</f>
        <v>Opened Stores</v>
      </c>
      <c r="I258" s="41" t="str">
        <f>VLOOKUP(C258,Stores!$A$200:$G$1118,4,0)</f>
        <v>Stage 7 - Installed</v>
      </c>
      <c r="J258" s="41" t="str">
        <f>VLOOKUP(C258,Stores!$A$200:$G$1118,5,0)</f>
        <v>FINGERTEC</v>
      </c>
      <c r="K258" s="41">
        <f>VLOOKUP(C258,Stores!$A$200:$G$1118,6,0)</f>
        <v>7425414</v>
      </c>
      <c r="L258" s="41" t="str">
        <f>VLOOKUP(C258,Stores!$A$200:$G$1118,7,0)</f>
        <v>192.168.1.201</v>
      </c>
      <c r="M258" s="42" t="s">
        <v>3204</v>
      </c>
    </row>
    <row r="259">
      <c r="A259" s="38" t="s">
        <v>2962</v>
      </c>
      <c r="B259" s="38" t="s">
        <v>3304</v>
      </c>
      <c r="C259" s="38" t="s">
        <v>858</v>
      </c>
      <c r="D259" s="39" t="s">
        <v>859</v>
      </c>
      <c r="E259" s="38" t="s">
        <v>3162</v>
      </c>
      <c r="F259" s="40"/>
      <c r="G259" s="40"/>
      <c r="H259" s="41" t="str">
        <f>VLOOKUP(C259,Stores!$A$200:$G$1118,3,0)</f>
        <v>Opened Stores</v>
      </c>
      <c r="I259" s="41" t="str">
        <f>VLOOKUP(C259,Stores!$A$200:$G$1118,4,0)</f>
        <v>Stage 7 - Installed</v>
      </c>
      <c r="J259" s="41" t="str">
        <f>VLOOKUP(C259,Stores!$A$200:$G$1118,5,0)</f>
        <v>FINGERTEC</v>
      </c>
      <c r="K259" s="41">
        <f>VLOOKUP(C259,Stores!$A$200:$G$1118,6,0)</f>
        <v>7425654</v>
      </c>
      <c r="L259" s="41" t="str">
        <f>VLOOKUP(C259,Stores!$A$200:$G$1118,7,0)</f>
        <v>192.168.1.201</v>
      </c>
      <c r="M259" s="42" t="s">
        <v>3204</v>
      </c>
    </row>
    <row r="260">
      <c r="A260" s="38" t="s">
        <v>2962</v>
      </c>
      <c r="B260" s="38" t="s">
        <v>3305</v>
      </c>
      <c r="C260" s="38" t="s">
        <v>474</v>
      </c>
      <c r="D260" s="39" t="s">
        <v>475</v>
      </c>
      <c r="E260" s="38" t="s">
        <v>3162</v>
      </c>
      <c r="F260" s="40"/>
      <c r="G260" s="40"/>
      <c r="H260" s="41" t="str">
        <f>VLOOKUP(C260,Stores!$A$200:$G$1118,3,0)</f>
        <v>Opened Stores</v>
      </c>
      <c r="I260" s="41" t="str">
        <f>VLOOKUP(C260,Stores!$A$200:$G$1118,4,0)</f>
        <v>Stage 7 - Installed</v>
      </c>
      <c r="J260" s="41" t="str">
        <f>VLOOKUP(C260,Stores!$A$200:$G$1118,5,0)</f>
        <v>FINGERTEC</v>
      </c>
      <c r="K260" s="41">
        <f>VLOOKUP(C260,Stores!$A$200:$G$1118,6,0)</f>
        <v>7413141</v>
      </c>
      <c r="L260" s="41" t="str">
        <f>VLOOKUP(C260,Stores!$A$200:$G$1118,7,0)</f>
        <v>192.168.1.201</v>
      </c>
      <c r="M260" s="42" t="s">
        <v>3204</v>
      </c>
    </row>
    <row r="261">
      <c r="A261" s="38" t="s">
        <v>2962</v>
      </c>
      <c r="B261" s="38" t="s">
        <v>3306</v>
      </c>
      <c r="C261" s="38" t="s">
        <v>437</v>
      </c>
      <c r="D261" s="39" t="s">
        <v>438</v>
      </c>
      <c r="E261" s="38" t="s">
        <v>3162</v>
      </c>
      <c r="F261" s="40"/>
      <c r="G261" s="40"/>
      <c r="H261" s="41" t="str">
        <f>VLOOKUP(C261,Stores!$A$200:$G$1118,3,0)</f>
        <v>Opened Stores</v>
      </c>
      <c r="I261" s="41" t="str">
        <f>VLOOKUP(C261,Stores!$A$200:$G$1118,4,0)</f>
        <v>Stage 7 - Installed</v>
      </c>
      <c r="J261" s="41" t="str">
        <f>VLOOKUP(C261,Stores!$A$200:$G$1118,5,0)</f>
        <v>FINGERTEC</v>
      </c>
      <c r="K261" s="41">
        <f>VLOOKUP(C261,Stores!$A$200:$G$1118,6,0)</f>
        <v>7416599</v>
      </c>
      <c r="L261" s="41" t="str">
        <f>VLOOKUP(C261,Stores!$A$200:$G$1118,7,0)</f>
        <v>192.168.1.201</v>
      </c>
      <c r="M261" s="42" t="s">
        <v>3204</v>
      </c>
    </row>
    <row r="262">
      <c r="A262" s="38" t="s">
        <v>2962</v>
      </c>
      <c r="B262" s="38" t="s">
        <v>3307</v>
      </c>
      <c r="C262" s="38" t="s">
        <v>2541</v>
      </c>
      <c r="D262" s="39" t="s">
        <v>2542</v>
      </c>
      <c r="E262" s="38" t="s">
        <v>3162</v>
      </c>
      <c r="F262" s="40"/>
      <c r="G262" s="40"/>
      <c r="H262" s="41" t="str">
        <f>VLOOKUP(C262,Stores!$A$200:$G$1118,3,0)</f>
        <v>Opened Stores</v>
      </c>
      <c r="I262" s="41" t="str">
        <f>VLOOKUP(C262,Stores!$A$200:$G$1118,4,0)</f>
        <v>Stage 7 - Installed</v>
      </c>
      <c r="J262" s="41" t="str">
        <f>VLOOKUP(C262,Stores!$A$200:$G$1118,5,0)</f>
        <v>ZKTECO</v>
      </c>
      <c r="K262" s="41" t="str">
        <f>VLOOKUP(C262,Stores!$A$200:$G$1118,6,0)</f>
        <v>ZKM6251700039</v>
      </c>
      <c r="L262" s="41" t="str">
        <f>VLOOKUP(C262,Stores!$A$200:$G$1118,7,0)</f>
        <v>192.168.1.201</v>
      </c>
      <c r="M262" s="42" t="s">
        <v>3204</v>
      </c>
    </row>
    <row r="263">
      <c r="A263" s="38" t="s">
        <v>2962</v>
      </c>
      <c r="B263" s="38" t="s">
        <v>3308</v>
      </c>
      <c r="C263" s="38" t="s">
        <v>1015</v>
      </c>
      <c r="D263" s="39" t="s">
        <v>1016</v>
      </c>
      <c r="E263" s="38" t="s">
        <v>3162</v>
      </c>
      <c r="F263" s="40"/>
      <c r="G263" s="40"/>
      <c r="H263" s="41" t="str">
        <f>VLOOKUP(C263,Stores!$A$200:$G$1118,3,0)</f>
        <v>Opened Stores</v>
      </c>
      <c r="I263" s="41" t="str">
        <f>VLOOKUP(C263,Stores!$A$200:$G$1118,4,0)</f>
        <v>Stage 7 - Installed</v>
      </c>
      <c r="J263" s="41" t="str">
        <f>VLOOKUP(C263,Stores!$A$200:$G$1118,5,0)</f>
        <v>ZKTECO</v>
      </c>
      <c r="K263" s="41" t="str">
        <f>VLOOKUP(C263,Stores!$A$200:$G$1118,6,0)</f>
        <v>A8N5221960177</v>
      </c>
      <c r="L263" s="41" t="str">
        <f>VLOOKUP(C263,Stores!$A$200:$G$1118,7,0)</f>
        <v>192.168.1.201</v>
      </c>
      <c r="M263" s="42" t="s">
        <v>3204</v>
      </c>
    </row>
    <row r="264">
      <c r="A264" s="38" t="s">
        <v>2962</v>
      </c>
      <c r="B264" s="38" t="s">
        <v>3309</v>
      </c>
      <c r="C264" s="38" t="s">
        <v>2538</v>
      </c>
      <c r="D264" s="39" t="s">
        <v>2539</v>
      </c>
      <c r="E264" s="38" t="s">
        <v>3162</v>
      </c>
      <c r="F264" s="40"/>
      <c r="G264" s="40"/>
      <c r="H264" s="41" t="str">
        <f>VLOOKUP(C264,Stores!$A$200:$G$1118,3,0)</f>
        <v>Opened Stores</v>
      </c>
      <c r="I264" s="41" t="str">
        <f>VLOOKUP(C264,Stores!$A$200:$G$1118,4,0)</f>
        <v>Stage 7 - Installed</v>
      </c>
      <c r="J264" s="41" t="str">
        <f>VLOOKUP(C264,Stores!$A$200:$G$1118,5,0)</f>
        <v>ZKTECO</v>
      </c>
      <c r="K264" s="41" t="str">
        <f>VLOOKUP(C264,Stores!$A$200:$G$1118,6,0)</f>
        <v>ZKM6251400062</v>
      </c>
      <c r="L264" s="41" t="str">
        <f>VLOOKUP(C264,Stores!$A$200:$G$1118,7,0)</f>
        <v>192.168.1.201</v>
      </c>
      <c r="M264" s="42" t="s">
        <v>3204</v>
      </c>
    </row>
    <row r="265">
      <c r="A265" s="38" t="s">
        <v>2962</v>
      </c>
      <c r="B265" s="38" t="s">
        <v>3310</v>
      </c>
      <c r="C265" s="38" t="s">
        <v>544</v>
      </c>
      <c r="D265" s="39" t="s">
        <v>545</v>
      </c>
      <c r="E265" s="38" t="s">
        <v>3162</v>
      </c>
      <c r="F265" s="40"/>
      <c r="G265" s="40"/>
      <c r="H265" s="41" t="str">
        <f>VLOOKUP(C265,Stores!$A$200:$G$1118,3,0)</f>
        <v>Opened Stores</v>
      </c>
      <c r="I265" s="41" t="str">
        <f>VLOOKUP(C265,Stores!$A$200:$G$1118,4,0)</f>
        <v>Stage 7 - Installed</v>
      </c>
      <c r="J265" s="41" t="str">
        <f>VLOOKUP(C265,Stores!$A$200:$G$1118,5,0)</f>
        <v>FINGERTEC</v>
      </c>
      <c r="K265" s="41">
        <f>VLOOKUP(C265,Stores!$A$200:$G$1118,6,0)</f>
        <v>7420084</v>
      </c>
      <c r="L265" s="41" t="str">
        <f>VLOOKUP(C265,Stores!$A$200:$G$1118,7,0)</f>
        <v>192.168.1.201</v>
      </c>
      <c r="M265" s="42" t="s">
        <v>3204</v>
      </c>
    </row>
    <row r="266">
      <c r="A266" s="38" t="s">
        <v>2962</v>
      </c>
      <c r="B266" s="38" t="s">
        <v>3311</v>
      </c>
      <c r="C266" s="38" t="s">
        <v>2643</v>
      </c>
      <c r="D266" s="39" t="s">
        <v>2644</v>
      </c>
      <c r="E266" s="38" t="s">
        <v>3162</v>
      </c>
      <c r="F266" s="40"/>
      <c r="G266" s="40"/>
      <c r="H266" s="41" t="str">
        <f>VLOOKUP(C266,Stores!$A$200:$G$1118,3,0)</f>
        <v>Opened Stores</v>
      </c>
      <c r="I266" s="41" t="str">
        <f>VLOOKUP(C266,Stores!$A$200:$G$1118,4,0)</f>
        <v>Stage 7 - Installed</v>
      </c>
      <c r="J266" s="41" t="str">
        <f>VLOOKUP(C266,Stores!$A$200:$G$1118,5,0)</f>
        <v>ZKTECO</v>
      </c>
      <c r="K266" s="41" t="str">
        <f>VLOOKUP(C266,Stores!$A$200:$G$1118,6,0)</f>
        <v>ZKM6251500190</v>
      </c>
      <c r="L266" s="41" t="str">
        <f>VLOOKUP(C266,Stores!$A$200:$G$1118,7,0)</f>
        <v>192.168.1.201</v>
      </c>
      <c r="M266" s="42" t="s">
        <v>3204</v>
      </c>
    </row>
    <row r="267">
      <c r="A267" s="38" t="s">
        <v>2962</v>
      </c>
      <c r="B267" s="38" t="s">
        <v>3312</v>
      </c>
      <c r="C267" s="38" t="s">
        <v>2523</v>
      </c>
      <c r="D267" s="39" t="s">
        <v>3313</v>
      </c>
      <c r="E267" s="38" t="s">
        <v>3162</v>
      </c>
      <c r="F267" s="40"/>
      <c r="G267" s="40"/>
      <c r="H267" s="41" t="str">
        <f>VLOOKUP(C267,Stores!$A$200:$G$1118,3,0)</f>
        <v>Opened Stores</v>
      </c>
      <c r="I267" s="41" t="str">
        <f>VLOOKUP(C267,Stores!$A$200:$G$1118,4,0)</f>
        <v>Stage 7 - Installed</v>
      </c>
      <c r="J267" s="41" t="str">
        <f>VLOOKUP(C267,Stores!$A$200:$G$1118,5,0)</f>
        <v>ZKTECO</v>
      </c>
      <c r="K267" s="41" t="str">
        <f>VLOOKUP(C267,Stores!$A$200:$G$1118,6,0)</f>
        <v>ZKM6251700082</v>
      </c>
      <c r="L267" s="41" t="str">
        <f>VLOOKUP(C267,Stores!$A$200:$G$1118,7,0)</f>
        <v>192.168.1.201</v>
      </c>
      <c r="M267" s="42" t="s">
        <v>3204</v>
      </c>
    </row>
    <row r="268">
      <c r="A268" s="38" t="s">
        <v>2962</v>
      </c>
      <c r="B268" s="38" t="s">
        <v>3314</v>
      </c>
      <c r="C268" s="38" t="s">
        <v>2814</v>
      </c>
      <c r="D268" s="39" t="s">
        <v>2815</v>
      </c>
      <c r="E268" s="38" t="s">
        <v>3162</v>
      </c>
      <c r="F268" s="40"/>
      <c r="G268" s="40"/>
      <c r="H268" s="41" t="str">
        <f>VLOOKUP(C268,Stores!$A$200:$G$1118,3,0)</f>
        <v>Opened Stores</v>
      </c>
      <c r="I268" s="41" t="str">
        <f>VLOOKUP(C268,Stores!$A$200:$G$1118,4,0)</f>
        <v>Stage 7 - Installed</v>
      </c>
      <c r="J268" s="41" t="str">
        <f>VLOOKUP(C268,Stores!$A$200:$G$1118,5,0)</f>
        <v>ZKTECO</v>
      </c>
      <c r="K268" s="41" t="str">
        <f>VLOOKUP(C268,Stores!$A$200:$G$1118,6,0)</f>
        <v>PAS4252900104</v>
      </c>
      <c r="L268" s="41" t="str">
        <f>VLOOKUP(C268,Stores!$A$200:$G$1118,7,0)</f>
        <v>192.168.1.201</v>
      </c>
      <c r="M268" s="42" t="s">
        <v>3315</v>
      </c>
    </row>
    <row r="269">
      <c r="A269" s="38" t="s">
        <v>2962</v>
      </c>
      <c r="B269" s="38" t="s">
        <v>3316</v>
      </c>
      <c r="C269" s="38" t="s">
        <v>2916</v>
      </c>
      <c r="D269" s="39" t="s">
        <v>2917</v>
      </c>
      <c r="E269" s="38" t="s">
        <v>3162</v>
      </c>
      <c r="F269" s="40"/>
      <c r="G269" s="40"/>
      <c r="H269" s="41" t="str">
        <f>VLOOKUP(C269,Stores!$A$200:$G$1118,3,0)</f>
        <v>Opened Stores</v>
      </c>
      <c r="I269" s="41" t="str">
        <f>VLOOKUP(C269,Stores!$A$200:$G$1118,4,0)</f>
        <v>Stage 7 - Installed</v>
      </c>
      <c r="J269" s="41" t="str">
        <f>VLOOKUP(C269,Stores!$A$200:$G$1118,5,0)</f>
        <v>ZKTECO</v>
      </c>
      <c r="K269" s="41" t="str">
        <f>VLOOKUP(C269,Stores!$A$200:$G$1118,6,0)</f>
        <v>PAS4253000116</v>
      </c>
      <c r="L269" s="41" t="str">
        <f>VLOOKUP(C269,Stores!$A$200:$G$1118,7,0)</f>
        <v>192.168.1.201</v>
      </c>
      <c r="M269" s="42" t="s">
        <v>3315</v>
      </c>
    </row>
    <row r="270">
      <c r="A270" s="38" t="s">
        <v>2962</v>
      </c>
      <c r="B270" s="38" t="s">
        <v>3317</v>
      </c>
      <c r="C270" s="38" t="s">
        <v>616</v>
      </c>
      <c r="D270" s="39" t="s">
        <v>617</v>
      </c>
      <c r="E270" s="38" t="s">
        <v>3162</v>
      </c>
      <c r="F270" s="40"/>
      <c r="G270" s="40"/>
      <c r="H270" s="41" t="str">
        <f>VLOOKUP(C270,Stores!$A$200:$G$1118,3,0)</f>
        <v>Opened Stores</v>
      </c>
      <c r="I270" s="41" t="str">
        <f>VLOOKUP(C270,Stores!$A$200:$G$1118,4,0)</f>
        <v>Stage 7 - Installed</v>
      </c>
      <c r="J270" s="41" t="str">
        <f>VLOOKUP(C270,Stores!$A$200:$G$1118,5,0)</f>
        <v>FINGERTEC</v>
      </c>
      <c r="K270" s="41">
        <f>VLOOKUP(C270,Stores!$A$200:$G$1118,6,0)</f>
        <v>7421819</v>
      </c>
      <c r="L270" s="41" t="str">
        <f>VLOOKUP(C270,Stores!$A$200:$G$1118,7,0)</f>
        <v>192.168.1.201</v>
      </c>
      <c r="M270" s="42" t="s">
        <v>3315</v>
      </c>
    </row>
    <row r="271">
      <c r="A271" s="38" t="s">
        <v>2962</v>
      </c>
      <c r="B271" s="38" t="s">
        <v>3318</v>
      </c>
      <c r="C271" s="38" t="s">
        <v>2727</v>
      </c>
      <c r="D271" s="39" t="s">
        <v>2728</v>
      </c>
      <c r="E271" s="38" t="s">
        <v>3162</v>
      </c>
      <c r="F271" s="40"/>
      <c r="G271" s="40"/>
      <c r="H271" s="41" t="str">
        <f>VLOOKUP(C271,Stores!$A$200:$G$1118,3,0)</f>
        <v>Opened Stores</v>
      </c>
      <c r="I271" s="41" t="str">
        <f>VLOOKUP(C271,Stores!$A$200:$G$1118,4,0)</f>
        <v>Stage 7 - Installed</v>
      </c>
      <c r="J271" s="41" t="str">
        <f>VLOOKUP(C271,Stores!$A$200:$G$1118,5,0)</f>
        <v>ZKTECO</v>
      </c>
      <c r="K271" s="41" t="str">
        <f>VLOOKUP(C271,Stores!$A$200:$G$1118,6,0)</f>
        <v>ZKM6251700314</v>
      </c>
      <c r="L271" s="41" t="str">
        <f>VLOOKUP(C271,Stores!$A$200:$G$1118,7,0)</f>
        <v>192.168.1.201</v>
      </c>
      <c r="M271" s="42" t="s">
        <v>3315</v>
      </c>
    </row>
    <row r="272">
      <c r="A272" s="38" t="s">
        <v>2962</v>
      </c>
      <c r="B272" s="38" t="s">
        <v>3319</v>
      </c>
      <c r="C272" s="38" t="s">
        <v>2393</v>
      </c>
      <c r="D272" s="39" t="s">
        <v>3320</v>
      </c>
      <c r="E272" s="38" t="s">
        <v>3162</v>
      </c>
      <c r="F272" s="40"/>
      <c r="G272" s="40"/>
      <c r="H272" s="41" t="str">
        <f>VLOOKUP(C272,Stores!$A$200:$G$1118,3,0)</f>
        <v>Opened Stores</v>
      </c>
      <c r="I272" s="41" t="str">
        <f>VLOOKUP(C272,Stores!$A$200:$G$1118,4,0)</f>
        <v>Stage 7 - Installed</v>
      </c>
      <c r="J272" s="41" t="str">
        <f>VLOOKUP(C272,Stores!$A$200:$G$1118,5,0)</f>
        <v>ZKTECO</v>
      </c>
      <c r="K272" s="41" t="str">
        <f>VLOOKUP(C272,Stores!$A$200:$G$1118,6,0)</f>
        <v>ZKM6245100120</v>
      </c>
      <c r="L272" s="41" t="str">
        <f>VLOOKUP(C272,Stores!$A$200:$G$1118,7,0)</f>
        <v>192.168.1.201</v>
      </c>
      <c r="M272" s="42" t="s">
        <v>3315</v>
      </c>
    </row>
    <row r="273">
      <c r="A273" s="38" t="s">
        <v>2962</v>
      </c>
      <c r="B273" s="38" t="s">
        <v>3321</v>
      </c>
      <c r="C273" s="38" t="s">
        <v>649</v>
      </c>
      <c r="D273" s="39" t="s">
        <v>650</v>
      </c>
      <c r="E273" s="38" t="s">
        <v>3162</v>
      </c>
      <c r="F273" s="40"/>
      <c r="G273" s="40"/>
      <c r="H273" s="41" t="str">
        <f>VLOOKUP(C273,Stores!$A$200:$G$1118,3,0)</f>
        <v>Opened Stores</v>
      </c>
      <c r="I273" s="41" t="str">
        <f>VLOOKUP(C273,Stores!$A$200:$G$1118,4,0)</f>
        <v>Stage 7 - Installed</v>
      </c>
      <c r="J273" s="41" t="str">
        <f>VLOOKUP(C273,Stores!$A$200:$G$1118,5,0)</f>
        <v>ZKTECO</v>
      </c>
      <c r="K273" s="41" t="str">
        <f>VLOOKUP(C273,Stores!$A$200:$G$1118,6,0)</f>
        <v>ZKM6245100147</v>
      </c>
      <c r="L273" s="41" t="str">
        <f>VLOOKUP(C273,Stores!$A$200:$G$1118,7,0)</f>
        <v>192.168.1.201</v>
      </c>
      <c r="M273" s="42" t="s">
        <v>3315</v>
      </c>
    </row>
    <row r="274">
      <c r="A274" s="38" t="s">
        <v>2962</v>
      </c>
      <c r="B274" s="38" t="s">
        <v>3322</v>
      </c>
      <c r="C274" s="38" t="s">
        <v>1770</v>
      </c>
      <c r="D274" s="39" t="s">
        <v>1771</v>
      </c>
      <c r="E274" s="38" t="s">
        <v>3162</v>
      </c>
      <c r="F274" s="40"/>
      <c r="G274" s="40"/>
      <c r="H274" s="41" t="str">
        <f>VLOOKUP(C274,Stores!$A$200:$G$1118,3,0)</f>
        <v>Opened Stores</v>
      </c>
      <c r="I274" s="41" t="str">
        <f>VLOOKUP(C274,Stores!$A$200:$G$1118,4,0)</f>
        <v>Stage 7 - Installed</v>
      </c>
      <c r="J274" s="41" t="str">
        <f>VLOOKUP(C274,Stores!$A$200:$G$1118,5,0)</f>
        <v>ZKTECO</v>
      </c>
      <c r="K274" s="41" t="str">
        <f>VLOOKUP(C274,Stores!$A$200:$G$1118,6,0)</f>
        <v>CQUJ233560466</v>
      </c>
      <c r="L274" s="41" t="str">
        <f>VLOOKUP(C274,Stores!$A$200:$G$1118,7,0)</f>
        <v>192.168.1.201</v>
      </c>
      <c r="M274" s="42" t="s">
        <v>3315</v>
      </c>
    </row>
    <row r="275">
      <c r="A275" s="38" t="s">
        <v>2962</v>
      </c>
      <c r="B275" s="38" t="s">
        <v>3323</v>
      </c>
      <c r="C275" s="38" t="s">
        <v>2084</v>
      </c>
      <c r="D275" s="39" t="s">
        <v>2085</v>
      </c>
      <c r="E275" s="38" t="s">
        <v>3162</v>
      </c>
      <c r="F275" s="40"/>
      <c r="G275" s="40"/>
      <c r="H275" s="41" t="str">
        <f>VLOOKUP(C275,Stores!$A$200:$G$1118,3,0)</f>
        <v>Opened Stores</v>
      </c>
      <c r="I275" s="41" t="str">
        <f>VLOOKUP(C275,Stores!$A$200:$G$1118,4,0)</f>
        <v>Stage 7 - Installed</v>
      </c>
      <c r="J275" s="41" t="str">
        <f>VLOOKUP(C275,Stores!$A$200:$G$1118,5,0)</f>
        <v>ZKTECO</v>
      </c>
      <c r="K275" s="41" t="str">
        <f>VLOOKUP(C275,Stores!$A$200:$G$1118,6,0)</f>
        <v>CQUJ233560060</v>
      </c>
      <c r="L275" s="41" t="str">
        <f>VLOOKUP(C275,Stores!$A$200:$G$1118,7,0)</f>
        <v>192.168.1.201</v>
      </c>
      <c r="M275" s="42" t="s">
        <v>3315</v>
      </c>
    </row>
    <row r="276">
      <c r="A276" s="38" t="s">
        <v>2962</v>
      </c>
      <c r="B276" s="38" t="s">
        <v>3324</v>
      </c>
      <c r="C276" s="38" t="s">
        <v>1472</v>
      </c>
      <c r="D276" s="39" t="s">
        <v>1473</v>
      </c>
      <c r="E276" s="38" t="s">
        <v>3162</v>
      </c>
      <c r="F276" s="40"/>
      <c r="G276" s="40"/>
      <c r="H276" s="41" t="str">
        <f>VLOOKUP(C276,Stores!$A$200:$G$1118,3,0)</f>
        <v>Opened Stores</v>
      </c>
      <c r="I276" s="41" t="str">
        <f>VLOOKUP(C276,Stores!$A$200:$G$1118,4,0)</f>
        <v>Stage 7 - Installed</v>
      </c>
      <c r="J276" s="41" t="str">
        <f>VLOOKUP(C276,Stores!$A$200:$G$1118,5,0)</f>
        <v>ZKTECO</v>
      </c>
      <c r="K276" s="41" t="str">
        <f>VLOOKUP(C276,Stores!$A$200:$G$1118,6,0)</f>
        <v>AEYU082360245</v>
      </c>
      <c r="L276" s="41" t="str">
        <f>VLOOKUP(C276,Stores!$A$200:$G$1118,7,0)</f>
        <v>192.168.1.201</v>
      </c>
      <c r="M276" s="42" t="s">
        <v>3315</v>
      </c>
    </row>
    <row r="277">
      <c r="A277" s="38" t="s">
        <v>2962</v>
      </c>
      <c r="B277" s="38" t="s">
        <v>3325</v>
      </c>
      <c r="C277" s="38" t="s">
        <v>507</v>
      </c>
      <c r="D277" s="39" t="s">
        <v>508</v>
      </c>
      <c r="E277" s="38" t="s">
        <v>3162</v>
      </c>
      <c r="F277" s="40"/>
      <c r="G277" s="40"/>
      <c r="H277" s="41" t="str">
        <f>VLOOKUP(C277,Stores!$A$200:$G$1118,3,0)</f>
        <v>Opened Stores</v>
      </c>
      <c r="I277" s="41" t="str">
        <f>VLOOKUP(C277,Stores!$A$200:$G$1118,4,0)</f>
        <v>Stage 7 - Installed</v>
      </c>
      <c r="J277" s="41" t="str">
        <f>VLOOKUP(C277,Stores!$A$200:$G$1118,5,0)</f>
        <v>ZKTECO</v>
      </c>
      <c r="K277" s="41" t="str">
        <f>VLOOKUP(C277,Stores!$A$200:$G$1118,6,0)</f>
        <v>ZKM6245100116</v>
      </c>
      <c r="L277" s="41" t="str">
        <f>VLOOKUP(C277,Stores!$A$200:$G$1118,7,0)</f>
        <v>192.168.1.201</v>
      </c>
      <c r="M277" s="42" t="s">
        <v>3315</v>
      </c>
    </row>
    <row r="278">
      <c r="A278" s="38" t="s">
        <v>2962</v>
      </c>
      <c r="B278" s="38" t="s">
        <v>3326</v>
      </c>
      <c r="C278" s="38" t="s">
        <v>2829</v>
      </c>
      <c r="D278" s="39" t="s">
        <v>2830</v>
      </c>
      <c r="E278" s="38" t="s">
        <v>3162</v>
      </c>
      <c r="F278" s="40"/>
      <c r="G278" s="40"/>
      <c r="H278" s="41" t="str">
        <f>VLOOKUP(C278,Stores!$A$200:$G$1118,3,0)</f>
        <v>Opened Stores</v>
      </c>
      <c r="I278" s="41" t="str">
        <f>VLOOKUP(C278,Stores!$A$200:$G$1118,4,0)</f>
        <v>Stage 7 - Installed</v>
      </c>
      <c r="J278" s="41" t="str">
        <f>VLOOKUP(C278,Stores!$A$200:$G$1118,5,0)</f>
        <v>ZKTECO</v>
      </c>
      <c r="K278" s="41" t="str">
        <f>VLOOKUP(C278,Stores!$A$200:$G$1118,6,0)</f>
        <v>PAS4252900275</v>
      </c>
      <c r="L278" s="41" t="str">
        <f>VLOOKUP(C278,Stores!$A$200:$G$1118,7,0)</f>
        <v>192.168.1.201</v>
      </c>
      <c r="M278" s="42" t="s">
        <v>3315</v>
      </c>
    </row>
    <row r="279">
      <c r="A279" s="38" t="s">
        <v>2962</v>
      </c>
      <c r="B279" s="38" t="s">
        <v>3327</v>
      </c>
      <c r="C279" s="38" t="s">
        <v>1505</v>
      </c>
      <c r="D279" s="39" t="s">
        <v>1506</v>
      </c>
      <c r="E279" s="38" t="s">
        <v>3162</v>
      </c>
      <c r="F279" s="40"/>
      <c r="G279" s="40"/>
      <c r="H279" s="41" t="str">
        <f>VLOOKUP(C279,Stores!$A$200:$G$1118,3,0)</f>
        <v>Opened Stores</v>
      </c>
      <c r="I279" s="41" t="str">
        <f>VLOOKUP(C279,Stores!$A$200:$G$1118,4,0)</f>
        <v>Stage 7 - Installed</v>
      </c>
      <c r="J279" s="41" t="str">
        <f>VLOOKUP(C279,Stores!$A$200:$G$1118,5,0)</f>
        <v>ZKTECO</v>
      </c>
      <c r="K279" s="41" t="str">
        <f>VLOOKUP(C279,Stores!$A$200:$G$1118,6,0)</f>
        <v>AEYU082360204</v>
      </c>
      <c r="L279" s="41" t="str">
        <f>VLOOKUP(C279,Stores!$A$200:$G$1118,7,0)</f>
        <v>192.168.1.201</v>
      </c>
      <c r="M279" s="42" t="s">
        <v>3315</v>
      </c>
    </row>
    <row r="280">
      <c r="A280" s="38" t="s">
        <v>2962</v>
      </c>
      <c r="B280" s="38" t="s">
        <v>3328</v>
      </c>
      <c r="C280" s="38" t="s">
        <v>1508</v>
      </c>
      <c r="D280" s="39" t="s">
        <v>1509</v>
      </c>
      <c r="E280" s="38" t="s">
        <v>3162</v>
      </c>
      <c r="F280" s="40"/>
      <c r="G280" s="40"/>
      <c r="H280" s="41" t="str">
        <f>VLOOKUP(C280,Stores!$A$200:$G$1118,3,0)</f>
        <v>Opened Stores</v>
      </c>
      <c r="I280" s="41" t="str">
        <f>VLOOKUP(C280,Stores!$A$200:$G$1118,4,0)</f>
        <v>Stage 7 - Installed</v>
      </c>
      <c r="J280" s="41" t="str">
        <f>VLOOKUP(C280,Stores!$A$200:$G$1118,5,0)</f>
        <v>ZKTECO</v>
      </c>
      <c r="K280" s="41" t="str">
        <f>VLOOKUP(C280,Stores!$A$200:$G$1118,6,0)</f>
        <v>AEYU082360205</v>
      </c>
      <c r="L280" s="41" t="str">
        <f>VLOOKUP(C280,Stores!$A$200:$G$1118,7,0)</f>
        <v>192.168.1.201</v>
      </c>
      <c r="M280" s="42" t="s">
        <v>3315</v>
      </c>
    </row>
    <row r="281">
      <c r="A281" s="38" t="s">
        <v>2962</v>
      </c>
      <c r="B281" s="38" t="s">
        <v>3329</v>
      </c>
      <c r="C281" s="38" t="s">
        <v>1812</v>
      </c>
      <c r="D281" s="39" t="s">
        <v>1813</v>
      </c>
      <c r="E281" s="38" t="s">
        <v>3162</v>
      </c>
      <c r="F281" s="40"/>
      <c r="G281" s="40"/>
      <c r="H281" s="41" t="str">
        <f>VLOOKUP(C281,Stores!$A$200:$G$1118,3,0)</f>
        <v>Opened Stores</v>
      </c>
      <c r="I281" s="41" t="str">
        <f>VLOOKUP(C281,Stores!$A$200:$G$1118,4,0)</f>
        <v>Stage 7 - Installed</v>
      </c>
      <c r="J281" s="41" t="str">
        <f>VLOOKUP(C281,Stores!$A$200:$G$1118,5,0)</f>
        <v>ZKTECO</v>
      </c>
      <c r="K281" s="41" t="str">
        <f>VLOOKUP(C281,Stores!$A$200:$G$1118,6,0)</f>
        <v>CQUJ233561238</v>
      </c>
      <c r="L281" s="41" t="str">
        <f>VLOOKUP(C281,Stores!$A$200:$G$1118,7,0)</f>
        <v>192.168.1.201</v>
      </c>
      <c r="M281" s="42" t="s">
        <v>3315</v>
      </c>
    </row>
    <row r="282">
      <c r="A282" s="38" t="s">
        <v>2962</v>
      </c>
      <c r="B282" s="38" t="s">
        <v>3330</v>
      </c>
      <c r="C282" s="38" t="s">
        <v>1454</v>
      </c>
      <c r="D282" s="39" t="s">
        <v>1455</v>
      </c>
      <c r="E282" s="38" t="s">
        <v>3162</v>
      </c>
      <c r="F282" s="40"/>
      <c r="G282" s="40"/>
      <c r="H282" s="41" t="str">
        <f>VLOOKUP(C282,Stores!$A$200:$G$1118,3,0)</f>
        <v>Opened Stores</v>
      </c>
      <c r="I282" s="41" t="str">
        <f>VLOOKUP(C282,Stores!$A$200:$G$1118,4,0)</f>
        <v>Stage 7 - Installed</v>
      </c>
      <c r="J282" s="41" t="str">
        <f>VLOOKUP(C282,Stores!$A$200:$G$1118,5,0)</f>
        <v>ZKTECO</v>
      </c>
      <c r="K282" s="41" t="str">
        <f>VLOOKUP(C282,Stores!$A$200:$G$1118,6,0)</f>
        <v>ZKM 6251500166</v>
      </c>
      <c r="L282" s="41" t="str">
        <f>VLOOKUP(C282,Stores!$A$200:$G$1118,7,0)</f>
        <v>192.168.1.201</v>
      </c>
      <c r="M282" s="42" t="s">
        <v>3315</v>
      </c>
    </row>
    <row r="283">
      <c r="A283" s="38" t="s">
        <v>2962</v>
      </c>
      <c r="B283" s="38" t="s">
        <v>3331</v>
      </c>
      <c r="C283" s="38" t="s">
        <v>442</v>
      </c>
      <c r="D283" s="39" t="s">
        <v>443</v>
      </c>
      <c r="E283" s="38" t="s">
        <v>3162</v>
      </c>
      <c r="F283" s="40"/>
      <c r="G283" s="40"/>
      <c r="H283" s="41" t="str">
        <f>VLOOKUP(C283,Stores!$A$200:$G$1118,3,0)</f>
        <v>Opened Stores</v>
      </c>
      <c r="I283" s="41" t="str">
        <f>VLOOKUP(C283,Stores!$A$200:$G$1118,4,0)</f>
        <v>Stage 7 - Installed</v>
      </c>
      <c r="J283" s="41" t="str">
        <f>VLOOKUP(C283,Stores!$A$200:$G$1118,5,0)</f>
        <v>FINGERTEC</v>
      </c>
      <c r="K283" s="41">
        <f>VLOOKUP(C283,Stores!$A$200:$G$1118,6,0)</f>
        <v>7415913</v>
      </c>
      <c r="L283" s="41" t="str">
        <f>VLOOKUP(C283,Stores!$A$200:$G$1118,7,0)</f>
        <v>192.168.1.201</v>
      </c>
      <c r="M283" s="42" t="s">
        <v>3315</v>
      </c>
    </row>
    <row r="284">
      <c r="A284" s="38" t="s">
        <v>2962</v>
      </c>
      <c r="B284" s="38" t="s">
        <v>3332</v>
      </c>
      <c r="C284" s="38" t="s">
        <v>2799</v>
      </c>
      <c r="D284" s="39" t="s">
        <v>2800</v>
      </c>
      <c r="E284" s="38" t="s">
        <v>3162</v>
      </c>
      <c r="F284" s="40"/>
      <c r="G284" s="40"/>
      <c r="H284" s="41" t="str">
        <f>VLOOKUP(C284,Stores!$A$200:$G$1118,3,0)</f>
        <v>Opened Stores</v>
      </c>
      <c r="I284" s="41" t="str">
        <f>VLOOKUP(C284,Stores!$A$200:$G$1118,4,0)</f>
        <v>Stage 7 - Installed</v>
      </c>
      <c r="J284" s="41" t="str">
        <f>VLOOKUP(C284,Stores!$A$200:$G$1118,5,0)</f>
        <v>ZKTECO</v>
      </c>
      <c r="K284" s="41" t="str">
        <f>VLOOKUP(C284,Stores!$A$200:$G$1118,6,0)</f>
        <v>PAS4252900266</v>
      </c>
      <c r="L284" s="41" t="str">
        <f>VLOOKUP(C284,Stores!$A$200:$G$1118,7,0)</f>
        <v>192.168.1.201</v>
      </c>
      <c r="M284" s="42" t="s">
        <v>3315</v>
      </c>
    </row>
    <row r="285">
      <c r="A285" s="38" t="s">
        <v>2962</v>
      </c>
      <c r="B285" s="38" t="s">
        <v>3333</v>
      </c>
      <c r="C285" s="38" t="s">
        <v>577</v>
      </c>
      <c r="D285" s="39" t="s">
        <v>578</v>
      </c>
      <c r="E285" s="38" t="s">
        <v>3162</v>
      </c>
      <c r="F285" s="40"/>
      <c r="G285" s="40"/>
      <c r="H285" s="41" t="str">
        <f>VLOOKUP(C285,Stores!$A$200:$G$1118,3,0)</f>
        <v>Opened Stores</v>
      </c>
      <c r="I285" s="41" t="str">
        <f>VLOOKUP(C285,Stores!$A$200:$G$1118,4,0)</f>
        <v>Stage 7 - Installed</v>
      </c>
      <c r="J285" s="41" t="str">
        <f>VLOOKUP(C285,Stores!$A$200:$G$1118,5,0)</f>
        <v>FINGERTEC</v>
      </c>
      <c r="K285" s="41">
        <f>VLOOKUP(C285,Stores!$A$200:$G$1118,6,0)</f>
        <v>7420092</v>
      </c>
      <c r="L285" s="41" t="str">
        <f>VLOOKUP(C285,Stores!$A$200:$G$1118,7,0)</f>
        <v>192.168.1.234</v>
      </c>
      <c r="M285" s="42" t="s">
        <v>3315</v>
      </c>
    </row>
    <row r="286">
      <c r="A286" s="38" t="s">
        <v>2962</v>
      </c>
      <c r="B286" s="38" t="s">
        <v>3334</v>
      </c>
      <c r="C286" s="38" t="s">
        <v>866</v>
      </c>
      <c r="D286" s="39" t="s">
        <v>867</v>
      </c>
      <c r="E286" s="38" t="s">
        <v>3162</v>
      </c>
      <c r="F286" s="40"/>
      <c r="G286" s="40"/>
      <c r="H286" s="41" t="str">
        <f>VLOOKUP(C286,Stores!$A$200:$G$1118,3,0)</f>
        <v>Opened Stores</v>
      </c>
      <c r="I286" s="41" t="str">
        <f>VLOOKUP(C286,Stores!$A$200:$G$1118,4,0)</f>
        <v>Stage 7 - Installed</v>
      </c>
      <c r="J286" s="41" t="str">
        <f>VLOOKUP(C286,Stores!$A$200:$G$1118,5,0)</f>
        <v>FINGERTEC</v>
      </c>
      <c r="K286" s="41">
        <f>VLOOKUP(C286,Stores!$A$200:$G$1118,6,0)</f>
        <v>7425679</v>
      </c>
      <c r="L286" s="41" t="str">
        <f>VLOOKUP(C286,Stores!$A$200:$G$1118,7,0)</f>
        <v>192.168.1.201</v>
      </c>
      <c r="M286" s="42" t="s">
        <v>3315</v>
      </c>
    </row>
    <row r="287">
      <c r="A287" s="38" t="s">
        <v>2962</v>
      </c>
      <c r="B287" s="38" t="s">
        <v>3335</v>
      </c>
      <c r="C287" s="38" t="s">
        <v>686</v>
      </c>
      <c r="D287" s="39" t="s">
        <v>687</v>
      </c>
      <c r="E287" s="38" t="s">
        <v>3162</v>
      </c>
      <c r="F287" s="40"/>
      <c r="G287" s="40"/>
      <c r="H287" s="41" t="str">
        <f>VLOOKUP(C287,Stores!$A$200:$G$1118,3,0)</f>
        <v>Opened Stores</v>
      </c>
      <c r="I287" s="41" t="str">
        <f>VLOOKUP(C287,Stores!$A$200:$G$1118,4,0)</f>
        <v>Stage 7 - Installed</v>
      </c>
      <c r="J287" s="41" t="str">
        <f>VLOOKUP(C287,Stores!$A$200:$G$1118,5,0)</f>
        <v>FINGERTEC</v>
      </c>
      <c r="K287" s="41">
        <f>VLOOKUP(C287,Stores!$A$200:$G$1118,6,0)</f>
        <v>7422871</v>
      </c>
      <c r="L287" s="41" t="str">
        <f>VLOOKUP(C287,Stores!$A$200:$G$1118,7,0)</f>
        <v>192.168.1.201</v>
      </c>
      <c r="M287" s="42" t="s">
        <v>3315</v>
      </c>
    </row>
    <row r="288">
      <c r="A288" s="38" t="s">
        <v>2962</v>
      </c>
      <c r="B288" s="38" t="s">
        <v>3336</v>
      </c>
      <c r="C288" s="38" t="s">
        <v>485</v>
      </c>
      <c r="D288" s="39" t="s">
        <v>486</v>
      </c>
      <c r="E288" s="38" t="s">
        <v>3162</v>
      </c>
      <c r="F288" s="40"/>
      <c r="G288" s="40"/>
      <c r="H288" s="41" t="str">
        <f>VLOOKUP(C288,Stores!$A$200:$G$1118,3,0)</f>
        <v>Opened Stores</v>
      </c>
      <c r="I288" s="41" t="str">
        <f>VLOOKUP(C288,Stores!$A$200:$G$1118,4,0)</f>
        <v>Stage 7 - Installed</v>
      </c>
      <c r="J288" s="41" t="str">
        <f>VLOOKUP(C288,Stores!$A$200:$G$1118,5,0)</f>
        <v>FINGERTEC</v>
      </c>
      <c r="K288" s="41">
        <f>VLOOKUP(C288,Stores!$A$200:$G$1118,6,0)</f>
        <v>7417481</v>
      </c>
      <c r="L288" s="41" t="str">
        <f>VLOOKUP(C288,Stores!$A$200:$G$1118,7,0)</f>
        <v>192.168.1.201</v>
      </c>
      <c r="M288" s="42" t="s">
        <v>3315</v>
      </c>
    </row>
    <row r="289">
      <c r="A289" s="38" t="s">
        <v>2962</v>
      </c>
      <c r="B289" s="38" t="s">
        <v>3337</v>
      </c>
      <c r="C289" s="38" t="s">
        <v>584</v>
      </c>
      <c r="D289" s="39" t="s">
        <v>585</v>
      </c>
      <c r="E289" s="38" t="s">
        <v>3162</v>
      </c>
      <c r="F289" s="40"/>
      <c r="G289" s="40"/>
      <c r="H289" s="41" t="str">
        <f>VLOOKUP(C289,Stores!$A$200:$G$1118,3,0)</f>
        <v>Opened Stores</v>
      </c>
      <c r="I289" s="41" t="str">
        <f>VLOOKUP(C289,Stores!$A$200:$G$1118,4,0)</f>
        <v>Stage 7 - Installed</v>
      </c>
      <c r="J289" s="41" t="str">
        <f>VLOOKUP(C289,Stores!$A$200:$G$1118,5,0)</f>
        <v>FINGERTEC</v>
      </c>
      <c r="K289" s="41">
        <f>VLOOKUP(C289,Stores!$A$200:$G$1118,6,0)</f>
        <v>7421809</v>
      </c>
      <c r="L289" s="41" t="str">
        <f>VLOOKUP(C289,Stores!$A$200:$G$1118,7,0)</f>
        <v>192.168.1.201</v>
      </c>
      <c r="M289" s="42" t="s">
        <v>3315</v>
      </c>
    </row>
    <row r="290">
      <c r="A290" s="38" t="s">
        <v>2962</v>
      </c>
      <c r="B290" s="38" t="s">
        <v>3338</v>
      </c>
      <c r="C290" s="38" t="s">
        <v>994</v>
      </c>
      <c r="D290" s="39" t="s">
        <v>995</v>
      </c>
      <c r="E290" s="38" t="s">
        <v>3162</v>
      </c>
      <c r="F290" s="40"/>
      <c r="G290" s="40"/>
      <c r="H290" s="41" t="str">
        <f>VLOOKUP(C290,Stores!$A$200:$G$1118,3,0)</f>
        <v>Opened Stores</v>
      </c>
      <c r="I290" s="41" t="str">
        <f>VLOOKUP(C290,Stores!$A$200:$G$1118,4,0)</f>
        <v>Stage 7 - Installed</v>
      </c>
      <c r="J290" s="41" t="str">
        <f>VLOOKUP(C290,Stores!$A$200:$G$1118,5,0)</f>
        <v>ZKTECO</v>
      </c>
      <c r="K290" s="41" t="str">
        <f>VLOOKUP(C290,Stores!$A$200:$G$1118,6,0)</f>
        <v>A8N5221960303</v>
      </c>
      <c r="L290" s="41" t="str">
        <f>VLOOKUP(C290,Stores!$A$200:$G$1118,7,0)</f>
        <v>192.168.1.201</v>
      </c>
      <c r="M290" s="42" t="s">
        <v>3315</v>
      </c>
    </row>
    <row r="291">
      <c r="A291" s="38" t="s">
        <v>2962</v>
      </c>
      <c r="B291" s="38" t="s">
        <v>3339</v>
      </c>
      <c r="C291" s="38" t="s">
        <v>2357</v>
      </c>
      <c r="D291" s="39" t="s">
        <v>2358</v>
      </c>
      <c r="E291" s="38" t="s">
        <v>3162</v>
      </c>
      <c r="F291" s="40"/>
      <c r="G291" s="40"/>
      <c r="H291" s="41" t="str">
        <f>VLOOKUP(C291,Stores!$A$200:$G$1118,3,0)</f>
        <v>Opened Stores</v>
      </c>
      <c r="I291" s="41" t="str">
        <f>VLOOKUP(C291,Stores!$A$200:$G$1118,4,0)</f>
        <v>Stage 7 - Installed</v>
      </c>
      <c r="J291" s="41" t="str">
        <f>VLOOKUP(C291,Stores!$A$200:$G$1118,5,0)</f>
        <v>ZKTECO</v>
      </c>
      <c r="K291" s="41" t="str">
        <f>VLOOKUP(C291,Stores!$A$200:$G$1118,6,0)</f>
        <v>ZKM6251500304</v>
      </c>
      <c r="L291" s="41" t="str">
        <f>VLOOKUP(C291,Stores!$A$200:$G$1118,7,0)</f>
        <v>192.168.1.201</v>
      </c>
      <c r="M291" s="42" t="s">
        <v>3315</v>
      </c>
    </row>
    <row r="292">
      <c r="A292" s="38" t="s">
        <v>2962</v>
      </c>
      <c r="B292" s="38" t="s">
        <v>3340</v>
      </c>
      <c r="C292" s="38" t="s">
        <v>586</v>
      </c>
      <c r="D292" s="39" t="s">
        <v>587</v>
      </c>
      <c r="E292" s="38" t="s">
        <v>3162</v>
      </c>
      <c r="F292" s="40"/>
      <c r="G292" s="40"/>
      <c r="H292" s="41" t="str">
        <f>VLOOKUP(C292,Stores!$A$200:$G$1118,3,0)</f>
        <v>Opened Stores</v>
      </c>
      <c r="I292" s="41" t="str">
        <f>VLOOKUP(C292,Stores!$A$200:$G$1118,4,0)</f>
        <v>Stage 7 - Installed</v>
      </c>
      <c r="J292" s="41" t="str">
        <f>VLOOKUP(C292,Stores!$A$200:$G$1118,5,0)</f>
        <v>FINGERTEC</v>
      </c>
      <c r="K292" s="41">
        <f>VLOOKUP(C292,Stores!$A$200:$G$1118,6,0)</f>
        <v>7421808</v>
      </c>
      <c r="L292" s="41" t="str">
        <f>VLOOKUP(C292,Stores!$A$200:$G$1118,7,0)</f>
        <v>192.168.1.201</v>
      </c>
      <c r="M292" s="42" t="s">
        <v>3315</v>
      </c>
    </row>
    <row r="293">
      <c r="A293" s="38" t="s">
        <v>2962</v>
      </c>
      <c r="B293" s="38" t="s">
        <v>3341</v>
      </c>
      <c r="C293" s="38" t="s">
        <v>2868</v>
      </c>
      <c r="D293" s="39" t="s">
        <v>2869</v>
      </c>
      <c r="E293" s="38" t="s">
        <v>3162</v>
      </c>
      <c r="F293" s="40"/>
      <c r="G293" s="40"/>
      <c r="H293" s="41" t="str">
        <f>VLOOKUP(C293,Stores!$A$200:$G$1118,3,0)</f>
        <v>Opened Stores</v>
      </c>
      <c r="I293" s="41" t="str">
        <f>VLOOKUP(C293,Stores!$A$200:$G$1118,4,0)</f>
        <v>Stage 7 - Installed</v>
      </c>
      <c r="J293" s="41" t="str">
        <f>VLOOKUP(C293,Stores!$A$200:$G$1118,5,0)</f>
        <v>ZKTECO</v>
      </c>
      <c r="K293" s="41" t="str">
        <f>VLOOKUP(C293,Stores!$A$200:$G$1118,6,0)</f>
        <v>PAS4252500203</v>
      </c>
      <c r="L293" s="41" t="str">
        <f>VLOOKUP(C293,Stores!$A$200:$G$1118,7,0)</f>
        <v>192.168.1.201</v>
      </c>
      <c r="M293" s="42" t="s">
        <v>3315</v>
      </c>
    </row>
    <row r="294">
      <c r="A294" s="38" t="s">
        <v>2962</v>
      </c>
      <c r="B294" s="38" t="s">
        <v>3342</v>
      </c>
      <c r="C294" s="38" t="s">
        <v>1925</v>
      </c>
      <c r="D294" s="39" t="s">
        <v>3343</v>
      </c>
      <c r="E294" s="38" t="s">
        <v>3162</v>
      </c>
      <c r="F294" s="40"/>
      <c r="G294" s="40"/>
      <c r="H294" s="41" t="str">
        <f>VLOOKUP(C294,Stores!$A$200:$G$1118,3,0)</f>
        <v>Opened Stores</v>
      </c>
      <c r="I294" s="41" t="str">
        <f>VLOOKUP(C294,Stores!$A$200:$G$1118,4,0)</f>
        <v>Stage 7 - Installed</v>
      </c>
      <c r="J294" s="41" t="str">
        <f>VLOOKUP(C294,Stores!$A$200:$G$1118,5,0)</f>
        <v>ZKTECO</v>
      </c>
      <c r="K294" s="41" t="str">
        <f>VLOOKUP(C294,Stores!$A$200:$G$1118,6,0)</f>
        <v>CQUJ233561185</v>
      </c>
      <c r="L294" s="41" t="str">
        <f>VLOOKUP(C294,Stores!$A$200:$G$1118,7,0)</f>
        <v>192.168.1.201</v>
      </c>
      <c r="M294" s="42" t="s">
        <v>3315</v>
      </c>
    </row>
    <row r="295">
      <c r="A295" s="38" t="s">
        <v>2962</v>
      </c>
      <c r="B295" s="38" t="s">
        <v>3344</v>
      </c>
      <c r="C295" s="38" t="s">
        <v>1701</v>
      </c>
      <c r="D295" s="39" t="s">
        <v>1702</v>
      </c>
      <c r="E295" s="38" t="s">
        <v>3162</v>
      </c>
      <c r="F295" s="40"/>
      <c r="G295" s="40"/>
      <c r="H295" s="41" t="str">
        <f>VLOOKUP(C295,Stores!$A$200:$G$1118,3,0)</f>
        <v>Opened Stores</v>
      </c>
      <c r="I295" s="41" t="str">
        <f>VLOOKUP(C295,Stores!$A$200:$G$1118,4,0)</f>
        <v>Stage 7 - Installed</v>
      </c>
      <c r="J295" s="41" t="str">
        <f>VLOOKUP(C295,Stores!$A$200:$G$1118,5,0)</f>
        <v>ZKTECO</v>
      </c>
      <c r="K295" s="41" t="str">
        <f>VLOOKUP(C295,Stores!$A$200:$G$1118,6,0)</f>
        <v>AEYU082360199</v>
      </c>
      <c r="L295" s="41" t="str">
        <f>VLOOKUP(C295,Stores!$A$200:$G$1118,7,0)</f>
        <v>192.168.1.201</v>
      </c>
      <c r="M295" s="42" t="s">
        <v>3315</v>
      </c>
    </row>
    <row r="296">
      <c r="A296" s="38" t="s">
        <v>2962</v>
      </c>
      <c r="B296" s="38" t="s">
        <v>3345</v>
      </c>
      <c r="C296" s="38" t="s">
        <v>2384</v>
      </c>
      <c r="D296" s="39" t="s">
        <v>2385</v>
      </c>
      <c r="E296" s="38" t="s">
        <v>3162</v>
      </c>
      <c r="F296" s="40"/>
      <c r="G296" s="40"/>
      <c r="H296" s="41" t="str">
        <f>VLOOKUP(C296,Stores!$A$200:$G$1118,3,0)</f>
        <v>Opened Stores</v>
      </c>
      <c r="I296" s="41" t="str">
        <f>VLOOKUP(C296,Stores!$A$200:$G$1118,4,0)</f>
        <v>Stage 7 - Installed</v>
      </c>
      <c r="J296" s="41" t="str">
        <f>VLOOKUP(C296,Stores!$A$200:$G$1118,5,0)</f>
        <v>ZKTECO</v>
      </c>
      <c r="K296" s="41" t="str">
        <f>VLOOKUP(C296,Stores!$A$200:$G$1118,6,0)</f>
        <v>ZKM6245100151</v>
      </c>
      <c r="L296" s="41" t="str">
        <f>VLOOKUP(C296,Stores!$A$200:$G$1118,7,0)</f>
        <v>192.168.1.201</v>
      </c>
      <c r="M296" s="42" t="s">
        <v>3315</v>
      </c>
    </row>
    <row r="297">
      <c r="A297" s="38" t="s">
        <v>2962</v>
      </c>
      <c r="B297" s="38" t="s">
        <v>3346</v>
      </c>
      <c r="C297" s="38" t="s">
        <v>1579</v>
      </c>
      <c r="D297" s="39" t="s">
        <v>1580</v>
      </c>
      <c r="E297" s="38" t="s">
        <v>3162</v>
      </c>
      <c r="F297" s="40"/>
      <c r="G297" s="40"/>
      <c r="H297" s="41" t="str">
        <f>VLOOKUP(C297,Stores!$A$200:$G$1118,3,0)</f>
        <v>Opened Stores</v>
      </c>
      <c r="I297" s="41" t="str">
        <f>VLOOKUP(C297,Stores!$A$200:$G$1118,4,0)</f>
        <v>Stage 7 - Installed</v>
      </c>
      <c r="J297" s="41" t="str">
        <f>VLOOKUP(C297,Stores!$A$200:$G$1118,5,0)</f>
        <v>ZKTECO</v>
      </c>
      <c r="K297" s="41" t="str">
        <f>VLOOKUP(C297,Stores!$A$200:$G$1118,6,0)</f>
        <v>AEYU082360280</v>
      </c>
      <c r="L297" s="41" t="str">
        <f>VLOOKUP(C297,Stores!$A$200:$G$1118,7,0)</f>
        <v>192.168.1.201</v>
      </c>
      <c r="M297" s="42" t="s">
        <v>3315</v>
      </c>
    </row>
    <row r="298">
      <c r="A298" s="38" t="s">
        <v>2962</v>
      </c>
      <c r="B298" s="38" t="s">
        <v>3347</v>
      </c>
      <c r="C298" s="38" t="s">
        <v>1785</v>
      </c>
      <c r="D298" s="39" t="s">
        <v>1786</v>
      </c>
      <c r="E298" s="38" t="s">
        <v>3162</v>
      </c>
      <c r="F298" s="40"/>
      <c r="G298" s="40"/>
      <c r="H298" s="41" t="str">
        <f>VLOOKUP(C298,Stores!$A$200:$G$1118,3,0)</f>
        <v>Opened Stores</v>
      </c>
      <c r="I298" s="41" t="str">
        <f>VLOOKUP(C298,Stores!$A$200:$G$1118,4,0)</f>
        <v>Stage 7 - Installed</v>
      </c>
      <c r="J298" s="41" t="str">
        <f>VLOOKUP(C298,Stores!$A$200:$G$1118,5,0)</f>
        <v>ZKTECO</v>
      </c>
      <c r="K298" s="41" t="str">
        <f>VLOOKUP(C298,Stores!$A$200:$G$1118,6,0)</f>
        <v>CQUJ233560455</v>
      </c>
      <c r="L298" s="41" t="str">
        <f>VLOOKUP(C298,Stores!$A$200:$G$1118,7,0)</f>
        <v>192.168.1.201</v>
      </c>
      <c r="M298" s="42" t="s">
        <v>3315</v>
      </c>
    </row>
    <row r="299">
      <c r="A299" s="38" t="s">
        <v>2962</v>
      </c>
      <c r="B299" s="38" t="s">
        <v>3348</v>
      </c>
      <c r="C299" s="38" t="s">
        <v>2354</v>
      </c>
      <c r="D299" s="39" t="s">
        <v>2355</v>
      </c>
      <c r="E299" s="38" t="s">
        <v>3162</v>
      </c>
      <c r="F299" s="40"/>
      <c r="G299" s="40"/>
      <c r="H299" s="41" t="str">
        <f>VLOOKUP(C299,Stores!$A$200:$G$1118,3,0)</f>
        <v>Opened Stores</v>
      </c>
      <c r="I299" s="41" t="str">
        <f>VLOOKUP(C299,Stores!$A$200:$G$1118,4,0)</f>
        <v>Stage 7 - Installed</v>
      </c>
      <c r="J299" s="41" t="str">
        <f>VLOOKUP(C299,Stores!$A$200:$G$1118,5,0)</f>
        <v>ZKTECO</v>
      </c>
      <c r="K299" s="41" t="str">
        <f>VLOOKUP(C299,Stores!$A$200:$G$1118,6,0)</f>
        <v>ZKM6245100136</v>
      </c>
      <c r="L299" s="41" t="str">
        <f>VLOOKUP(C299,Stores!$A$200:$G$1118,7,0)</f>
        <v>192.168.1.201</v>
      </c>
      <c r="M299" s="42" t="s">
        <v>3315</v>
      </c>
    </row>
    <row r="300">
      <c r="A300" s="38" t="s">
        <v>2962</v>
      </c>
      <c r="B300" s="38" t="s">
        <v>3349</v>
      </c>
      <c r="C300" s="38" t="s">
        <v>2617</v>
      </c>
      <c r="D300" s="39" t="s">
        <v>3350</v>
      </c>
      <c r="E300" s="38" t="s">
        <v>3162</v>
      </c>
      <c r="F300" s="40"/>
      <c r="G300" s="40"/>
      <c r="H300" s="41" t="str">
        <f>VLOOKUP(C300,Stores!$A$200:$G$1118,3,0)</f>
        <v>Opened Stores</v>
      </c>
      <c r="I300" s="41" t="str">
        <f>VLOOKUP(C300,Stores!$A$200:$G$1118,4,0)</f>
        <v>Stage 7 - Installed</v>
      </c>
      <c r="J300" s="41" t="str">
        <f>VLOOKUP(C300,Stores!$A$200:$G$1118,5,0)</f>
        <v>ZKTECO</v>
      </c>
      <c r="K300" s="41" t="str">
        <f>VLOOKUP(C300,Stores!$A$200:$G$1118,6,0)</f>
        <v>ZKM6251700031</v>
      </c>
      <c r="L300" s="41" t="str">
        <f>VLOOKUP(C300,Stores!$A$200:$G$1118,7,0)</f>
        <v>192.168.1.201</v>
      </c>
      <c r="M300" s="42" t="s">
        <v>3315</v>
      </c>
    </row>
    <row r="301">
      <c r="A301" s="38" t="s">
        <v>2962</v>
      </c>
      <c r="B301" s="38" t="s">
        <v>3351</v>
      </c>
      <c r="C301" s="38" t="s">
        <v>2547</v>
      </c>
      <c r="D301" s="39" t="s">
        <v>2548</v>
      </c>
      <c r="E301" s="38" t="s">
        <v>3162</v>
      </c>
      <c r="F301" s="40"/>
      <c r="G301" s="40"/>
      <c r="H301" s="41" t="str">
        <f>VLOOKUP(C301,Stores!$A$200:$G$1118,3,0)</f>
        <v>Opened Stores</v>
      </c>
      <c r="I301" s="41" t="str">
        <f>VLOOKUP(C301,Stores!$A$200:$G$1118,4,0)</f>
        <v>Stage 7 - Installed</v>
      </c>
      <c r="J301" s="41" t="str">
        <f>VLOOKUP(C301,Stores!$A$200:$G$1118,5,0)</f>
        <v>ZKTECO</v>
      </c>
      <c r="K301" s="41" t="str">
        <f>VLOOKUP(C301,Stores!$A$200:$G$1118,6,0)</f>
        <v>ZKM6251400184</v>
      </c>
      <c r="L301" s="41" t="str">
        <f>VLOOKUP(C301,Stores!$A$200:$G$1118,7,0)</f>
        <v>192.168.1.201</v>
      </c>
      <c r="M301" s="42" t="s">
        <v>3315</v>
      </c>
    </row>
    <row r="302">
      <c r="A302" s="38" t="s">
        <v>2962</v>
      </c>
      <c r="B302" s="38" t="s">
        <v>3352</v>
      </c>
      <c r="C302" s="38" t="s">
        <v>695</v>
      </c>
      <c r="D302" s="39" t="s">
        <v>696</v>
      </c>
      <c r="E302" s="38" t="s">
        <v>3162</v>
      </c>
      <c r="F302" s="40"/>
      <c r="G302" s="40"/>
      <c r="H302" s="41" t="str">
        <f>VLOOKUP(C302,Stores!$A$200:$G$1118,3,0)</f>
        <v>Opened Stores</v>
      </c>
      <c r="I302" s="41" t="str">
        <f>VLOOKUP(C302,Stores!$A$200:$G$1118,4,0)</f>
        <v>Stage 7 - Installed</v>
      </c>
      <c r="J302" s="41" t="str">
        <f>VLOOKUP(C302,Stores!$A$200:$G$1118,5,0)</f>
        <v>FINGERTEC</v>
      </c>
      <c r="K302" s="41">
        <f>VLOOKUP(C302,Stores!$A$200:$G$1118,6,0)</f>
        <v>7422148</v>
      </c>
      <c r="L302" s="41" t="str">
        <f>VLOOKUP(C302,Stores!$A$200:$G$1118,7,0)</f>
        <v>192.168.1.201</v>
      </c>
      <c r="M302" s="42" t="s">
        <v>3315</v>
      </c>
    </row>
    <row r="303">
      <c r="A303" s="38" t="s">
        <v>2962</v>
      </c>
      <c r="B303" s="38" t="s">
        <v>3353</v>
      </c>
      <c r="C303" s="38" t="s">
        <v>797</v>
      </c>
      <c r="D303" s="39" t="s">
        <v>798</v>
      </c>
      <c r="E303" s="38" t="s">
        <v>3162</v>
      </c>
      <c r="F303" s="40"/>
      <c r="G303" s="40"/>
      <c r="H303" s="41" t="str">
        <f>VLOOKUP(C303,Stores!$A$200:$G$1118,3,0)</f>
        <v>Opened Stores</v>
      </c>
      <c r="I303" s="41" t="str">
        <f>VLOOKUP(C303,Stores!$A$200:$G$1118,4,0)</f>
        <v>Stage 7 - Installed</v>
      </c>
      <c r="J303" s="41" t="str">
        <f>VLOOKUP(C303,Stores!$A$200:$G$1118,5,0)</f>
        <v>FINGERTEC</v>
      </c>
      <c r="K303" s="41">
        <f>VLOOKUP(C303,Stores!$A$200:$G$1118,6,0)</f>
        <v>7425392</v>
      </c>
      <c r="L303" s="41" t="str">
        <f>VLOOKUP(C303,Stores!$A$200:$G$1118,7,0)</f>
        <v>192.168.1.201</v>
      </c>
      <c r="M303" s="42" t="s">
        <v>3315</v>
      </c>
    </row>
    <row r="304">
      <c r="A304" s="38" t="s">
        <v>2962</v>
      </c>
      <c r="B304" s="38" t="s">
        <v>3354</v>
      </c>
      <c r="C304" s="38" t="s">
        <v>725</v>
      </c>
      <c r="D304" s="39" t="s">
        <v>726</v>
      </c>
      <c r="E304" s="38" t="s">
        <v>3162</v>
      </c>
      <c r="F304" s="40"/>
      <c r="G304" s="40"/>
      <c r="H304" s="41" t="str">
        <f>VLOOKUP(C304,Stores!$A$200:$G$1118,3,0)</f>
        <v>Opened Stores</v>
      </c>
      <c r="I304" s="41" t="str">
        <f>VLOOKUP(C304,Stores!$A$200:$G$1118,4,0)</f>
        <v>Stage 7 - Installed</v>
      </c>
      <c r="J304" s="41" t="str">
        <f>VLOOKUP(C304,Stores!$A$200:$G$1118,5,0)</f>
        <v>FINGERTEC</v>
      </c>
      <c r="K304" s="41">
        <f>VLOOKUP(C304,Stores!$A$200:$G$1118,6,0)</f>
        <v>7422874</v>
      </c>
      <c r="L304" s="41" t="str">
        <f>VLOOKUP(C304,Stores!$A$200:$G$1118,7,0)</f>
        <v>192.168.3.48</v>
      </c>
      <c r="M304" s="42" t="s">
        <v>3315</v>
      </c>
    </row>
    <row r="305">
      <c r="A305" s="38" t="s">
        <v>2962</v>
      </c>
      <c r="B305" s="38" t="s">
        <v>3355</v>
      </c>
      <c r="C305" s="38" t="s">
        <v>792</v>
      </c>
      <c r="D305" s="39" t="s">
        <v>793</v>
      </c>
      <c r="E305" s="38" t="s">
        <v>3162</v>
      </c>
      <c r="F305" s="40"/>
      <c r="G305" s="40"/>
      <c r="H305" s="41" t="str">
        <f>VLOOKUP(C305,Stores!$A$200:$G$1118,3,0)</f>
        <v>Opened Stores</v>
      </c>
      <c r="I305" s="41" t="str">
        <f>VLOOKUP(C305,Stores!$A$200:$G$1118,4,0)</f>
        <v>Stage 7 - Installed</v>
      </c>
      <c r="J305" s="41" t="str">
        <f>VLOOKUP(C305,Stores!$A$200:$G$1118,5,0)</f>
        <v>FINGERTEC</v>
      </c>
      <c r="K305" s="41">
        <f>VLOOKUP(C305,Stores!$A$200:$G$1118,6,0)</f>
        <v>7425403</v>
      </c>
      <c r="L305" s="41" t="str">
        <f>VLOOKUP(C305,Stores!$A$200:$G$1118,7,0)</f>
        <v>192.168.1.220</v>
      </c>
      <c r="M305" s="42" t="s">
        <v>3315</v>
      </c>
    </row>
    <row r="306">
      <c r="A306" s="38" t="s">
        <v>2962</v>
      </c>
      <c r="B306" s="38" t="s">
        <v>3356</v>
      </c>
      <c r="C306" s="38" t="s">
        <v>654</v>
      </c>
      <c r="D306" s="39" t="s">
        <v>655</v>
      </c>
      <c r="E306" s="38" t="s">
        <v>3162</v>
      </c>
      <c r="F306" s="40"/>
      <c r="G306" s="40"/>
      <c r="H306" s="41" t="str">
        <f>VLOOKUP(C306,Stores!$A$200:$G$1118,3,0)</f>
        <v>Opened Stores</v>
      </c>
      <c r="I306" s="41" t="str">
        <f>VLOOKUP(C306,Stores!$A$200:$G$1118,4,0)</f>
        <v>Stage 7 - Installed</v>
      </c>
      <c r="J306" s="41" t="str">
        <f>VLOOKUP(C306,Stores!$A$200:$G$1118,5,0)</f>
        <v>FINGERTEC</v>
      </c>
      <c r="K306" s="41">
        <f>VLOOKUP(C306,Stores!$A$200:$G$1118,6,0)</f>
        <v>7422139</v>
      </c>
      <c r="L306" s="41" t="str">
        <f>VLOOKUP(C306,Stores!$A$200:$G$1118,7,0)</f>
        <v>192.168.1.200</v>
      </c>
      <c r="M306" s="42" t="s">
        <v>3315</v>
      </c>
    </row>
    <row r="307">
      <c r="A307" s="38" t="s">
        <v>2962</v>
      </c>
      <c r="B307" s="38" t="s">
        <v>3357</v>
      </c>
      <c r="C307" s="38" t="s">
        <v>740</v>
      </c>
      <c r="D307" s="39" t="s">
        <v>741</v>
      </c>
      <c r="E307" s="38" t="s">
        <v>3162</v>
      </c>
      <c r="F307" s="40"/>
      <c r="G307" s="40"/>
      <c r="H307" s="41" t="str">
        <f>VLOOKUP(C307,Stores!$A$200:$G$1118,3,0)</f>
        <v>Opened Stores</v>
      </c>
      <c r="I307" s="41" t="str">
        <f>VLOOKUP(C307,Stores!$A$200:$G$1118,4,0)</f>
        <v>Stage 7 - Installed</v>
      </c>
      <c r="J307" s="41" t="str">
        <f>VLOOKUP(C307,Stores!$A$200:$G$1118,5,0)</f>
        <v>FINGERTEC</v>
      </c>
      <c r="K307" s="41">
        <f>VLOOKUP(C307,Stores!$A$200:$G$1118,6,0)</f>
        <v>7423722</v>
      </c>
      <c r="L307" s="41" t="str">
        <f>VLOOKUP(C307,Stores!$A$200:$G$1118,7,0)</f>
        <v>192.168.3.49</v>
      </c>
      <c r="M307" s="42" t="s">
        <v>3315</v>
      </c>
    </row>
    <row r="308">
      <c r="A308" s="38" t="s">
        <v>2962</v>
      </c>
      <c r="B308" s="38" t="s">
        <v>3358</v>
      </c>
      <c r="C308" s="38" t="s">
        <v>2159</v>
      </c>
      <c r="D308" s="39" t="s">
        <v>2160</v>
      </c>
      <c r="E308" s="38" t="s">
        <v>3162</v>
      </c>
      <c r="F308" s="40"/>
      <c r="G308" s="40"/>
      <c r="H308" s="41" t="str">
        <f>VLOOKUP(C308,Stores!$A$200:$G$1118,3,0)</f>
        <v>Opened Stores</v>
      </c>
      <c r="I308" s="41" t="str">
        <f>VLOOKUP(C308,Stores!$A$200:$G$1118,4,0)</f>
        <v>Stage 7 - Installed</v>
      </c>
      <c r="J308" s="41" t="str">
        <f>VLOOKUP(C308,Stores!$A$200:$G$1118,5,0)</f>
        <v>ZKTECO</v>
      </c>
      <c r="K308" s="41" t="str">
        <f>VLOOKUP(C308,Stores!$A$200:$G$1118,6,0)</f>
        <v>ZKM6251700138</v>
      </c>
      <c r="L308" s="41" t="str">
        <f>VLOOKUP(C308,Stores!$A$200:$G$1118,7,0)</f>
        <v>192.168.1.201</v>
      </c>
      <c r="M308" s="42" t="s">
        <v>3315</v>
      </c>
    </row>
    <row r="309">
      <c r="A309" s="38" t="s">
        <v>2962</v>
      </c>
      <c r="B309" s="38" t="s">
        <v>3359</v>
      </c>
      <c r="C309" s="38" t="s">
        <v>2188</v>
      </c>
      <c r="D309" s="39" t="s">
        <v>2189</v>
      </c>
      <c r="E309" s="38" t="s">
        <v>3162</v>
      </c>
      <c r="F309" s="40"/>
      <c r="G309" s="40"/>
      <c r="H309" s="41" t="str">
        <f>VLOOKUP(C309,Stores!$A$200:$G$1118,3,0)</f>
        <v>Opened Stores</v>
      </c>
      <c r="I309" s="41" t="str">
        <f>VLOOKUP(C309,Stores!$A$200:$G$1118,4,0)</f>
        <v>Stage 7 - Installed</v>
      </c>
      <c r="J309" s="41" t="str">
        <f>VLOOKUP(C309,Stores!$A$200:$G$1118,5,0)</f>
        <v>ZKTECO</v>
      </c>
      <c r="K309" s="41" t="str">
        <f>VLOOKUP(C309,Stores!$A$200:$G$1118,6,0)</f>
        <v>CQUJ233560109</v>
      </c>
      <c r="L309" s="41" t="str">
        <f>VLOOKUP(C309,Stores!$A$200:$G$1118,7,0)</f>
        <v>192.168.1.201</v>
      </c>
      <c r="M309" s="42" t="s">
        <v>3315</v>
      </c>
    </row>
    <row r="310">
      <c r="A310" s="38" t="s">
        <v>2962</v>
      </c>
      <c r="B310" s="38" t="s">
        <v>3360</v>
      </c>
      <c r="C310" s="38" t="s">
        <v>1588</v>
      </c>
      <c r="D310" s="39" t="s">
        <v>1589</v>
      </c>
      <c r="E310" s="38" t="s">
        <v>3162</v>
      </c>
      <c r="F310" s="40"/>
      <c r="G310" s="40"/>
      <c r="H310" s="41" t="str">
        <f>VLOOKUP(C310,Stores!$A$200:$G$1118,3,0)</f>
        <v>Opened Stores</v>
      </c>
      <c r="I310" s="41" t="str">
        <f>VLOOKUP(C310,Stores!$A$200:$G$1118,4,0)</f>
        <v>Stage 7 - Installed</v>
      </c>
      <c r="J310" s="41" t="str">
        <f>VLOOKUP(C310,Stores!$A$200:$G$1118,5,0)</f>
        <v>ZKTECO</v>
      </c>
      <c r="K310" s="41" t="str">
        <f>VLOOKUP(C310,Stores!$A$200:$G$1118,6,0)</f>
        <v>ZKM6245100290</v>
      </c>
      <c r="L310" s="41" t="str">
        <f>VLOOKUP(C310,Stores!$A$200:$G$1118,7,0)</f>
        <v>192.168.1.201</v>
      </c>
      <c r="M310" s="42" t="s">
        <v>3315</v>
      </c>
    </row>
    <row r="311">
      <c r="A311" s="38" t="s">
        <v>2962</v>
      </c>
      <c r="B311" s="38" t="s">
        <v>3361</v>
      </c>
      <c r="C311" s="38" t="s">
        <v>780</v>
      </c>
      <c r="D311" s="39" t="s">
        <v>781</v>
      </c>
      <c r="E311" s="38" t="s">
        <v>3162</v>
      </c>
      <c r="F311" s="40"/>
      <c r="G311" s="40"/>
      <c r="H311" s="41" t="str">
        <f>VLOOKUP(C311,Stores!$A$200:$G$1118,3,0)</f>
        <v>Opened Stores</v>
      </c>
      <c r="I311" s="41" t="str">
        <f>VLOOKUP(C311,Stores!$A$200:$G$1118,4,0)</f>
        <v>Stage 7 - Installed</v>
      </c>
      <c r="J311" s="41" t="str">
        <f>VLOOKUP(C311,Stores!$A$200:$G$1118,5,0)</f>
        <v>FINGERTEC</v>
      </c>
      <c r="K311" s="41">
        <f>VLOOKUP(C311,Stores!$A$200:$G$1118,6,0)</f>
        <v>7425405</v>
      </c>
      <c r="L311" s="41" t="str">
        <f>VLOOKUP(C311,Stores!$A$200:$G$1118,7,0)</f>
        <v>192.168.1.201</v>
      </c>
      <c r="M311" s="42" t="s">
        <v>3315</v>
      </c>
    </row>
    <row r="312">
      <c r="A312" s="38" t="s">
        <v>2962</v>
      </c>
      <c r="B312" s="38" t="s">
        <v>3362</v>
      </c>
      <c r="C312" s="38" t="s">
        <v>2505</v>
      </c>
      <c r="D312" s="39" t="s">
        <v>2506</v>
      </c>
      <c r="E312" s="38" t="s">
        <v>3162</v>
      </c>
      <c r="F312" s="40"/>
      <c r="G312" s="40"/>
      <c r="H312" s="41" t="str">
        <f>VLOOKUP(C312,Stores!$A$200:$G$1118,3,0)</f>
        <v>Opened Stores</v>
      </c>
      <c r="I312" s="41" t="str">
        <f>VLOOKUP(C312,Stores!$A$200:$G$1118,4,0)</f>
        <v>Stage 7 - Installed</v>
      </c>
      <c r="J312" s="41" t="str">
        <f>VLOOKUP(C312,Stores!$A$200:$G$1118,5,0)</f>
        <v>ZKTECO</v>
      </c>
      <c r="K312" s="41" t="str">
        <f>VLOOKUP(C312,Stores!$A$200:$G$1118,6,0)</f>
        <v>ZKM6251700122</v>
      </c>
      <c r="L312" s="41" t="str">
        <f>VLOOKUP(C312,Stores!$A$200:$G$1118,7,0)</f>
        <v>192.168.1.201</v>
      </c>
      <c r="M312" s="42" t="s">
        <v>3315</v>
      </c>
    </row>
    <row r="313">
      <c r="A313" s="38" t="s">
        <v>2962</v>
      </c>
      <c r="B313" s="38" t="s">
        <v>3363</v>
      </c>
      <c r="C313" s="38" t="s">
        <v>2655</v>
      </c>
      <c r="D313" s="39" t="s">
        <v>2656</v>
      </c>
      <c r="E313" s="38" t="s">
        <v>3162</v>
      </c>
      <c r="F313" s="40"/>
      <c r="G313" s="40"/>
      <c r="H313" s="41" t="str">
        <f>VLOOKUP(C313,Stores!$A$200:$G$1118,3,0)</f>
        <v>Opened Stores</v>
      </c>
      <c r="I313" s="41" t="str">
        <f>VLOOKUP(C313,Stores!$A$200:$G$1118,4,0)</f>
        <v>Stage 7 - Installed</v>
      </c>
      <c r="J313" s="41" t="str">
        <f>VLOOKUP(C313,Stores!$A$200:$G$1118,5,0)</f>
        <v>ZKTECO</v>
      </c>
      <c r="K313" s="41" t="str">
        <f>VLOOKUP(C313,Stores!$A$200:$G$1118,6,0)</f>
        <v>ZKM6251500116</v>
      </c>
      <c r="L313" s="41" t="str">
        <f>VLOOKUP(C313,Stores!$A$200:$G$1118,7,0)</f>
        <v>192.168.1.201</v>
      </c>
      <c r="M313" s="42" t="s">
        <v>3315</v>
      </c>
    </row>
    <row r="314">
      <c r="A314" s="38" t="s">
        <v>2962</v>
      </c>
      <c r="B314" s="38" t="s">
        <v>3364</v>
      </c>
      <c r="C314" s="38" t="s">
        <v>500</v>
      </c>
      <c r="D314" s="39" t="s">
        <v>501</v>
      </c>
      <c r="E314" s="38" t="s">
        <v>3162</v>
      </c>
      <c r="F314" s="40"/>
      <c r="G314" s="40"/>
      <c r="H314" s="41" t="str">
        <f>VLOOKUP(C314,Stores!$A$200:$G$1118,3,0)</f>
        <v>Opened Stores</v>
      </c>
      <c r="I314" s="41" t="str">
        <f>VLOOKUP(C314,Stores!$A$200:$G$1118,4,0)</f>
        <v>Stage 7 - Installed</v>
      </c>
      <c r="J314" s="41" t="str">
        <f>VLOOKUP(C314,Stores!$A$200:$G$1118,5,0)</f>
        <v>FINGERTEC</v>
      </c>
      <c r="K314" s="41">
        <f>VLOOKUP(C314,Stores!$A$200:$G$1118,6,0)</f>
        <v>7417484</v>
      </c>
      <c r="L314" s="41" t="str">
        <f>VLOOKUP(C314,Stores!$A$200:$G$1118,7,0)</f>
        <v>192.168.1.201</v>
      </c>
      <c r="M314" s="42" t="s">
        <v>3315</v>
      </c>
    </row>
    <row r="315">
      <c r="A315" s="38" t="s">
        <v>2962</v>
      </c>
      <c r="B315" s="38" t="s">
        <v>3365</v>
      </c>
      <c r="C315" s="38" t="s">
        <v>447</v>
      </c>
      <c r="D315" s="39" t="s">
        <v>448</v>
      </c>
      <c r="E315" s="38" t="s">
        <v>3162</v>
      </c>
      <c r="F315" s="40"/>
      <c r="G315" s="40"/>
      <c r="H315" s="41" t="str">
        <f>VLOOKUP(C315,Stores!$A$200:$G$1118,3,0)</f>
        <v>Opened Stores</v>
      </c>
      <c r="I315" s="41" t="str">
        <f>VLOOKUP(C315,Stores!$A$200:$G$1118,4,0)</f>
        <v>Stage 7 - Installed</v>
      </c>
      <c r="J315" s="41" t="str">
        <f>VLOOKUP(C315,Stores!$A$200:$G$1118,5,0)</f>
        <v>FINGERTEC</v>
      </c>
      <c r="K315" s="41">
        <f>VLOOKUP(C315,Stores!$A$200:$G$1118,6,0)</f>
        <v>7415889</v>
      </c>
      <c r="L315" s="41" t="str">
        <f>VLOOKUP(C315,Stores!$A$200:$G$1118,7,0)</f>
        <v>192.168.1.201</v>
      </c>
      <c r="M315" s="42" t="s">
        <v>3315</v>
      </c>
    </row>
    <row r="316">
      <c r="A316" s="38" t="s">
        <v>2962</v>
      </c>
      <c r="B316" s="38" t="s">
        <v>3366</v>
      </c>
      <c r="C316" s="38" t="s">
        <v>2342</v>
      </c>
      <c r="D316" s="39" t="s">
        <v>2343</v>
      </c>
      <c r="E316" s="38" t="s">
        <v>3162</v>
      </c>
      <c r="F316" s="40"/>
      <c r="G316" s="40"/>
      <c r="H316" s="41" t="str">
        <f>VLOOKUP(C316,Stores!$A$200:$G$1118,3,0)</f>
        <v>Opened Stores</v>
      </c>
      <c r="I316" s="41" t="str">
        <f>VLOOKUP(C316,Stores!$A$200:$G$1118,4,0)</f>
        <v>Stage 7 - Installed</v>
      </c>
      <c r="J316" s="41" t="str">
        <f>VLOOKUP(C316,Stores!$A$200:$G$1118,5,0)</f>
        <v>ZKTECO</v>
      </c>
      <c r="K316" s="41" t="str">
        <f>VLOOKUP(C316,Stores!$A$200:$G$1118,6,0)</f>
        <v>ZKM6251500316</v>
      </c>
      <c r="L316" s="41" t="str">
        <f>VLOOKUP(C316,Stores!$A$200:$G$1118,7,0)</f>
        <v>192.168.1.201</v>
      </c>
      <c r="M316" s="42" t="s">
        <v>3315</v>
      </c>
    </row>
    <row r="317">
      <c r="A317" s="38" t="s">
        <v>2962</v>
      </c>
      <c r="B317" s="38" t="s">
        <v>3367</v>
      </c>
      <c r="C317" s="38" t="s">
        <v>1018</v>
      </c>
      <c r="D317" s="39" t="s">
        <v>1019</v>
      </c>
      <c r="E317" s="38" t="s">
        <v>3162</v>
      </c>
      <c r="F317" s="40"/>
      <c r="G317" s="40"/>
      <c r="H317" s="41" t="str">
        <f>VLOOKUP(C317,Stores!$A$200:$G$1118,3,0)</f>
        <v>Opened Stores</v>
      </c>
      <c r="I317" s="41" t="str">
        <f>VLOOKUP(C317,Stores!$A$200:$G$1118,4,0)</f>
        <v>Stage 7 - Installed</v>
      </c>
      <c r="J317" s="41" t="str">
        <f>VLOOKUP(C317,Stores!$A$200:$G$1118,5,0)</f>
        <v>ZKTECO</v>
      </c>
      <c r="K317" s="41" t="str">
        <f>VLOOKUP(C317,Stores!$A$200:$G$1118,6,0)</f>
        <v>ZKM6245100110</v>
      </c>
      <c r="L317" s="41" t="str">
        <f>VLOOKUP(C317,Stores!$A$200:$G$1118,7,0)</f>
        <v>192.168.1.201</v>
      </c>
      <c r="M317" s="42" t="s">
        <v>3315</v>
      </c>
    </row>
    <row r="318">
      <c r="A318" s="38" t="s">
        <v>2962</v>
      </c>
      <c r="B318" s="38" t="s">
        <v>3368</v>
      </c>
      <c r="C318" s="38" t="s">
        <v>1092</v>
      </c>
      <c r="D318" s="39" t="s">
        <v>1093</v>
      </c>
      <c r="E318" s="38" t="s">
        <v>3162</v>
      </c>
      <c r="F318" s="40"/>
      <c r="G318" s="40"/>
      <c r="H318" s="41" t="str">
        <f>VLOOKUP(C318,Stores!$A$200:$G$1118,3,0)</f>
        <v>Opened Stores</v>
      </c>
      <c r="I318" s="41" t="str">
        <f>VLOOKUP(C318,Stores!$A$200:$G$1118,4,0)</f>
        <v>Stage 7 - Installed</v>
      </c>
      <c r="J318" s="41" t="str">
        <f>VLOOKUP(C318,Stores!$A$200:$G$1118,5,0)</f>
        <v>ZKTECO</v>
      </c>
      <c r="K318" s="41" t="str">
        <f>VLOOKUP(C318,Stores!$A$200:$G$1118,6,0)</f>
        <v>A8N5221960247</v>
      </c>
      <c r="L318" s="41" t="str">
        <f>VLOOKUP(C318,Stores!$A$200:$G$1118,7,0)</f>
        <v>192.168.1.201</v>
      </c>
      <c r="M318" s="42" t="s">
        <v>3315</v>
      </c>
    </row>
    <row r="319">
      <c r="A319" s="38" t="s">
        <v>2962</v>
      </c>
      <c r="B319" s="38" t="s">
        <v>3369</v>
      </c>
      <c r="C319" s="38" t="s">
        <v>620</v>
      </c>
      <c r="D319" s="39" t="s">
        <v>621</v>
      </c>
      <c r="E319" s="38" t="s">
        <v>3162</v>
      </c>
      <c r="F319" s="40"/>
      <c r="G319" s="40"/>
      <c r="H319" s="41" t="str">
        <f>VLOOKUP(C319,Stores!$A$200:$G$1118,3,0)</f>
        <v>Opened Stores</v>
      </c>
      <c r="I319" s="41" t="str">
        <f>VLOOKUP(C319,Stores!$A$200:$G$1118,4,0)</f>
        <v>Stage 7 - Installed</v>
      </c>
      <c r="J319" s="41" t="str">
        <f>VLOOKUP(C319,Stores!$A$200:$G$1118,5,0)</f>
        <v>FINGERTEC</v>
      </c>
      <c r="K319" s="41">
        <f>VLOOKUP(C319,Stores!$A$200:$G$1118,6,0)</f>
        <v>7421968</v>
      </c>
      <c r="L319" s="41" t="str">
        <f>VLOOKUP(C319,Stores!$A$200:$G$1118,7,0)</f>
        <v>192.168.1.201</v>
      </c>
      <c r="M319" s="42" t="s">
        <v>3315</v>
      </c>
    </row>
    <row r="320">
      <c r="A320" s="38" t="s">
        <v>2962</v>
      </c>
      <c r="B320" s="38" t="s">
        <v>3370</v>
      </c>
      <c r="C320" s="38" t="s">
        <v>806</v>
      </c>
      <c r="D320" s="39" t="s">
        <v>807</v>
      </c>
      <c r="E320" s="38" t="s">
        <v>3162</v>
      </c>
      <c r="F320" s="40"/>
      <c r="G320" s="40"/>
      <c r="H320" s="41" t="str">
        <f>VLOOKUP(C320,Stores!$A$200:$G$1118,3,0)</f>
        <v>Opened Stores</v>
      </c>
      <c r="I320" s="41" t="str">
        <f>VLOOKUP(C320,Stores!$A$200:$G$1118,4,0)</f>
        <v>Stage 7 - Installed</v>
      </c>
      <c r="J320" s="41" t="str">
        <f>VLOOKUP(C320,Stores!$A$200:$G$1118,5,0)</f>
        <v>FINGERTEC</v>
      </c>
      <c r="K320" s="41">
        <f>VLOOKUP(C320,Stores!$A$200:$G$1118,6,0)</f>
        <v>7425419</v>
      </c>
      <c r="L320" s="41" t="str">
        <f>VLOOKUP(C320,Stores!$A$200:$G$1118,7,0)</f>
        <v>192.168.1.201</v>
      </c>
      <c r="M320" s="42" t="s">
        <v>3315</v>
      </c>
    </row>
    <row r="321">
      <c r="A321" s="38" t="s">
        <v>2962</v>
      </c>
      <c r="B321" s="38" t="s">
        <v>3371</v>
      </c>
      <c r="C321" s="38" t="s">
        <v>628</v>
      </c>
      <c r="D321" s="39" t="s">
        <v>629</v>
      </c>
      <c r="E321" s="38" t="s">
        <v>3162</v>
      </c>
      <c r="F321" s="40"/>
      <c r="G321" s="40"/>
      <c r="H321" s="41" t="str">
        <f>VLOOKUP(C321,Stores!$A$200:$G$1118,3,0)</f>
        <v>Opened Stores</v>
      </c>
      <c r="I321" s="41" t="str">
        <f>VLOOKUP(C321,Stores!$A$200:$G$1118,4,0)</f>
        <v>Stage 7 - Installed</v>
      </c>
      <c r="J321" s="41" t="str">
        <f>VLOOKUP(C321,Stores!$A$200:$G$1118,5,0)</f>
        <v>FINGERTEC</v>
      </c>
      <c r="K321" s="41">
        <f>VLOOKUP(C321,Stores!$A$200:$G$1118,6,0)</f>
        <v>7421961</v>
      </c>
      <c r="L321" s="41" t="str">
        <f>VLOOKUP(C321,Stores!$A$200:$G$1118,7,0)</f>
        <v>192.168.1.201</v>
      </c>
      <c r="M321" s="42" t="s">
        <v>3315</v>
      </c>
    </row>
    <row r="322">
      <c r="A322" s="38" t="s">
        <v>2962</v>
      </c>
      <c r="B322" s="38" t="s">
        <v>3372</v>
      </c>
      <c r="C322" s="38" t="s">
        <v>2718</v>
      </c>
      <c r="D322" s="39" t="s">
        <v>2719</v>
      </c>
      <c r="E322" s="38" t="s">
        <v>3162</v>
      </c>
      <c r="F322" s="40"/>
      <c r="G322" s="40"/>
      <c r="H322" s="41" t="str">
        <f>VLOOKUP(C322,Stores!$A$200:$G$1118,3,0)</f>
        <v>Opened Stores</v>
      </c>
      <c r="I322" s="41" t="str">
        <f>VLOOKUP(C322,Stores!$A$200:$G$1118,4,0)</f>
        <v>Stage 7 - Installed</v>
      </c>
      <c r="J322" s="41" t="str">
        <f>VLOOKUP(C322,Stores!$A$200:$G$1118,5,0)</f>
        <v>ZKTECO</v>
      </c>
      <c r="K322" s="41" t="str">
        <f>VLOOKUP(C322,Stores!$A$200:$G$1118,6,0)</f>
        <v>ZKM6251700347</v>
      </c>
      <c r="L322" s="41" t="str">
        <f>VLOOKUP(C322,Stores!$A$200:$G$1118,7,0)</f>
        <v>192.168.1.201</v>
      </c>
      <c r="M322" s="42" t="s">
        <v>3315</v>
      </c>
    </row>
    <row r="323">
      <c r="A323" s="38" t="s">
        <v>2962</v>
      </c>
      <c r="B323" s="38" t="s">
        <v>3373</v>
      </c>
      <c r="C323" s="38" t="s">
        <v>1520</v>
      </c>
      <c r="D323" s="39" t="s">
        <v>1521</v>
      </c>
      <c r="E323" s="38" t="s">
        <v>3162</v>
      </c>
      <c r="F323" s="40"/>
      <c r="G323" s="40"/>
      <c r="H323" s="41" t="str">
        <f>VLOOKUP(C323,Stores!$A$200:$G$1118,3,0)</f>
        <v>Opened Stores</v>
      </c>
      <c r="I323" s="41" t="str">
        <f>VLOOKUP(C323,Stores!$A$200:$G$1118,4,0)</f>
        <v>Stage 7 - Installed</v>
      </c>
      <c r="J323" s="41" t="str">
        <f>VLOOKUP(C323,Stores!$A$200:$G$1118,5,0)</f>
        <v>ZKTECO</v>
      </c>
      <c r="K323" s="41" t="str">
        <f>VLOOKUP(C323,Stores!$A$200:$G$1118,6,0)</f>
        <v>AEYU082360218</v>
      </c>
      <c r="L323" s="41" t="str">
        <f>VLOOKUP(C323,Stores!$A$200:$G$1118,7,0)</f>
        <v>192.168.1.201</v>
      </c>
      <c r="M323" s="42" t="s">
        <v>3315</v>
      </c>
    </row>
    <row r="324">
      <c r="A324" s="38" t="s">
        <v>2962</v>
      </c>
      <c r="B324" s="38" t="s">
        <v>3374</v>
      </c>
      <c r="C324" s="38" t="s">
        <v>1006</v>
      </c>
      <c r="D324" s="39" t="s">
        <v>1007</v>
      </c>
      <c r="E324" s="38" t="s">
        <v>3162</v>
      </c>
      <c r="F324" s="40"/>
      <c r="G324" s="40"/>
      <c r="H324" s="41" t="str">
        <f>VLOOKUP(C324,Stores!$A$200:$G$1118,3,0)</f>
        <v>Opened Stores</v>
      </c>
      <c r="I324" s="41" t="str">
        <f>VLOOKUP(C324,Stores!$A$200:$G$1118,4,0)</f>
        <v>Stage 7 - Installed</v>
      </c>
      <c r="J324" s="41" t="str">
        <f>VLOOKUP(C324,Stores!$A$200:$G$1118,5,0)</f>
        <v>ZKTECO</v>
      </c>
      <c r="K324" s="41" t="str">
        <f>VLOOKUP(C324,Stores!$A$200:$G$1118,6,0)</f>
        <v>A8N5221960167</v>
      </c>
      <c r="L324" s="41" t="str">
        <f>VLOOKUP(C324,Stores!$A$200:$G$1118,7,0)</f>
        <v>192.168.1.201</v>
      </c>
      <c r="M324" s="42" t="s">
        <v>3315</v>
      </c>
    </row>
    <row r="325">
      <c r="A325" s="38" t="s">
        <v>2962</v>
      </c>
      <c r="B325" s="38" t="s">
        <v>3375</v>
      </c>
      <c r="C325" s="38" t="s">
        <v>512</v>
      </c>
      <c r="D325" s="39" t="s">
        <v>513</v>
      </c>
      <c r="E325" s="38" t="s">
        <v>3162</v>
      </c>
      <c r="F325" s="40"/>
      <c r="G325" s="40"/>
      <c r="H325" s="41" t="str">
        <f>VLOOKUP(C325,Stores!$A$200:$G$1118,3,0)</f>
        <v>Opened Stores</v>
      </c>
      <c r="I325" s="41" t="str">
        <f>VLOOKUP(C325,Stores!$A$200:$G$1118,4,0)</f>
        <v>Stage 7 - Installed</v>
      </c>
      <c r="J325" s="41" t="str">
        <f>VLOOKUP(C325,Stores!$A$200:$G$1118,5,0)</f>
        <v>FINGERTEC</v>
      </c>
      <c r="K325" s="41">
        <f>VLOOKUP(C325,Stores!$A$200:$G$1118,6,0)</f>
        <v>7419184</v>
      </c>
      <c r="L325" s="41" t="str">
        <f>VLOOKUP(C325,Stores!$A$200:$G$1118,7,0)</f>
        <v>192.168.1.230</v>
      </c>
      <c r="M325" s="42" t="s">
        <v>3315</v>
      </c>
    </row>
    <row r="326">
      <c r="A326" s="38" t="s">
        <v>2962</v>
      </c>
      <c r="B326" s="38" t="s">
        <v>3376</v>
      </c>
      <c r="C326" s="38" t="s">
        <v>455</v>
      </c>
      <c r="D326" s="39" t="s">
        <v>456</v>
      </c>
      <c r="E326" s="38" t="s">
        <v>3162</v>
      </c>
      <c r="F326" s="40"/>
      <c r="G326" s="40"/>
      <c r="H326" s="41" t="str">
        <f>VLOOKUP(C326,Stores!$A$200:$G$1118,3,0)</f>
        <v>Opened Stores</v>
      </c>
      <c r="I326" s="41" t="str">
        <f>VLOOKUP(C326,Stores!$A$200:$G$1118,4,0)</f>
        <v>Stage 7 - Installed</v>
      </c>
      <c r="J326" s="41" t="str">
        <f>VLOOKUP(C326,Stores!$A$200:$G$1118,5,0)</f>
        <v>ZKTECO</v>
      </c>
      <c r="K326" s="41" t="str">
        <f>VLOOKUP(C326,Stores!$A$200:$G$1118,6,0)</f>
        <v>ZKM6245100223</v>
      </c>
      <c r="L326" s="41" t="str">
        <f>VLOOKUP(C326,Stores!$A$200:$G$1118,7,0)</f>
        <v>192.168.1.201</v>
      </c>
      <c r="M326" s="42" t="s">
        <v>3315</v>
      </c>
    </row>
    <row r="327">
      <c r="A327" s="38" t="s">
        <v>2962</v>
      </c>
      <c r="B327" s="38" t="s">
        <v>3377</v>
      </c>
      <c r="C327" s="38" t="s">
        <v>416</v>
      </c>
      <c r="D327" s="39" t="s">
        <v>417</v>
      </c>
      <c r="E327" s="38" t="s">
        <v>3162</v>
      </c>
      <c r="F327" s="40"/>
      <c r="G327" s="40"/>
      <c r="H327" s="41" t="str">
        <f>VLOOKUP(C327,Stores!$A$200:$G$1118,3,0)</f>
        <v>Opened Stores</v>
      </c>
      <c r="I327" s="41" t="str">
        <f>VLOOKUP(C327,Stores!$A$200:$G$1118,4,0)</f>
        <v>Stage 7 - Installed</v>
      </c>
      <c r="J327" s="41" t="str">
        <f>VLOOKUP(C327,Stores!$A$200:$G$1118,5,0)</f>
        <v>FINGERTEC</v>
      </c>
      <c r="K327" s="41">
        <f>VLOOKUP(C327,Stores!$A$200:$G$1118,6,0)</f>
        <v>7415092</v>
      </c>
      <c r="L327" s="41" t="str">
        <f>VLOOKUP(C327,Stores!$A$200:$G$1118,7,0)</f>
        <v>192.168.1.201</v>
      </c>
      <c r="M327" s="42" t="s">
        <v>3315</v>
      </c>
    </row>
    <row r="328">
      <c r="A328" s="38" t="s">
        <v>2962</v>
      </c>
      <c r="B328" s="38" t="s">
        <v>3378</v>
      </c>
      <c r="C328" s="38" t="s">
        <v>736</v>
      </c>
      <c r="D328" s="39" t="s">
        <v>737</v>
      </c>
      <c r="E328" s="38" t="s">
        <v>3162</v>
      </c>
      <c r="F328" s="40"/>
      <c r="G328" s="40"/>
      <c r="H328" s="41" t="str">
        <f>VLOOKUP(C328,Stores!$A$200:$G$1118,3,0)</f>
        <v>Opened Stores</v>
      </c>
      <c r="I328" s="41" t="str">
        <f>VLOOKUP(C328,Stores!$A$200:$G$1118,4,0)</f>
        <v>Stage 7 - Installed</v>
      </c>
      <c r="J328" s="41" t="str">
        <f>VLOOKUP(C328,Stores!$A$200:$G$1118,5,0)</f>
        <v>FINGERTEC</v>
      </c>
      <c r="K328" s="41">
        <f>VLOOKUP(C328,Stores!$A$200:$G$1118,6,0)</f>
        <v>7423470</v>
      </c>
      <c r="L328" s="41" t="str">
        <f>VLOOKUP(C328,Stores!$A$200:$G$1118,7,0)</f>
        <v>192.168.1.201</v>
      </c>
      <c r="M328" s="42" t="s">
        <v>3315</v>
      </c>
    </row>
    <row r="329">
      <c r="A329" s="38" t="s">
        <v>2962</v>
      </c>
      <c r="B329" s="38" t="s">
        <v>3379</v>
      </c>
      <c r="C329" s="38" t="s">
        <v>420</v>
      </c>
      <c r="D329" s="39" t="s">
        <v>421</v>
      </c>
      <c r="E329" s="38" t="s">
        <v>3162</v>
      </c>
      <c r="F329" s="40"/>
      <c r="G329" s="40"/>
      <c r="H329" s="41" t="str">
        <f>VLOOKUP(C329,Stores!$A$200:$G$1118,3,0)</f>
        <v>Opened Stores</v>
      </c>
      <c r="I329" s="41" t="str">
        <f>VLOOKUP(C329,Stores!$A$200:$G$1118,4,0)</f>
        <v>Stage 7 - Installed</v>
      </c>
      <c r="J329" s="41" t="str">
        <f>VLOOKUP(C329,Stores!$A$200:$G$1118,5,0)</f>
        <v>FINGERTEC</v>
      </c>
      <c r="K329" s="41">
        <f>VLOOKUP(C329,Stores!$A$200:$G$1118,6,0)</f>
        <v>7415091</v>
      </c>
      <c r="L329" s="41" t="str">
        <f>VLOOKUP(C329,Stores!$A$200:$G$1118,7,0)</f>
        <v>192.168.1.201</v>
      </c>
      <c r="M329" s="42" t="s">
        <v>3315</v>
      </c>
    </row>
    <row r="330">
      <c r="A330" s="38" t="s">
        <v>2962</v>
      </c>
      <c r="B330" s="38" t="s">
        <v>3380</v>
      </c>
      <c r="C330" s="38" t="s">
        <v>522</v>
      </c>
      <c r="D330" s="39" t="s">
        <v>523</v>
      </c>
      <c r="E330" s="38" t="s">
        <v>3162</v>
      </c>
      <c r="F330" s="40"/>
      <c r="G330" s="40"/>
      <c r="H330" s="41" t="str">
        <f>VLOOKUP(C330,Stores!$A$200:$G$1118,3,0)</f>
        <v>Opened Stores</v>
      </c>
      <c r="I330" s="41" t="str">
        <f>VLOOKUP(C330,Stores!$A$200:$G$1118,4,0)</f>
        <v>Stage 7 - Installed</v>
      </c>
      <c r="J330" s="41" t="str">
        <f>VLOOKUP(C330,Stores!$A$200:$G$1118,5,0)</f>
        <v>FINGERTEC</v>
      </c>
      <c r="K330" s="41">
        <f>VLOOKUP(C330,Stores!$A$200:$G$1118,6,0)</f>
        <v>7413159</v>
      </c>
      <c r="L330" s="41" t="str">
        <f>VLOOKUP(C330,Stores!$A$200:$G$1118,7,0)</f>
        <v>192.168.1.201</v>
      </c>
      <c r="M330" s="42" t="s">
        <v>3315</v>
      </c>
    </row>
    <row r="331">
      <c r="A331" s="38" t="s">
        <v>2962</v>
      </c>
      <c r="B331" s="38" t="s">
        <v>3381</v>
      </c>
      <c r="C331" s="38" t="s">
        <v>708</v>
      </c>
      <c r="D331" s="39" t="s">
        <v>709</v>
      </c>
      <c r="E331" s="38" t="s">
        <v>3162</v>
      </c>
      <c r="F331" s="40"/>
      <c r="G331" s="40"/>
      <c r="H331" s="41" t="str">
        <f>VLOOKUP(C331,Stores!$A$200:$G$1118,3,0)</f>
        <v>Opened Stores</v>
      </c>
      <c r="I331" s="41" t="str">
        <f>VLOOKUP(C331,Stores!$A$200:$G$1118,4,0)</f>
        <v>Stage 7 - Installed</v>
      </c>
      <c r="J331" s="41" t="str">
        <f>VLOOKUP(C331,Stores!$A$200:$G$1118,5,0)</f>
        <v>ZKTECO</v>
      </c>
      <c r="K331" s="41" t="str">
        <f>VLOOKUP(C331,Stores!$A$200:$G$1118,6,0)</f>
        <v>ZKM6251400068</v>
      </c>
      <c r="L331" s="41" t="str">
        <f>VLOOKUP(C331,Stores!$A$200:$G$1118,7,0)</f>
        <v>192.168.1.201</v>
      </c>
      <c r="M331" s="42" t="s">
        <v>3315</v>
      </c>
    </row>
    <row r="332">
      <c r="A332" s="38" t="s">
        <v>2962</v>
      </c>
      <c r="B332" s="38" t="s">
        <v>3382</v>
      </c>
      <c r="C332" s="38" t="s">
        <v>2778</v>
      </c>
      <c r="D332" s="39" t="s">
        <v>3383</v>
      </c>
      <c r="E332" s="38" t="s">
        <v>3162</v>
      </c>
      <c r="F332" s="40"/>
      <c r="G332" s="40"/>
      <c r="H332" s="41" t="str">
        <f>VLOOKUP(C332,Stores!$A$200:$G$1118,3,0)</f>
        <v>Opened Stores</v>
      </c>
      <c r="I332" s="41" t="str">
        <f>VLOOKUP(C332,Stores!$A$200:$G$1118,4,0)</f>
        <v>Stage 7 - Installed</v>
      </c>
      <c r="J332" s="41" t="str">
        <f>VLOOKUP(C332,Stores!$A$200:$G$1118,5,0)</f>
        <v>ZKTECO</v>
      </c>
      <c r="K332" s="41" t="str">
        <f>VLOOKUP(C332,Stores!$A$200:$G$1118,6,0)</f>
        <v>ZKM6251400026</v>
      </c>
      <c r="L332" s="41" t="str">
        <f>VLOOKUP(C332,Stores!$A$200:$G$1118,7,0)</f>
        <v>192.168.1.201</v>
      </c>
      <c r="M332" s="42" t="s">
        <v>3315</v>
      </c>
    </row>
    <row r="333">
      <c r="A333" s="38" t="s">
        <v>2962</v>
      </c>
      <c r="B333" s="38" t="s">
        <v>3384</v>
      </c>
      <c r="C333" s="43" t="s">
        <v>550</v>
      </c>
      <c r="D333" s="39" t="s">
        <v>551</v>
      </c>
      <c r="E333" s="38" t="s">
        <v>3162</v>
      </c>
      <c r="F333" s="40"/>
      <c r="G333" s="40"/>
      <c r="H333" s="41" t="str">
        <f>VLOOKUP(C333,Stores!$A$200:$G$1118,3,0)</f>
        <v>Opened Stores</v>
      </c>
      <c r="I333" s="41" t="str">
        <f>VLOOKUP(C333,Stores!$A$200:$G$1118,4,0)</f>
        <v>Stage 7 - Installed</v>
      </c>
      <c r="J333" s="41" t="str">
        <f>VLOOKUP(C333,Stores!$A$200:$G$1118,5,0)</f>
        <v>FINGERTEC</v>
      </c>
      <c r="K333" s="41">
        <f>VLOOKUP(C333,Stores!$A$200:$G$1118,6,0)</f>
        <v>7420085</v>
      </c>
      <c r="L333" s="41" t="str">
        <f>VLOOKUP(C333,Stores!$A$200:$G$1118,7,0)</f>
        <v>192.168.1.201</v>
      </c>
      <c r="M333" s="42" t="s">
        <v>3315</v>
      </c>
    </row>
    <row r="334">
      <c r="A334" s="38" t="s">
        <v>2962</v>
      </c>
      <c r="B334" s="38" t="s">
        <v>3385</v>
      </c>
      <c r="C334" s="38" t="s">
        <v>728</v>
      </c>
      <c r="D334" s="39" t="s">
        <v>729</v>
      </c>
      <c r="E334" s="38" t="s">
        <v>3162</v>
      </c>
      <c r="F334" s="40"/>
      <c r="G334" s="40"/>
      <c r="H334" s="41" t="str">
        <f>VLOOKUP(C334,Stores!$A$200:$G$1118,3,0)</f>
        <v>Opened Stores</v>
      </c>
      <c r="I334" s="41" t="str">
        <f>VLOOKUP(C334,Stores!$A$200:$G$1118,4,0)</f>
        <v>Stage 7 - Installed</v>
      </c>
      <c r="J334" s="41" t="str">
        <f>VLOOKUP(C334,Stores!$A$200:$G$1118,5,0)</f>
        <v>FINGERTEC</v>
      </c>
      <c r="K334" s="41">
        <f>VLOOKUP(C334,Stores!$A$200:$G$1118,6,0)</f>
        <v>7423723</v>
      </c>
      <c r="L334" s="41" t="str">
        <f>VLOOKUP(C334,Stores!$A$200:$G$1118,7,0)</f>
        <v>192.168.1.201</v>
      </c>
      <c r="M334" s="42" t="s">
        <v>3315</v>
      </c>
    </row>
    <row r="335">
      <c r="A335" s="38" t="s">
        <v>2962</v>
      </c>
      <c r="B335" s="38" t="s">
        <v>3386</v>
      </c>
      <c r="C335" s="38" t="s">
        <v>2000</v>
      </c>
      <c r="D335" s="39" t="s">
        <v>2001</v>
      </c>
      <c r="E335" s="38" t="s">
        <v>3162</v>
      </c>
      <c r="F335" s="40"/>
      <c r="G335" s="40"/>
      <c r="H335" s="41" t="str">
        <f>VLOOKUP(C335,Stores!$A$200:$G$1118,3,0)</f>
        <v>Opened Stores</v>
      </c>
      <c r="I335" s="41" t="str">
        <f>VLOOKUP(C335,Stores!$A$200:$G$1118,4,0)</f>
        <v>Stage 7 - Installed</v>
      </c>
      <c r="J335" s="41" t="str">
        <f>VLOOKUP(C335,Stores!$A$200:$G$1118,5,0)</f>
        <v>ZKTECO</v>
      </c>
      <c r="K335" s="41" t="str">
        <f>VLOOKUP(C335,Stores!$A$200:$G$1118,6,0)</f>
        <v>CQUJ233560973</v>
      </c>
      <c r="L335" s="41" t="str">
        <f>VLOOKUP(C335,Stores!$A$200:$G$1118,7,0)</f>
        <v>192.168.1.201</v>
      </c>
      <c r="M335" s="42" t="s">
        <v>3315</v>
      </c>
    </row>
    <row r="336">
      <c r="A336" s="38" t="s">
        <v>2962</v>
      </c>
      <c r="B336" s="38" t="s">
        <v>3387</v>
      </c>
      <c r="C336" s="38" t="s">
        <v>2239</v>
      </c>
      <c r="D336" s="39" t="s">
        <v>2240</v>
      </c>
      <c r="E336" s="38" t="s">
        <v>3162</v>
      </c>
      <c r="F336" s="40"/>
      <c r="G336" s="40"/>
      <c r="H336" s="41" t="str">
        <f>VLOOKUP(C336,Stores!$A$200:$G$1118,3,0)</f>
        <v>Opened Stores</v>
      </c>
      <c r="I336" s="41" t="str">
        <f>VLOOKUP(C336,Stores!$A$200:$G$1118,4,0)</f>
        <v>Stage 7 - Installed</v>
      </c>
      <c r="J336" s="41" t="str">
        <f>VLOOKUP(C336,Stores!$A$200:$G$1118,5,0)</f>
        <v>ZKTECO</v>
      </c>
      <c r="K336" s="41" t="str">
        <f>VLOOKUP(C336,Stores!$A$200:$G$1118,6,0)</f>
        <v>CQUJ233560078</v>
      </c>
      <c r="L336" s="41" t="str">
        <f>VLOOKUP(C336,Stores!$A$200:$G$1118,7,0)</f>
        <v>192.168.1.201</v>
      </c>
      <c r="M336" s="42" t="s">
        <v>3315</v>
      </c>
    </row>
    <row r="337">
      <c r="A337" s="38" t="s">
        <v>2962</v>
      </c>
      <c r="B337" s="38" t="s">
        <v>3388</v>
      </c>
      <c r="C337" s="43" t="s">
        <v>2339</v>
      </c>
      <c r="D337" s="39" t="s">
        <v>3389</v>
      </c>
      <c r="E337" s="38" t="s">
        <v>3162</v>
      </c>
      <c r="F337" s="40"/>
      <c r="G337" s="40"/>
      <c r="H337" s="41" t="str">
        <f>VLOOKUP(C337,Stores!$A$200:$G$1118,3,0)</f>
        <v>Opened Stores</v>
      </c>
      <c r="I337" s="41" t="str">
        <f>VLOOKUP(C337,Stores!$A$200:$G$1118,4,0)</f>
        <v>Stage 7 - Installed</v>
      </c>
      <c r="J337" s="41" t="str">
        <f>VLOOKUP(C337,Stores!$A$200:$G$1118,5,0)</f>
        <v>ZKTECO</v>
      </c>
      <c r="K337" s="41" t="str">
        <f>VLOOKUP(C337,Stores!$A$200:$G$1118,6,0)</f>
        <v>ZKM6245100140</v>
      </c>
      <c r="L337" s="41" t="str">
        <f>VLOOKUP(C337,Stores!$A$200:$G$1118,7,0)</f>
        <v>192.168.1.201</v>
      </c>
      <c r="M337" s="42" t="s">
        <v>3315</v>
      </c>
    </row>
    <row r="338">
      <c r="A338" s="38" t="s">
        <v>2962</v>
      </c>
      <c r="B338" s="38" t="s">
        <v>3390</v>
      </c>
      <c r="C338" s="38" t="s">
        <v>1442</v>
      </c>
      <c r="D338" s="39" t="s">
        <v>1443</v>
      </c>
      <c r="E338" s="38" t="s">
        <v>3162</v>
      </c>
      <c r="F338" s="40"/>
      <c r="G338" s="40"/>
      <c r="H338" s="41" t="str">
        <f>VLOOKUP(C338,Stores!$A$200:$G$1118,3,0)</f>
        <v>Opened Stores</v>
      </c>
      <c r="I338" s="41" t="str">
        <f>VLOOKUP(C338,Stores!$A$200:$G$1118,4,0)</f>
        <v>Stage 7 - Installed</v>
      </c>
      <c r="J338" s="41" t="str">
        <f>VLOOKUP(C338,Stores!$A$200:$G$1118,5,0)</f>
        <v>ZKTECO</v>
      </c>
      <c r="K338" s="41" t="str">
        <f>VLOOKUP(C338,Stores!$A$200:$G$1118,6,0)</f>
        <v>ZKM6245100225</v>
      </c>
      <c r="L338" s="41" t="str">
        <f>VLOOKUP(C338,Stores!$A$200:$G$1118,7,0)</f>
        <v>192.168.1.201</v>
      </c>
      <c r="M338" s="42" t="s">
        <v>3315</v>
      </c>
    </row>
    <row r="339">
      <c r="A339" s="38" t="s">
        <v>2962</v>
      </c>
      <c r="B339" s="38" t="s">
        <v>3391</v>
      </c>
      <c r="C339" s="38" t="s">
        <v>2865</v>
      </c>
      <c r="D339" s="39" t="s">
        <v>2866</v>
      </c>
      <c r="E339" s="38" t="s">
        <v>3162</v>
      </c>
      <c r="F339" s="40"/>
      <c r="G339" s="40"/>
      <c r="H339" s="41" t="str">
        <f>VLOOKUP(C339,Stores!$A$200:$G$1118,3,0)</f>
        <v>Opened Stores</v>
      </c>
      <c r="I339" s="41" t="str">
        <f>VLOOKUP(C339,Stores!$A$200:$G$1118,4,0)</f>
        <v>Stage 7 - Installed</v>
      </c>
      <c r="J339" s="41" t="str">
        <f>VLOOKUP(C339,Stores!$A$200:$G$1118,5,0)</f>
        <v>ZKTECO</v>
      </c>
      <c r="K339" s="41" t="str">
        <f>VLOOKUP(C339,Stores!$A$200:$G$1118,6,0)</f>
        <v>PAS4252500037</v>
      </c>
      <c r="L339" s="41" t="str">
        <f>VLOOKUP(C339,Stores!$A$200:$G$1118,7,0)</f>
        <v>192.168.1.201</v>
      </c>
      <c r="M339" s="42" t="s">
        <v>3315</v>
      </c>
    </row>
    <row r="340">
      <c r="A340" s="38" t="s">
        <v>2962</v>
      </c>
      <c r="B340" s="38" t="s">
        <v>3392</v>
      </c>
      <c r="C340" s="38" t="s">
        <v>1418</v>
      </c>
      <c r="D340" s="39" t="s">
        <v>1419</v>
      </c>
      <c r="E340" s="38" t="s">
        <v>3162</v>
      </c>
      <c r="F340" s="40"/>
      <c r="G340" s="40"/>
      <c r="H340" s="41" t="str">
        <f>VLOOKUP(C340,Stores!$A$200:$G$1118,3,0)</f>
        <v>Opened Stores</v>
      </c>
      <c r="I340" s="41" t="str">
        <f>VLOOKUP(C340,Stores!$A$200:$G$1118,4,0)</f>
        <v>Stage 7 - Installed</v>
      </c>
      <c r="J340" s="41" t="str">
        <f>VLOOKUP(C340,Stores!$A$200:$G$1118,5,0)</f>
        <v>ZKTECO</v>
      </c>
      <c r="K340" s="41" t="str">
        <f>VLOOKUP(C340,Stores!$A$200:$G$1118,6,0)</f>
        <v>AKDG012350232</v>
      </c>
      <c r="L340" s="41" t="str">
        <f>VLOOKUP(C340,Stores!$A$200:$G$1118,7,0)</f>
        <v>192.168.1.201</v>
      </c>
      <c r="M340" s="42" t="s">
        <v>3315</v>
      </c>
    </row>
    <row r="341">
      <c r="A341" s="38" t="s">
        <v>2962</v>
      </c>
      <c r="B341" s="38" t="s">
        <v>3393</v>
      </c>
      <c r="C341" s="38" t="s">
        <v>2230</v>
      </c>
      <c r="D341" s="39" t="s">
        <v>3394</v>
      </c>
      <c r="E341" s="38" t="s">
        <v>3162</v>
      </c>
      <c r="F341" s="40"/>
      <c r="G341" s="40"/>
      <c r="H341" s="41" t="str">
        <f>VLOOKUP(C341,Stores!$A$200:$G$1118,3,0)</f>
        <v>Opened Stores</v>
      </c>
      <c r="I341" s="41" t="str">
        <f>VLOOKUP(C341,Stores!$A$200:$G$1118,4,0)</f>
        <v>Stage 7 - Installed</v>
      </c>
      <c r="J341" s="41" t="str">
        <f>VLOOKUP(C341,Stores!$A$200:$G$1118,5,0)</f>
        <v>ZKTECO</v>
      </c>
      <c r="K341" s="41" t="str">
        <f>VLOOKUP(C341,Stores!$A$200:$G$1118,6,0)</f>
        <v>CQUJ233560080</v>
      </c>
      <c r="L341" s="41" t="str">
        <f>VLOOKUP(C341,Stores!$A$200:$G$1118,7,0)</f>
        <v>192.168.1.201</v>
      </c>
      <c r="M341" s="42" t="s">
        <v>3315</v>
      </c>
    </row>
    <row r="342">
      <c r="A342" s="38" t="s">
        <v>2962</v>
      </c>
      <c r="B342" s="38" t="s">
        <v>3395</v>
      </c>
      <c r="C342" s="38" t="s">
        <v>2015</v>
      </c>
      <c r="D342" s="39" t="s">
        <v>2016</v>
      </c>
      <c r="E342" s="38" t="s">
        <v>3162</v>
      </c>
      <c r="F342" s="40"/>
      <c r="G342" s="40"/>
      <c r="H342" s="41" t="str">
        <f>VLOOKUP(C342,Stores!$A$200:$G$1118,3,0)</f>
        <v>Opened Stores</v>
      </c>
      <c r="I342" s="41" t="str">
        <f>VLOOKUP(C342,Stores!$A$200:$G$1118,4,0)</f>
        <v>Stage 7 - Installed</v>
      </c>
      <c r="J342" s="41" t="str">
        <f>VLOOKUP(C342,Stores!$A$200:$G$1118,5,0)</f>
        <v>ZKTECO</v>
      </c>
      <c r="K342" s="41" t="str">
        <f>VLOOKUP(C342,Stores!$A$200:$G$1118,6,0)</f>
        <v>CQUJ233560144</v>
      </c>
      <c r="L342" s="41" t="str">
        <f>VLOOKUP(C342,Stores!$A$200:$G$1118,7,0)</f>
        <v>192.168.1.201</v>
      </c>
      <c r="M342" s="42" t="s">
        <v>3315</v>
      </c>
    </row>
    <row r="343">
      <c r="A343" s="38" t="s">
        <v>2962</v>
      </c>
      <c r="B343" s="38" t="s">
        <v>3396</v>
      </c>
      <c r="C343" s="38" t="s">
        <v>1836</v>
      </c>
      <c r="D343" s="39" t="s">
        <v>3397</v>
      </c>
      <c r="E343" s="38" t="s">
        <v>3162</v>
      </c>
      <c r="F343" s="40"/>
      <c r="G343" s="40"/>
      <c r="H343" s="41" t="str">
        <f>VLOOKUP(C343,Stores!$A$200:$G$1118,3,0)</f>
        <v>Opened Stores</v>
      </c>
      <c r="I343" s="41" t="str">
        <f>VLOOKUP(C343,Stores!$A$200:$G$1118,4,0)</f>
        <v>Stage 7 - Installed</v>
      </c>
      <c r="J343" s="41" t="str">
        <f>VLOOKUP(C343,Stores!$A$200:$G$1118,5,0)</f>
        <v>ZKTECO</v>
      </c>
      <c r="K343" s="41" t="str">
        <f>VLOOKUP(C343,Stores!$A$200:$G$1118,6,0)</f>
        <v>CQUJ233561150</v>
      </c>
      <c r="L343" s="41" t="str">
        <f>VLOOKUP(C343,Stores!$A$200:$G$1118,7,0)</f>
        <v>192.168.1.201</v>
      </c>
      <c r="M343" s="42" t="s">
        <v>3315</v>
      </c>
    </row>
    <row r="344">
      <c r="A344" s="38" t="s">
        <v>2962</v>
      </c>
      <c r="B344" s="38" t="s">
        <v>3398</v>
      </c>
      <c r="C344" s="38" t="s">
        <v>1424</v>
      </c>
      <c r="D344" s="39" t="s">
        <v>1425</v>
      </c>
      <c r="E344" s="38" t="s">
        <v>3162</v>
      </c>
      <c r="F344" s="40"/>
      <c r="G344" s="40"/>
      <c r="H344" s="41" t="str">
        <f>VLOOKUP(C344,Stores!$A$200:$G$1118,3,0)</f>
        <v>Opened Stores</v>
      </c>
      <c r="I344" s="41" t="str">
        <f>VLOOKUP(C344,Stores!$A$200:$G$1118,4,0)</f>
        <v>Stage 7 - Installed</v>
      </c>
      <c r="J344" s="41" t="str">
        <f>VLOOKUP(C344,Stores!$A$200:$G$1118,5,0)</f>
        <v>ZKTECO</v>
      </c>
      <c r="K344" s="41" t="str">
        <f>VLOOKUP(C344,Stores!$A$200:$G$1118,6,0)</f>
        <v>AKDG0123560229</v>
      </c>
      <c r="L344" s="41" t="str">
        <f>VLOOKUP(C344,Stores!$A$200:$G$1118,7,0)</f>
        <v>192.168.1.201</v>
      </c>
      <c r="M344" s="42" t="s">
        <v>3315</v>
      </c>
    </row>
    <row r="345">
      <c r="A345" s="38" t="s">
        <v>2962</v>
      </c>
      <c r="B345" s="38" t="s">
        <v>3399</v>
      </c>
      <c r="C345" s="38" t="s">
        <v>2622</v>
      </c>
      <c r="D345" s="39" t="s">
        <v>3400</v>
      </c>
      <c r="E345" s="38" t="s">
        <v>3162</v>
      </c>
      <c r="F345" s="40"/>
      <c r="G345" s="40"/>
      <c r="H345" s="41" t="str">
        <f>VLOOKUP(C345,Stores!$A$200:$G$1118,3,0)</f>
        <v>Opened Stores</v>
      </c>
      <c r="I345" s="41" t="str">
        <f>VLOOKUP(C345,Stores!$A$200:$G$1118,4,0)</f>
        <v>Stage 7 - Installed</v>
      </c>
      <c r="J345" s="41" t="str">
        <f>VLOOKUP(C345,Stores!$A$200:$G$1118,5,0)</f>
        <v>ZKTECO</v>
      </c>
      <c r="K345" s="41" t="str">
        <f>VLOOKUP(C345,Stores!$A$200:$G$1118,6,0)</f>
        <v>ZKM6251700150</v>
      </c>
      <c r="L345" s="41" t="str">
        <f>VLOOKUP(C345,Stores!$A$200:$G$1118,7,0)</f>
        <v>192.168.1.201</v>
      </c>
      <c r="M345" s="42" t="s">
        <v>3315</v>
      </c>
    </row>
    <row r="346">
      <c r="A346" s="38" t="s">
        <v>2962</v>
      </c>
      <c r="B346" s="38" t="s">
        <v>3401</v>
      </c>
      <c r="C346" s="38" t="s">
        <v>1609</v>
      </c>
      <c r="D346" s="39" t="s">
        <v>1610</v>
      </c>
      <c r="E346" s="38" t="s">
        <v>3162</v>
      </c>
      <c r="F346" s="40"/>
      <c r="G346" s="40"/>
      <c r="H346" s="41" t="str">
        <f>VLOOKUP(C346,Stores!$A$200:$G$1118,3,0)</f>
        <v>Opened Stores</v>
      </c>
      <c r="I346" s="41" t="str">
        <f>VLOOKUP(C346,Stores!$A$200:$G$1118,4,0)</f>
        <v>Stage 7 - Installed</v>
      </c>
      <c r="J346" s="41" t="str">
        <f>VLOOKUP(C346,Stores!$A$200:$G$1118,5,0)</f>
        <v>ZKTECO</v>
      </c>
      <c r="K346" s="41" t="str">
        <f>VLOOKUP(C346,Stores!$A$200:$G$1118,6,0)</f>
        <v>AEYU082360263</v>
      </c>
      <c r="L346" s="41" t="str">
        <f>VLOOKUP(C346,Stores!$A$200:$G$1118,7,0)</f>
        <v>192.168.1.201</v>
      </c>
      <c r="M346" s="42" t="s">
        <v>3315</v>
      </c>
    </row>
    <row r="347">
      <c r="A347" s="38" t="s">
        <v>2962</v>
      </c>
      <c r="B347" s="38" t="s">
        <v>3402</v>
      </c>
      <c r="C347" s="38" t="s">
        <v>2593</v>
      </c>
      <c r="D347" s="39" t="s">
        <v>2594</v>
      </c>
      <c r="E347" s="38" t="s">
        <v>3162</v>
      </c>
      <c r="F347" s="40"/>
      <c r="G347" s="40"/>
      <c r="H347" s="41" t="str">
        <f>VLOOKUP(C347,Stores!$A$200:$G$1118,3,0)</f>
        <v>Opened Stores</v>
      </c>
      <c r="I347" s="41" t="str">
        <f>VLOOKUP(C347,Stores!$A$200:$G$1118,4,0)</f>
        <v>Stage 7 - Installed</v>
      </c>
      <c r="J347" s="41" t="str">
        <f>VLOOKUP(C347,Stores!$A$200:$G$1118,5,0)</f>
        <v>ZKTECO</v>
      </c>
      <c r="K347" s="41" t="str">
        <f>VLOOKUP(C347,Stores!$A$200:$G$1118,6,0)</f>
        <v>ZKM6251400050</v>
      </c>
      <c r="L347" s="41" t="str">
        <f>VLOOKUP(C347,Stores!$A$200:$G$1118,7,0)</f>
        <v>192.168.1.201</v>
      </c>
      <c r="M347" s="42" t="s">
        <v>3315</v>
      </c>
    </row>
    <row r="348">
      <c r="A348" s="38" t="s">
        <v>2962</v>
      </c>
      <c r="B348" s="38" t="s">
        <v>3403</v>
      </c>
      <c r="C348" s="38" t="s">
        <v>1370</v>
      </c>
      <c r="D348" s="39" t="s">
        <v>1371</v>
      </c>
      <c r="E348" s="38" t="s">
        <v>3162</v>
      </c>
      <c r="F348" s="40"/>
      <c r="G348" s="40"/>
      <c r="H348" s="41" t="str">
        <f>VLOOKUP(C348,Stores!$A$200:$G$1118,3,0)</f>
        <v>Opened Stores</v>
      </c>
      <c r="I348" s="41" t="str">
        <f>VLOOKUP(C348,Stores!$A$200:$G$1118,4,0)</f>
        <v>Stage 7 - Installed</v>
      </c>
      <c r="J348" s="41" t="str">
        <f>VLOOKUP(C348,Stores!$A$200:$G$1118,5,0)</f>
        <v>ZKTECO</v>
      </c>
      <c r="K348" s="41" t="str">
        <f>VLOOKUP(C348,Stores!$A$200:$G$1118,6,0)</f>
        <v>ZKM6251500261</v>
      </c>
      <c r="L348" s="41" t="str">
        <f>VLOOKUP(C348,Stores!$A$200:$G$1118,7,0)</f>
        <v>192.168.1.201</v>
      </c>
      <c r="M348" s="42" t="s">
        <v>3315</v>
      </c>
    </row>
    <row r="349">
      <c r="A349" s="38" t="s">
        <v>2962</v>
      </c>
      <c r="B349" s="38" t="s">
        <v>3404</v>
      </c>
      <c r="C349" s="38" t="s">
        <v>2156</v>
      </c>
      <c r="D349" s="39" t="s">
        <v>3405</v>
      </c>
      <c r="E349" s="38" t="s">
        <v>3162</v>
      </c>
      <c r="F349" s="40"/>
      <c r="G349" s="40"/>
      <c r="H349" s="41" t="str">
        <f>VLOOKUP(C349,Stores!$A$200:$G$1118,3,0)</f>
        <v>Opened Stores</v>
      </c>
      <c r="I349" s="41" t="str">
        <f>VLOOKUP(C349,Stores!$A$200:$G$1118,4,0)</f>
        <v>Stage 7 - Installed</v>
      </c>
      <c r="J349" s="41" t="str">
        <f>VLOOKUP(C349,Stores!$A$200:$G$1118,5,0)</f>
        <v>ZKTECO</v>
      </c>
      <c r="K349" s="41" t="str">
        <f>VLOOKUP(C349,Stores!$A$200:$G$1118,6,0)</f>
        <v>CQUJ233560039</v>
      </c>
      <c r="L349" s="41" t="str">
        <f>VLOOKUP(C349,Stores!$A$200:$G$1118,7,0)</f>
        <v>192.168.1.201</v>
      </c>
      <c r="M349" s="42" t="s">
        <v>3315</v>
      </c>
    </row>
    <row r="350">
      <c r="A350" s="38" t="s">
        <v>2962</v>
      </c>
      <c r="B350" s="38" t="s">
        <v>3406</v>
      </c>
      <c r="C350" s="38" t="s">
        <v>1955</v>
      </c>
      <c r="D350" s="39" t="s">
        <v>1956</v>
      </c>
      <c r="E350" s="38" t="s">
        <v>3162</v>
      </c>
      <c r="F350" s="40"/>
      <c r="G350" s="40"/>
      <c r="H350" s="41" t="str">
        <f>VLOOKUP(C350,Stores!$A$200:$G$1118,3,0)</f>
        <v>Opened Stores</v>
      </c>
      <c r="I350" s="41" t="str">
        <f>VLOOKUP(C350,Stores!$A$200:$G$1118,4,0)</f>
        <v>Stage 7 - Installed</v>
      </c>
      <c r="J350" s="41" t="str">
        <f>VLOOKUP(C350,Stores!$A$200:$G$1118,5,0)</f>
        <v>ZKTECO</v>
      </c>
      <c r="K350" s="41" t="str">
        <f>VLOOKUP(C350,Stores!$A$200:$G$1118,6,0)</f>
        <v>CQUJ233561288</v>
      </c>
      <c r="L350" s="41" t="str">
        <f>VLOOKUP(C350,Stores!$A$200:$G$1118,7,0)</f>
        <v>192.168.1.201</v>
      </c>
      <c r="M350" s="42" t="s">
        <v>3315</v>
      </c>
    </row>
    <row r="351">
      <c r="A351" s="38" t="s">
        <v>2962</v>
      </c>
      <c r="B351" s="38" t="s">
        <v>3407</v>
      </c>
      <c r="C351" s="38" t="s">
        <v>1830</v>
      </c>
      <c r="D351" s="39" t="s">
        <v>1831</v>
      </c>
      <c r="E351" s="38" t="s">
        <v>3162</v>
      </c>
      <c r="F351" s="40"/>
      <c r="G351" s="40"/>
      <c r="H351" s="41" t="str">
        <f>VLOOKUP(C351,Stores!$A$200:$G$1118,3,0)</f>
        <v>Opened Stores</v>
      </c>
      <c r="I351" s="41" t="str">
        <f>VLOOKUP(C351,Stores!$A$200:$G$1118,4,0)</f>
        <v>Stage 7 - Installed</v>
      </c>
      <c r="J351" s="41" t="str">
        <f>VLOOKUP(C351,Stores!$A$200:$G$1118,5,0)</f>
        <v>ZKTECO</v>
      </c>
      <c r="K351" s="41" t="str">
        <f>VLOOKUP(C351,Stores!$A$200:$G$1118,6,0)</f>
        <v>CQUJ233561246</v>
      </c>
      <c r="L351" s="41" t="str">
        <f>VLOOKUP(C351,Stores!$A$200:$G$1118,7,0)</f>
        <v>192.168.1.201</v>
      </c>
      <c r="M351" s="42" t="s">
        <v>3315</v>
      </c>
    </row>
    <row r="352">
      <c r="A352" s="38" t="s">
        <v>2962</v>
      </c>
      <c r="B352" s="38" t="s">
        <v>3408</v>
      </c>
      <c r="C352" s="43" t="s">
        <v>1003</v>
      </c>
      <c r="D352" s="39" t="s">
        <v>1004</v>
      </c>
      <c r="E352" s="38" t="s">
        <v>3162</v>
      </c>
      <c r="F352" s="40"/>
      <c r="G352" s="40"/>
      <c r="H352" s="41" t="str">
        <f>VLOOKUP(C352,Stores!$A$200:$G$1118,3,0)</f>
        <v>Opened Stores</v>
      </c>
      <c r="I352" s="41" t="str">
        <f>VLOOKUP(C352,Stores!$A$200:$G$1118,4,0)</f>
        <v>Stage 7 - Installed</v>
      </c>
      <c r="J352" s="41" t="str">
        <f>VLOOKUP(C352,Stores!$A$200:$G$1118,5,0)</f>
        <v>ZKTECO</v>
      </c>
      <c r="K352" s="41" t="str">
        <f>VLOOKUP(C352,Stores!$A$200:$G$1118,6,0)</f>
        <v>A8N5221960170</v>
      </c>
      <c r="L352" s="41" t="str">
        <f>VLOOKUP(C352,Stores!$A$200:$G$1118,7,0)</f>
        <v>192.168.1.201</v>
      </c>
      <c r="M352" s="42" t="s">
        <v>3315</v>
      </c>
    </row>
    <row r="353">
      <c r="A353" s="38" t="s">
        <v>2962</v>
      </c>
      <c r="B353" s="38" t="s">
        <v>3409</v>
      </c>
      <c r="C353" s="38" t="s">
        <v>606</v>
      </c>
      <c r="D353" s="39" t="s">
        <v>607</v>
      </c>
      <c r="E353" s="38" t="s">
        <v>3162</v>
      </c>
      <c r="F353" s="40"/>
      <c r="G353" s="40"/>
      <c r="H353" s="41" t="str">
        <f>VLOOKUP(C353,Stores!$A$200:$G$1118,3,0)</f>
        <v>Opened Stores</v>
      </c>
      <c r="I353" s="41" t="str">
        <f>VLOOKUP(C353,Stores!$A$200:$G$1118,4,0)</f>
        <v>Stage 7 - Installed</v>
      </c>
      <c r="J353" s="41" t="str">
        <f>VLOOKUP(C353,Stores!$A$200:$G$1118,5,0)</f>
        <v>FINGERTEC</v>
      </c>
      <c r="K353" s="41">
        <f>VLOOKUP(C353,Stores!$A$200:$G$1118,6,0)</f>
        <v>7421813</v>
      </c>
      <c r="L353" s="41" t="str">
        <f>VLOOKUP(C353,Stores!$A$200:$G$1118,7,0)</f>
        <v>192.168.1.201</v>
      </c>
      <c r="M353" s="42" t="s">
        <v>3315</v>
      </c>
    </row>
    <row r="354">
      <c r="A354" s="38" t="s">
        <v>2962</v>
      </c>
      <c r="B354" s="38" t="s">
        <v>3410</v>
      </c>
      <c r="C354" s="38" t="s">
        <v>2932</v>
      </c>
      <c r="D354" s="39" t="s">
        <v>2933</v>
      </c>
      <c r="E354" s="38" t="s">
        <v>3162</v>
      </c>
      <c r="F354" s="40"/>
      <c r="G354" s="40"/>
      <c r="H354" s="41" t="str">
        <f>VLOOKUP(C354,Stores!$A$200:$G$1118,3,0)</f>
        <v>Opened Stores</v>
      </c>
      <c r="I354" s="41" t="str">
        <f>VLOOKUP(C354,Stores!$A$200:$G$1118,4,0)</f>
        <v>Stage 7 - Installed</v>
      </c>
      <c r="J354" s="41" t="str">
        <f>VLOOKUP(C354,Stores!$A$200:$G$1118,5,0)</f>
        <v>ZKTECO</v>
      </c>
      <c r="K354" s="41" t="str">
        <f>VLOOKUP(C354,Stores!$A$200:$G$1118,6,0)</f>
        <v>ZKM6251500113</v>
      </c>
      <c r="L354" s="41" t="str">
        <f>VLOOKUP(C354,Stores!$A$200:$G$1118,7,0)</f>
        <v>192.168.1.201</v>
      </c>
      <c r="M354" s="42" t="s">
        <v>3315</v>
      </c>
    </row>
    <row r="355">
      <c r="A355" s="38" t="s">
        <v>2962</v>
      </c>
      <c r="B355" s="38" t="s">
        <v>3411</v>
      </c>
      <c r="C355" s="38" t="s">
        <v>2566</v>
      </c>
      <c r="D355" s="39" t="s">
        <v>3412</v>
      </c>
      <c r="E355" s="38" t="s">
        <v>3162</v>
      </c>
      <c r="F355" s="40"/>
      <c r="G355" s="40"/>
      <c r="H355" s="41" t="str">
        <f>VLOOKUP(C355,Stores!$A$200:$G$1118,3,0)</f>
        <v>Opened Stores</v>
      </c>
      <c r="I355" s="41" t="str">
        <f>VLOOKUP(C355,Stores!$A$200:$G$1118,4,0)</f>
        <v>Stage 7 - Installed</v>
      </c>
      <c r="J355" s="41" t="str">
        <f>VLOOKUP(C355,Stores!$A$200:$G$1118,5,0)</f>
        <v>ZKTECO</v>
      </c>
      <c r="K355" s="41" t="str">
        <f>VLOOKUP(C355,Stores!$A$200:$G$1118,6,0)</f>
        <v>ZKM6251700015</v>
      </c>
      <c r="L355" s="41" t="str">
        <f>VLOOKUP(C355,Stores!$A$200:$G$1118,7,0)</f>
        <v>192.168.1.201</v>
      </c>
      <c r="M355" s="42" t="s">
        <v>3315</v>
      </c>
    </row>
    <row r="356">
      <c r="A356" s="38" t="s">
        <v>2962</v>
      </c>
      <c r="B356" s="38" t="s">
        <v>3413</v>
      </c>
      <c r="C356" s="38" t="s">
        <v>1564</v>
      </c>
      <c r="D356" s="39" t="s">
        <v>3414</v>
      </c>
      <c r="E356" s="38" t="s">
        <v>3162</v>
      </c>
      <c r="F356" s="40"/>
      <c r="G356" s="40"/>
      <c r="H356" s="41" t="str">
        <f>VLOOKUP(C356,Stores!$A$200:$G$1118,3,0)</f>
        <v>Opened Stores</v>
      </c>
      <c r="I356" s="41" t="str">
        <f>VLOOKUP(C356,Stores!$A$200:$G$1118,4,0)</f>
        <v>Stage 7 - Installed</v>
      </c>
      <c r="J356" s="41" t="str">
        <f>VLOOKUP(C356,Stores!$A$200:$G$1118,5,0)</f>
        <v>ZKTECO</v>
      </c>
      <c r="K356" s="41" t="str">
        <f>VLOOKUP(C356,Stores!$A$200:$G$1118,6,0)</f>
        <v>AEYU082360253</v>
      </c>
      <c r="L356" s="41" t="str">
        <f>VLOOKUP(C356,Stores!$A$200:$G$1118,7,0)</f>
        <v>192.168.1.201</v>
      </c>
      <c r="M356" s="42" t="s">
        <v>3315</v>
      </c>
    </row>
    <row r="357">
      <c r="A357" s="38" t="s">
        <v>2962</v>
      </c>
      <c r="B357" s="38" t="s">
        <v>3415</v>
      </c>
      <c r="C357" s="38" t="s">
        <v>2599</v>
      </c>
      <c r="D357" s="39" t="s">
        <v>3416</v>
      </c>
      <c r="E357" s="38" t="s">
        <v>3162</v>
      </c>
      <c r="F357" s="40"/>
      <c r="G357" s="40"/>
      <c r="H357" s="41" t="str">
        <f>VLOOKUP(C357,Stores!$A$200:$G$1118,3,0)</f>
        <v>Opened Stores</v>
      </c>
      <c r="I357" s="41" t="str">
        <f>VLOOKUP(C357,Stores!$A$200:$G$1118,4,0)</f>
        <v>Stage 7 - Installed</v>
      </c>
      <c r="J357" s="41" t="str">
        <f>VLOOKUP(C357,Stores!$A$200:$G$1118,5,0)</f>
        <v>ZKTECO</v>
      </c>
      <c r="K357" s="41" t="str">
        <f>VLOOKUP(C357,Stores!$A$200:$G$1118,6,0)</f>
        <v>ZKM6251400074</v>
      </c>
      <c r="L357" s="41" t="str">
        <f>VLOOKUP(C357,Stores!$A$200:$G$1118,7,0)</f>
        <v>192.168.1.201</v>
      </c>
      <c r="M357" s="42" t="s">
        <v>3315</v>
      </c>
    </row>
    <row r="358">
      <c r="A358" s="38" t="s">
        <v>2962</v>
      </c>
      <c r="B358" s="38" t="s">
        <v>3417</v>
      </c>
      <c r="C358" s="38" t="s">
        <v>1904</v>
      </c>
      <c r="D358" s="39" t="s">
        <v>1905</v>
      </c>
      <c r="E358" s="38" t="s">
        <v>3162</v>
      </c>
      <c r="F358" s="40"/>
      <c r="G358" s="40"/>
      <c r="H358" s="41" t="str">
        <f>VLOOKUP(C358,Stores!$A$200:$G$1118,3,0)</f>
        <v>Opened Stores</v>
      </c>
      <c r="I358" s="41" t="str">
        <f>VLOOKUP(C358,Stores!$A$200:$G$1118,4,0)</f>
        <v>Stage 7 - Installed</v>
      </c>
      <c r="J358" s="41" t="str">
        <f>VLOOKUP(C358,Stores!$A$200:$G$1118,5,0)</f>
        <v>ZKTECO</v>
      </c>
      <c r="K358" s="41" t="str">
        <f>VLOOKUP(C358,Stores!$A$200:$G$1118,6,0)</f>
        <v>CQUJ233561160</v>
      </c>
      <c r="L358" s="41" t="str">
        <f>VLOOKUP(C358,Stores!$A$200:$G$1118,7,0)</f>
        <v>192.168.1.201</v>
      </c>
      <c r="M358" s="42" t="s">
        <v>3315</v>
      </c>
    </row>
    <row r="359">
      <c r="A359" s="38" t="s">
        <v>2962</v>
      </c>
      <c r="B359" s="38" t="s">
        <v>3418</v>
      </c>
      <c r="C359" s="38" t="s">
        <v>1654</v>
      </c>
      <c r="D359" s="39" t="s">
        <v>1655</v>
      </c>
      <c r="E359" s="38" t="s">
        <v>3162</v>
      </c>
      <c r="F359" s="40"/>
      <c r="G359" s="40"/>
      <c r="H359" s="41" t="str">
        <f>VLOOKUP(C359,Stores!$A$200:$G$1118,3,0)</f>
        <v>Opened Stores</v>
      </c>
      <c r="I359" s="41" t="str">
        <f>VLOOKUP(C359,Stores!$A$200:$G$1118,4,0)</f>
        <v>Stage 7 - Installed</v>
      </c>
      <c r="J359" s="41" t="str">
        <f>VLOOKUP(C359,Stores!$A$200:$G$1118,5,0)</f>
        <v>ZKTECO</v>
      </c>
      <c r="K359" s="41" t="str">
        <f>VLOOKUP(C359,Stores!$A$200:$G$1118,6,0)</f>
        <v>ZKM6245100112</v>
      </c>
      <c r="L359" s="41" t="str">
        <f>VLOOKUP(C359,Stores!$A$200:$G$1118,7,0)</f>
        <v>192.168.1.201</v>
      </c>
      <c r="M359" s="42" t="s">
        <v>3315</v>
      </c>
    </row>
    <row r="360">
      <c r="A360" s="38" t="s">
        <v>2962</v>
      </c>
      <c r="B360" s="38" t="s">
        <v>3419</v>
      </c>
      <c r="C360" s="38" t="s">
        <v>1627</v>
      </c>
      <c r="D360" s="39" t="s">
        <v>1628</v>
      </c>
      <c r="E360" s="38" t="s">
        <v>3162</v>
      </c>
      <c r="F360" s="40"/>
      <c r="G360" s="40"/>
      <c r="H360" s="41" t="str">
        <f>VLOOKUP(C360,Stores!$A$200:$G$1118,3,0)</f>
        <v>Opened Stores</v>
      </c>
      <c r="I360" s="41" t="str">
        <f>VLOOKUP(C360,Stores!$A$200:$G$1118,4,0)</f>
        <v>Stage 7 - Installed</v>
      </c>
      <c r="J360" s="41" t="str">
        <f>VLOOKUP(C360,Stores!$A$200:$G$1118,5,0)</f>
        <v>ZKTECO</v>
      </c>
      <c r="K360" s="41" t="str">
        <f>VLOOKUP(C360,Stores!$A$200:$G$1118,6,0)</f>
        <v>AEYU082360246</v>
      </c>
      <c r="L360" s="41" t="str">
        <f>VLOOKUP(C360,Stores!$A$200:$G$1118,7,0)</f>
        <v>192.168.1.201</v>
      </c>
      <c r="M360" s="42" t="s">
        <v>3315</v>
      </c>
    </row>
    <row r="361">
      <c r="A361" s="38" t="s">
        <v>2962</v>
      </c>
      <c r="B361" s="38" t="s">
        <v>3420</v>
      </c>
      <c r="C361" s="38" t="s">
        <v>2006</v>
      </c>
      <c r="D361" s="39" t="s">
        <v>2007</v>
      </c>
      <c r="E361" s="38" t="s">
        <v>3162</v>
      </c>
      <c r="F361" s="40"/>
      <c r="G361" s="40"/>
      <c r="H361" s="41" t="str">
        <f>VLOOKUP(C361,Stores!$A$200:$G$1118,3,0)</f>
        <v>Opened Stores</v>
      </c>
      <c r="I361" s="41" t="str">
        <f>VLOOKUP(C361,Stores!$A$200:$G$1118,4,0)</f>
        <v>Stage 7 - Installed</v>
      </c>
      <c r="J361" s="41" t="str">
        <f>VLOOKUP(C361,Stores!$A$200:$G$1118,5,0)</f>
        <v>ZKTECO</v>
      </c>
      <c r="K361" s="41" t="str">
        <f>VLOOKUP(C361,Stores!$A$200:$G$1118,6,0)</f>
        <v>CQUJ233560633</v>
      </c>
      <c r="L361" s="41" t="str">
        <f>VLOOKUP(C361,Stores!$A$200:$G$1118,7,0)</f>
        <v>192.168.1.201</v>
      </c>
      <c r="M361" s="42" t="s">
        <v>3315</v>
      </c>
    </row>
    <row r="362">
      <c r="A362" s="38" t="s">
        <v>2962</v>
      </c>
      <c r="B362" s="38" t="s">
        <v>3421</v>
      </c>
      <c r="C362" s="38" t="s">
        <v>2090</v>
      </c>
      <c r="D362" s="39" t="s">
        <v>3422</v>
      </c>
      <c r="E362" s="38" t="s">
        <v>3162</v>
      </c>
      <c r="F362" s="40"/>
      <c r="G362" s="40"/>
      <c r="H362" s="41" t="str">
        <f>VLOOKUP(C362,Stores!$A$200:$G$1118,3,0)</f>
        <v>Opened Stores</v>
      </c>
      <c r="I362" s="41" t="str">
        <f>VLOOKUP(C362,Stores!$A$200:$G$1118,4,0)</f>
        <v>Stage 7 - Installed</v>
      </c>
      <c r="J362" s="41" t="str">
        <f>VLOOKUP(C362,Stores!$A$200:$G$1118,5,0)</f>
        <v>ZKTECO</v>
      </c>
      <c r="K362" s="41" t="str">
        <f>VLOOKUP(C362,Stores!$A$200:$G$1118,6,0)</f>
        <v>CQUJ233560071</v>
      </c>
      <c r="L362" s="41" t="str">
        <f>VLOOKUP(C362,Stores!$A$200:$G$1118,7,0)</f>
        <v>192.168.1.201</v>
      </c>
      <c r="M362" s="42" t="s">
        <v>3315</v>
      </c>
    </row>
    <row r="363">
      <c r="A363" s="38" t="s">
        <v>2962</v>
      </c>
      <c r="B363" s="38" t="s">
        <v>3423</v>
      </c>
      <c r="C363" s="38" t="s">
        <v>2269</v>
      </c>
      <c r="D363" s="39" t="s">
        <v>3424</v>
      </c>
      <c r="E363" s="38" t="s">
        <v>3162</v>
      </c>
      <c r="F363" s="40"/>
      <c r="G363" s="40"/>
      <c r="H363" s="41" t="str">
        <f>VLOOKUP(C363,Stores!$A$200:$G$1118,3,0)</f>
        <v>Opened Stores</v>
      </c>
      <c r="I363" s="41" t="str">
        <f>VLOOKUP(C363,Stores!$A$200:$G$1118,4,0)</f>
        <v>Stage 7 - Installed</v>
      </c>
      <c r="J363" s="41" t="str">
        <f>VLOOKUP(C363,Stores!$A$200:$G$1118,5,0)</f>
        <v>ZKTECO</v>
      </c>
      <c r="K363" s="41" t="str">
        <f>VLOOKUP(C363,Stores!$A$200:$G$1118,6,0)</f>
        <v>CQUJ233560431</v>
      </c>
      <c r="L363" s="41" t="str">
        <f>VLOOKUP(C363,Stores!$A$200:$G$1118,7,0)</f>
        <v>192.168.1.201</v>
      </c>
      <c r="M363" s="42" t="s">
        <v>3315</v>
      </c>
    </row>
    <row r="364">
      <c r="A364" s="38" t="s">
        <v>2962</v>
      </c>
      <c r="B364" s="38" t="s">
        <v>3425</v>
      </c>
      <c r="C364" s="38" t="s">
        <v>856</v>
      </c>
      <c r="D364" s="39" t="s">
        <v>857</v>
      </c>
      <c r="E364" s="38" t="s">
        <v>3162</v>
      </c>
      <c r="F364" s="40"/>
      <c r="G364" s="40"/>
      <c r="H364" s="41" t="str">
        <f>VLOOKUP(C364,Stores!$A$200:$G$1118,3,0)</f>
        <v>Opened Stores</v>
      </c>
      <c r="I364" s="41" t="str">
        <f>VLOOKUP(C364,Stores!$A$200:$G$1118,4,0)</f>
        <v>Stage 7 - Installed</v>
      </c>
      <c r="J364" s="41" t="str">
        <f>VLOOKUP(C364,Stores!$A$200:$G$1118,5,0)</f>
        <v>FINGERTEC</v>
      </c>
      <c r="K364" s="41">
        <f>VLOOKUP(C364,Stores!$A$200:$G$1118,6,0)</f>
        <v>7425653</v>
      </c>
      <c r="L364" s="41" t="str">
        <f>VLOOKUP(C364,Stores!$A$200:$G$1118,7,0)</f>
        <v>192.168.3.44</v>
      </c>
      <c r="M364" s="42" t="s">
        <v>3315</v>
      </c>
    </row>
    <row r="365">
      <c r="A365" s="38" t="s">
        <v>2962</v>
      </c>
      <c r="B365" s="38" t="s">
        <v>3426</v>
      </c>
      <c r="C365" s="38" t="s">
        <v>2366</v>
      </c>
      <c r="D365" s="39" t="s">
        <v>2367</v>
      </c>
      <c r="E365" s="38" t="s">
        <v>3162</v>
      </c>
      <c r="F365" s="40"/>
      <c r="G365" s="40"/>
      <c r="H365" s="41" t="str">
        <f>VLOOKUP(C365,Stores!$A$200:$G$1118,3,0)</f>
        <v>Opened Stores</v>
      </c>
      <c r="I365" s="41" t="str">
        <f>VLOOKUP(C365,Stores!$A$200:$G$1118,4,0)</f>
        <v>Stage 7 - Installed</v>
      </c>
      <c r="J365" s="41" t="str">
        <f>VLOOKUP(C365,Stores!$A$200:$G$1118,5,0)</f>
        <v>ZKTECO</v>
      </c>
      <c r="K365" s="41" t="str">
        <f>VLOOKUP(C365,Stores!$A$200:$G$1118,6,0)</f>
        <v>ZKM6251400001</v>
      </c>
      <c r="L365" s="41" t="str">
        <f>VLOOKUP(C365,Stores!$A$200:$G$1118,7,0)</f>
        <v>192.168.1.201</v>
      </c>
      <c r="M365" s="42" t="s">
        <v>3315</v>
      </c>
    </row>
    <row r="366">
      <c r="A366" s="38" t="s">
        <v>2962</v>
      </c>
      <c r="B366" s="38" t="s">
        <v>3427</v>
      </c>
      <c r="C366" s="38" t="s">
        <v>1713</v>
      </c>
      <c r="D366" s="39" t="s">
        <v>1714</v>
      </c>
      <c r="E366" s="38" t="s">
        <v>3162</v>
      </c>
      <c r="F366" s="40"/>
      <c r="G366" s="40"/>
      <c r="H366" s="41" t="str">
        <f>VLOOKUP(C366,Stores!$A$200:$G$1118,3,0)</f>
        <v>Opened Stores</v>
      </c>
      <c r="I366" s="41" t="str">
        <f>VLOOKUP(C366,Stores!$A$200:$G$1118,4,0)</f>
        <v>Stage 7 - Installed</v>
      </c>
      <c r="J366" s="41" t="str">
        <f>VLOOKUP(C366,Stores!$A$200:$G$1118,5,0)</f>
        <v>ZKTECO</v>
      </c>
      <c r="K366" s="41" t="str">
        <f>VLOOKUP(C366,Stores!$A$200:$G$1118,6,0)</f>
        <v>CQUJ233560801</v>
      </c>
      <c r="L366" s="41" t="str">
        <f>VLOOKUP(C366,Stores!$A$200:$G$1118,7,0)</f>
        <v>192.168.1.201</v>
      </c>
      <c r="M366" s="42" t="s">
        <v>3315</v>
      </c>
    </row>
    <row r="367">
      <c r="A367" s="38" t="s">
        <v>2962</v>
      </c>
      <c r="B367" s="38" t="s">
        <v>3428</v>
      </c>
      <c r="C367" s="38" t="s">
        <v>1152</v>
      </c>
      <c r="D367" s="39" t="s">
        <v>1153</v>
      </c>
      <c r="E367" s="38" t="s">
        <v>3162</v>
      </c>
      <c r="F367" s="40"/>
      <c r="G367" s="40"/>
      <c r="H367" s="41" t="str">
        <f>VLOOKUP(C367,Stores!$A$200:$G$1118,3,0)</f>
        <v>Opened Stores</v>
      </c>
      <c r="I367" s="41" t="str">
        <f>VLOOKUP(C367,Stores!$A$200:$G$1118,4,0)</f>
        <v>Stage 7 - Installed</v>
      </c>
      <c r="J367" s="41" t="str">
        <f>VLOOKUP(C367,Stores!$A$200:$G$1118,5,0)</f>
        <v>ZKTECO</v>
      </c>
      <c r="K367" s="41" t="str">
        <f>VLOOKUP(C367,Stores!$A$200:$G$1118,6,0)</f>
        <v>A8N5221960155</v>
      </c>
      <c r="L367" s="41" t="str">
        <f>VLOOKUP(C367,Stores!$A$200:$G$1118,7,0)</f>
        <v>192.168.1.202</v>
      </c>
      <c r="M367" s="42" t="s">
        <v>3315</v>
      </c>
    </row>
    <row r="368">
      <c r="A368" s="38" t="s">
        <v>2962</v>
      </c>
      <c r="B368" s="38" t="s">
        <v>3429</v>
      </c>
      <c r="C368" s="38" t="s">
        <v>872</v>
      </c>
      <c r="D368" s="39" t="s">
        <v>873</v>
      </c>
      <c r="E368" s="38" t="s">
        <v>3162</v>
      </c>
      <c r="F368" s="40"/>
      <c r="G368" s="40"/>
      <c r="H368" s="41" t="str">
        <f>VLOOKUP(C368,Stores!$A$200:$G$1118,3,0)</f>
        <v>Opened Stores</v>
      </c>
      <c r="I368" s="41" t="str">
        <f>VLOOKUP(C368,Stores!$A$200:$G$1118,4,0)</f>
        <v>Stage 7 - Installed</v>
      </c>
      <c r="J368" s="41" t="str">
        <f>VLOOKUP(C368,Stores!$A$200:$G$1118,5,0)</f>
        <v>FINGERTEC</v>
      </c>
      <c r="K368" s="41">
        <f>VLOOKUP(C368,Stores!$A$200:$G$1118,6,0)</f>
        <v>7425677</v>
      </c>
      <c r="L368" s="41" t="str">
        <f>VLOOKUP(C368,Stores!$A$200:$G$1118,7,0)</f>
        <v>192.168.1.200</v>
      </c>
      <c r="M368" s="42" t="s">
        <v>3430</v>
      </c>
    </row>
    <row r="369">
      <c r="A369" s="38" t="s">
        <v>2962</v>
      </c>
      <c r="B369" s="38" t="s">
        <v>3431</v>
      </c>
      <c r="C369" s="38" t="s">
        <v>1197</v>
      </c>
      <c r="D369" s="39" t="s">
        <v>1198</v>
      </c>
      <c r="E369" s="38" t="s">
        <v>3162</v>
      </c>
      <c r="F369" s="40"/>
      <c r="G369" s="40"/>
      <c r="H369" s="41" t="str">
        <f>VLOOKUP(C369,Stores!$A$200:$G$1118,3,0)</f>
        <v>Opened Stores</v>
      </c>
      <c r="I369" s="41" t="str">
        <f>VLOOKUP(C369,Stores!$A$200:$G$1118,4,0)</f>
        <v>Stage 7 - Installed</v>
      </c>
      <c r="J369" s="41" t="str">
        <f>VLOOKUP(C369,Stores!$A$200:$G$1118,5,0)</f>
        <v>ZKTECO</v>
      </c>
      <c r="K369" s="41" t="str">
        <f>VLOOKUP(C369,Stores!$A$200:$G$1118,6,0)</f>
        <v>CMZG122250769</v>
      </c>
      <c r="L369" s="41" t="str">
        <f>VLOOKUP(C369,Stores!$A$200:$G$1118,7,0)</f>
        <v>192.168.1.201</v>
      </c>
      <c r="M369" s="42" t="s">
        <v>3430</v>
      </c>
    </row>
    <row r="370">
      <c r="A370" s="38" t="s">
        <v>2962</v>
      </c>
      <c r="B370" s="38" t="s">
        <v>3432</v>
      </c>
      <c r="C370" s="43" t="s">
        <v>2470</v>
      </c>
      <c r="D370" s="39" t="s">
        <v>2471</v>
      </c>
      <c r="E370" s="38" t="s">
        <v>3162</v>
      </c>
      <c r="F370" s="40"/>
      <c r="G370" s="40"/>
      <c r="H370" s="41" t="str">
        <f>VLOOKUP(C370,Stores!$A$200:$G$1118,3,0)</f>
        <v>Opened Stores</v>
      </c>
      <c r="I370" s="41" t="str">
        <f>VLOOKUP(C370,Stores!$A$200:$G$1118,4,0)</f>
        <v>Stage 7 - Installed</v>
      </c>
      <c r="J370" s="41" t="str">
        <f>VLOOKUP(C370,Stores!$A$200:$G$1118,5,0)</f>
        <v>ZKTECO</v>
      </c>
      <c r="K370" s="41" t="str">
        <f>VLOOKUP(C370,Stores!$A$200:$G$1118,6,0)</f>
        <v>ZKM6245100094</v>
      </c>
      <c r="L370" s="41" t="str">
        <f>VLOOKUP(C370,Stores!$A$200:$G$1118,7,0)</f>
        <v>192.168.1.201</v>
      </c>
      <c r="M370" s="42" t="s">
        <v>3430</v>
      </c>
    </row>
    <row r="371">
      <c r="A371" s="38" t="s">
        <v>2962</v>
      </c>
      <c r="B371" s="38" t="s">
        <v>3433</v>
      </c>
      <c r="C371" s="38" t="s">
        <v>1264</v>
      </c>
      <c r="D371" s="39" t="s">
        <v>1265</v>
      </c>
      <c r="E371" s="38" t="s">
        <v>3162</v>
      </c>
      <c r="F371" s="40"/>
      <c r="G371" s="40"/>
      <c r="H371" s="41" t="str">
        <f>VLOOKUP(C371,Stores!$A$200:$G$1118,3,0)</f>
        <v>Opened Stores</v>
      </c>
      <c r="I371" s="41" t="str">
        <f>VLOOKUP(C371,Stores!$A$200:$G$1118,4,0)</f>
        <v>Stage 7 - Installed</v>
      </c>
      <c r="J371" s="41" t="str">
        <f>VLOOKUP(C371,Stores!$A$200:$G$1118,5,0)</f>
        <v>ZKTECO</v>
      </c>
      <c r="K371" s="41" t="str">
        <f>VLOOKUP(C371,Stores!$A$200:$G$1118,6,0)</f>
        <v>AKDG012351687</v>
      </c>
      <c r="L371" s="41" t="str">
        <f>VLOOKUP(C371,Stores!$A$200:$G$1118,7,0)</f>
        <v>192.168.1.201</v>
      </c>
      <c r="M371" s="42" t="s">
        <v>3430</v>
      </c>
    </row>
    <row r="372">
      <c r="A372" s="38" t="s">
        <v>2962</v>
      </c>
      <c r="B372" s="38" t="s">
        <v>3434</v>
      </c>
      <c r="C372" s="43" t="s">
        <v>2569</v>
      </c>
      <c r="D372" s="39" t="s">
        <v>3435</v>
      </c>
      <c r="E372" s="38" t="s">
        <v>3162</v>
      </c>
      <c r="F372" s="40"/>
      <c r="G372" s="40"/>
      <c r="H372" s="41" t="str">
        <f>VLOOKUP(C372,Stores!$A$200:$G$1118,3,0)</f>
        <v>Opened Stores</v>
      </c>
      <c r="I372" s="41" t="str">
        <f>VLOOKUP(C372,Stores!$A$200:$G$1118,4,0)</f>
        <v>Stage 7 - Installed</v>
      </c>
      <c r="J372" s="41" t="str">
        <f>VLOOKUP(C372,Stores!$A$200:$G$1118,5,0)</f>
        <v>ZKTECO</v>
      </c>
      <c r="K372" s="41" t="str">
        <f>VLOOKUP(C372,Stores!$A$200:$G$1118,6,0)</f>
        <v>ZKM6251700020</v>
      </c>
      <c r="L372" s="41" t="str">
        <f>VLOOKUP(C372,Stores!$A$200:$G$1118,7,0)</f>
        <v>192.168.1.201</v>
      </c>
      <c r="M372" s="42" t="s">
        <v>3430</v>
      </c>
    </row>
    <row r="373">
      <c r="A373" s="38" t="s">
        <v>2962</v>
      </c>
      <c r="B373" s="38" t="s">
        <v>3436</v>
      </c>
      <c r="C373" s="38" t="s">
        <v>1176</v>
      </c>
      <c r="D373" s="39" t="s">
        <v>1177</v>
      </c>
      <c r="E373" s="38" t="s">
        <v>3162</v>
      </c>
      <c r="F373" s="40"/>
      <c r="G373" s="40"/>
      <c r="H373" s="41" t="str">
        <f>VLOOKUP(C373,Stores!$A$200:$G$1118,3,0)</f>
        <v>Opened Stores</v>
      </c>
      <c r="I373" s="41" t="str">
        <f>VLOOKUP(C373,Stores!$A$200:$G$1118,4,0)</f>
        <v>Stage 7 - Installed</v>
      </c>
      <c r="J373" s="41" t="str">
        <f>VLOOKUP(C373,Stores!$A$200:$G$1118,5,0)</f>
        <v>ZKTECO</v>
      </c>
      <c r="K373" s="41" t="str">
        <f>VLOOKUP(C373,Stores!$A$200:$G$1118,6,0)</f>
        <v>AKDG012351694</v>
      </c>
      <c r="L373" s="41" t="str">
        <f>VLOOKUP(C373,Stores!$A$200:$G$1118,7,0)</f>
        <v>192.168.1.201</v>
      </c>
      <c r="M373" s="42" t="s">
        <v>3430</v>
      </c>
    </row>
    <row r="374">
      <c r="A374" s="38" t="s">
        <v>2962</v>
      </c>
      <c r="B374" s="38" t="s">
        <v>3437</v>
      </c>
      <c r="C374" s="38" t="s">
        <v>1315</v>
      </c>
      <c r="D374" s="39" t="s">
        <v>1316</v>
      </c>
      <c r="E374" s="38" t="s">
        <v>3162</v>
      </c>
      <c r="F374" s="40"/>
      <c r="G374" s="40"/>
      <c r="H374" s="41" t="str">
        <f>VLOOKUP(C374,Stores!$A$200:$G$1118,3,0)</f>
        <v>Opened Stores</v>
      </c>
      <c r="I374" s="41" t="str">
        <f>VLOOKUP(C374,Stores!$A$200:$G$1118,4,0)</f>
        <v>Stage 7 - Installed</v>
      </c>
      <c r="J374" s="41" t="str">
        <f>VLOOKUP(C374,Stores!$A$200:$G$1118,5,0)</f>
        <v>ZKTECO</v>
      </c>
      <c r="K374" s="41" t="str">
        <f>VLOOKUP(C374,Stores!$A$200:$G$1118,6,0)</f>
        <v>AKDG012350231</v>
      </c>
      <c r="L374" s="41" t="str">
        <f>VLOOKUP(C374,Stores!$A$200:$G$1118,7,0)</f>
        <v>192.168.1.201</v>
      </c>
      <c r="M374" s="42" t="s">
        <v>3430</v>
      </c>
    </row>
    <row r="375">
      <c r="A375" s="38" t="s">
        <v>2962</v>
      </c>
      <c r="B375" s="38" t="s">
        <v>3438</v>
      </c>
      <c r="C375" s="43" t="s">
        <v>597</v>
      </c>
      <c r="D375" s="39" t="s">
        <v>598</v>
      </c>
      <c r="E375" s="38" t="s">
        <v>3162</v>
      </c>
      <c r="F375" s="40"/>
      <c r="G375" s="40"/>
      <c r="H375" s="41" t="str">
        <f>VLOOKUP(C375,Stores!$A$200:$G$1118,3,0)</f>
        <v>Opened Stores</v>
      </c>
      <c r="I375" s="41" t="str">
        <f>VLOOKUP(C375,Stores!$A$200:$G$1118,4,0)</f>
        <v>Stage 7 - Installed</v>
      </c>
      <c r="J375" s="41" t="str">
        <f>VLOOKUP(C375,Stores!$A$200:$G$1118,5,0)</f>
        <v>FINGERTEC</v>
      </c>
      <c r="K375" s="41">
        <f>VLOOKUP(C375,Stores!$A$200:$G$1118,6,0)</f>
        <v>7421299</v>
      </c>
      <c r="L375" s="41" t="str">
        <f>VLOOKUP(C375,Stores!$A$200:$G$1118,7,0)</f>
        <v>192.168.1.201</v>
      </c>
      <c r="M375" s="42" t="s">
        <v>3430</v>
      </c>
    </row>
    <row r="376">
      <c r="A376" s="38" t="s">
        <v>2962</v>
      </c>
      <c r="B376" s="38" t="s">
        <v>3439</v>
      </c>
      <c r="C376" s="43" t="s">
        <v>2775</v>
      </c>
      <c r="D376" s="39" t="s">
        <v>2776</v>
      </c>
      <c r="E376" s="38" t="s">
        <v>3162</v>
      </c>
      <c r="F376" s="40"/>
      <c r="G376" s="40"/>
      <c r="H376" s="41" t="str">
        <f>VLOOKUP(C376,Stores!$A$200:$G$1118,3,0)</f>
        <v>Opened Stores</v>
      </c>
      <c r="I376" s="41" t="str">
        <f>VLOOKUP(C376,Stores!$A$200:$G$1118,4,0)</f>
        <v>Stage 7 - Installed</v>
      </c>
      <c r="J376" s="41" t="str">
        <f>VLOOKUP(C376,Stores!$A$200:$G$1118,5,0)</f>
        <v>ZKTECO</v>
      </c>
      <c r="K376" s="41" t="str">
        <f>VLOOKUP(C376,Stores!$A$200:$G$1118,6,0)</f>
        <v>PAS4252900098</v>
      </c>
      <c r="L376" s="41" t="str">
        <f>VLOOKUP(C376,Stores!$A$200:$G$1118,7,0)</f>
        <v>192.168.1.201</v>
      </c>
      <c r="M376" s="42" t="s">
        <v>3430</v>
      </c>
    </row>
    <row r="377">
      <c r="A377" s="38" t="s">
        <v>2962</v>
      </c>
      <c r="B377" s="38" t="s">
        <v>3440</v>
      </c>
      <c r="C377" s="38" t="s">
        <v>902</v>
      </c>
      <c r="D377" s="39" t="s">
        <v>903</v>
      </c>
      <c r="E377" s="38" t="s">
        <v>3162</v>
      </c>
      <c r="F377" s="40"/>
      <c r="G377" s="40"/>
      <c r="H377" s="41" t="str">
        <f>VLOOKUP(C377,Stores!$A$200:$G$1118,3,0)</f>
        <v>Opened Stores</v>
      </c>
      <c r="I377" s="41" t="str">
        <f>VLOOKUP(C377,Stores!$A$200:$G$1118,4,0)</f>
        <v>Stage 7 - Installed</v>
      </c>
      <c r="J377" s="41" t="str">
        <f>VLOOKUP(C377,Stores!$A$200:$G$1118,5,0)</f>
        <v>FINGERTEC</v>
      </c>
      <c r="K377" s="41">
        <f>VLOOKUP(C377,Stores!$A$200:$G$1118,6,0)</f>
        <v>7425854</v>
      </c>
      <c r="L377" s="41" t="str">
        <f>VLOOKUP(C377,Stores!$A$200:$G$1118,7,0)</f>
        <v>192.168.1.201</v>
      </c>
      <c r="M377" s="42" t="s">
        <v>3430</v>
      </c>
    </row>
    <row r="378">
      <c r="A378" s="38" t="s">
        <v>2962</v>
      </c>
      <c r="B378" s="38" t="s">
        <v>3441</v>
      </c>
      <c r="C378" s="38" t="s">
        <v>2691</v>
      </c>
      <c r="D378" s="39" t="s">
        <v>2692</v>
      </c>
      <c r="E378" s="38" t="s">
        <v>3162</v>
      </c>
      <c r="F378" s="40"/>
      <c r="G378" s="40"/>
      <c r="H378" s="41" t="str">
        <f>VLOOKUP(C378,Stores!$A$200:$G$1118,3,0)</f>
        <v>Opened Stores</v>
      </c>
      <c r="I378" s="41" t="str">
        <f>VLOOKUP(C378,Stores!$A$200:$G$1118,4,0)</f>
        <v>Stage 7 - Installed</v>
      </c>
      <c r="J378" s="41" t="str">
        <f>VLOOKUP(C378,Stores!$A$200:$G$1118,5,0)</f>
        <v>ZKTECO</v>
      </c>
      <c r="K378" s="41" t="str">
        <f>VLOOKUP(C378,Stores!$A$200:$G$1118,6,0)</f>
        <v>ZKM6251500308</v>
      </c>
      <c r="L378" s="41" t="str">
        <f>VLOOKUP(C378,Stores!$A$200:$G$1118,7,0)</f>
        <v>192.168.1.201</v>
      </c>
      <c r="M378" s="42" t="s">
        <v>3430</v>
      </c>
    </row>
    <row r="379">
      <c r="A379" s="38" t="s">
        <v>2962</v>
      </c>
      <c r="B379" s="38" t="s">
        <v>3442</v>
      </c>
      <c r="C379" s="38" t="s">
        <v>2227</v>
      </c>
      <c r="D379" s="39" t="s">
        <v>2228</v>
      </c>
      <c r="E379" s="38" t="s">
        <v>3162</v>
      </c>
      <c r="F379" s="40"/>
      <c r="G379" s="40"/>
      <c r="H379" s="41" t="str">
        <f>VLOOKUP(C379,Stores!$A$200:$G$1118,3,0)</f>
        <v>Opened Stores</v>
      </c>
      <c r="I379" s="41" t="str">
        <f>VLOOKUP(C379,Stores!$A$200:$G$1118,4,0)</f>
        <v>Stage 7 - Installed</v>
      </c>
      <c r="J379" s="41" t="str">
        <f>VLOOKUP(C379,Stores!$A$200:$G$1118,5,0)</f>
        <v>ZKTECO</v>
      </c>
      <c r="K379" s="41" t="str">
        <f>VLOOKUP(C379,Stores!$A$200:$G$1118,6,0)</f>
        <v>CQUJ233560680</v>
      </c>
      <c r="L379" s="41" t="str">
        <f>VLOOKUP(C379,Stores!$A$200:$G$1118,7,0)</f>
        <v>192.168.1.201</v>
      </c>
      <c r="M379" s="42" t="s">
        <v>3430</v>
      </c>
    </row>
    <row r="380">
      <c r="A380" s="38" t="s">
        <v>2962</v>
      </c>
      <c r="B380" s="38" t="s">
        <v>3443</v>
      </c>
      <c r="C380" s="38" t="s">
        <v>2369</v>
      </c>
      <c r="D380" s="39" t="s">
        <v>3444</v>
      </c>
      <c r="E380" s="38" t="s">
        <v>3162</v>
      </c>
      <c r="F380" s="40"/>
      <c r="G380" s="40"/>
      <c r="H380" s="41" t="str">
        <f>VLOOKUP(C380,Stores!$A$200:$G$1118,3,0)</f>
        <v>Opened Stores</v>
      </c>
      <c r="I380" s="41" t="str">
        <f>VLOOKUP(C380,Stores!$A$200:$G$1118,4,0)</f>
        <v>Stage 7 - Installed</v>
      </c>
      <c r="J380" s="41" t="str">
        <f>VLOOKUP(C380,Stores!$A$200:$G$1118,5,0)</f>
        <v>ZKTECO</v>
      </c>
      <c r="K380" s="41" t="str">
        <f>VLOOKUP(C380,Stores!$A$200:$G$1118,6,0)</f>
        <v>ZKM6245100189</v>
      </c>
      <c r="L380" s="41" t="str">
        <f>VLOOKUP(C380,Stores!$A$200:$G$1118,7,0)</f>
        <v>192.168.1.201</v>
      </c>
      <c r="M380" s="42" t="s">
        <v>3430</v>
      </c>
    </row>
    <row r="381">
      <c r="A381" s="38" t="s">
        <v>2962</v>
      </c>
      <c r="B381" s="38" t="s">
        <v>3445</v>
      </c>
      <c r="C381" s="43" t="s">
        <v>2441</v>
      </c>
      <c r="D381" s="39" t="s">
        <v>2442</v>
      </c>
      <c r="E381" s="38" t="s">
        <v>3162</v>
      </c>
      <c r="F381" s="40"/>
      <c r="G381" s="40"/>
      <c r="H381" s="41" t="str">
        <f>VLOOKUP(C381,Stores!$A$200:$G$1118,3,0)</f>
        <v>Opened Stores</v>
      </c>
      <c r="I381" s="41" t="str">
        <f>VLOOKUP(C381,Stores!$A$200:$G$1118,4,0)</f>
        <v>Stage 7 - Installed</v>
      </c>
      <c r="J381" s="41" t="str">
        <f>VLOOKUP(C381,Stores!$A$200:$G$1118,5,0)</f>
        <v>ZKTECO</v>
      </c>
      <c r="K381" s="41" t="str">
        <f>VLOOKUP(C381,Stores!$A$200:$G$1118,6,0)</f>
        <v>ZKM6245100126</v>
      </c>
      <c r="L381" s="41" t="str">
        <f>VLOOKUP(C381,Stores!$A$200:$G$1118,7,0)</f>
        <v>192.168.1.201</v>
      </c>
      <c r="M381" s="42" t="s">
        <v>3430</v>
      </c>
    </row>
    <row r="382">
      <c r="A382" s="38" t="s">
        <v>2962</v>
      </c>
      <c r="B382" s="38" t="s">
        <v>3446</v>
      </c>
      <c r="C382" s="38" t="s">
        <v>2194</v>
      </c>
      <c r="D382" s="39" t="s">
        <v>3447</v>
      </c>
      <c r="E382" s="38" t="s">
        <v>3162</v>
      </c>
      <c r="F382" s="40"/>
      <c r="G382" s="40"/>
      <c r="H382" s="41" t="str">
        <f>VLOOKUP(C382,Stores!$A$200:$G$1118,3,0)</f>
        <v>Opened Stores</v>
      </c>
      <c r="I382" s="41" t="str">
        <f>VLOOKUP(C382,Stores!$A$200:$G$1118,4,0)</f>
        <v>Stage 7 - Installed</v>
      </c>
      <c r="J382" s="41" t="str">
        <f>VLOOKUP(C382,Stores!$A$200:$G$1118,5,0)</f>
        <v>ZKTECO</v>
      </c>
      <c r="K382" s="41" t="str">
        <f>VLOOKUP(C382,Stores!$A$200:$G$1118,6,0)</f>
        <v>CQUJ233560647</v>
      </c>
      <c r="L382" s="41" t="str">
        <f>VLOOKUP(C382,Stores!$A$200:$G$1118,7,0)</f>
        <v>192.168.1.201</v>
      </c>
      <c r="M382" s="42" t="s">
        <v>3430</v>
      </c>
    </row>
    <row r="383">
      <c r="A383" s="38" t="s">
        <v>2962</v>
      </c>
      <c r="B383" s="38" t="s">
        <v>3448</v>
      </c>
      <c r="C383" s="38" t="s">
        <v>2850</v>
      </c>
      <c r="D383" s="39" t="s">
        <v>2851</v>
      </c>
      <c r="E383" s="38" t="s">
        <v>3162</v>
      </c>
      <c r="F383" s="40"/>
      <c r="G383" s="40"/>
      <c r="H383" s="41" t="str">
        <f>VLOOKUP(C383,Stores!$A$200:$G$1118,3,0)</f>
        <v>Opened Stores</v>
      </c>
      <c r="I383" s="41" t="str">
        <f>VLOOKUP(C383,Stores!$A$200:$G$1118,4,0)</f>
        <v>Stage 7 - Installed</v>
      </c>
      <c r="J383" s="41" t="str">
        <f>VLOOKUP(C383,Stores!$A$200:$G$1118,5,0)</f>
        <v>ZKTECO</v>
      </c>
      <c r="K383" s="41" t="str">
        <f>VLOOKUP(C383,Stores!$A$200:$G$1118,6,0)</f>
        <v>PAS4252500199</v>
      </c>
      <c r="L383" s="41" t="str">
        <f>VLOOKUP(C383,Stores!$A$200:$G$1118,7,0)</f>
        <v>192.168.1.201</v>
      </c>
      <c r="M383" s="42" t="s">
        <v>3430</v>
      </c>
    </row>
    <row r="384">
      <c r="A384" s="38" t="s">
        <v>2962</v>
      </c>
      <c r="B384" s="38" t="s">
        <v>3449</v>
      </c>
      <c r="C384" s="38" t="s">
        <v>1967</v>
      </c>
      <c r="D384" s="39" t="s">
        <v>3450</v>
      </c>
      <c r="E384" s="38" t="s">
        <v>3162</v>
      </c>
      <c r="F384" s="40"/>
      <c r="G384" s="40"/>
      <c r="H384" s="41" t="str">
        <f>VLOOKUP(C384,Stores!$A$200:$G$1118,3,0)</f>
        <v>Opened Stores</v>
      </c>
      <c r="I384" s="41" t="str">
        <f>VLOOKUP(C384,Stores!$A$200:$G$1118,4,0)</f>
        <v>Stage 7 - Installed</v>
      </c>
      <c r="J384" s="41" t="str">
        <f>VLOOKUP(C384,Stores!$A$200:$G$1118,5,0)</f>
        <v>ZKTECO</v>
      </c>
      <c r="K384" s="41" t="str">
        <f>VLOOKUP(C384,Stores!$A$200:$G$1118,6,0)</f>
        <v>CQUJ233560986</v>
      </c>
      <c r="L384" s="41" t="str">
        <f>VLOOKUP(C384,Stores!$A$200:$G$1118,7,0)</f>
        <v>192.168.1.201</v>
      </c>
      <c r="M384" s="42" t="s">
        <v>3430</v>
      </c>
    </row>
    <row r="385">
      <c r="A385" s="38" t="s">
        <v>2962</v>
      </c>
      <c r="B385" s="38" t="s">
        <v>3451</v>
      </c>
      <c r="C385" s="38" t="s">
        <v>2206</v>
      </c>
      <c r="D385" s="39" t="s">
        <v>3452</v>
      </c>
      <c r="E385" s="38" t="s">
        <v>3162</v>
      </c>
      <c r="F385" s="40"/>
      <c r="G385" s="40"/>
      <c r="H385" s="41" t="str">
        <f>VLOOKUP(C385,Stores!$A$200:$G$1118,3,0)</f>
        <v>Opened Stores</v>
      </c>
      <c r="I385" s="41" t="str">
        <f>VLOOKUP(C385,Stores!$A$200:$G$1118,4,0)</f>
        <v>Stage 7 - Installed</v>
      </c>
      <c r="J385" s="41" t="str">
        <f>VLOOKUP(C385,Stores!$A$200:$G$1118,5,0)</f>
        <v>ZKTECO</v>
      </c>
      <c r="K385" s="41" t="str">
        <f>VLOOKUP(C385,Stores!$A$200:$G$1118,6,0)</f>
        <v>CQUJ233560678</v>
      </c>
      <c r="L385" s="41" t="str">
        <f>VLOOKUP(C385,Stores!$A$200:$G$1118,7,0)</f>
        <v>192.168.1.201</v>
      </c>
      <c r="M385" s="42" t="s">
        <v>3430</v>
      </c>
    </row>
    <row r="386">
      <c r="A386" s="38" t="s">
        <v>2962</v>
      </c>
      <c r="B386" s="38" t="s">
        <v>3453</v>
      </c>
      <c r="C386" s="38" t="s">
        <v>2620</v>
      </c>
      <c r="D386" s="39" t="s">
        <v>3454</v>
      </c>
      <c r="E386" s="38" t="s">
        <v>3162</v>
      </c>
      <c r="F386" s="40"/>
      <c r="G386" s="40"/>
      <c r="H386" s="41" t="str">
        <f>VLOOKUP(C386,Stores!$A$200:$G$1118,3,0)</f>
        <v>Opened Stores</v>
      </c>
      <c r="I386" s="41" t="str">
        <f>VLOOKUP(C386,Stores!$A$200:$G$1118,4,0)</f>
        <v>Stage 7 - Installed</v>
      </c>
      <c r="J386" s="41" t="str">
        <f>VLOOKUP(C386,Stores!$A$200:$G$1118,5,0)</f>
        <v>ZKTECO</v>
      </c>
      <c r="K386" s="41" t="str">
        <f>VLOOKUP(C386,Stores!$A$200:$G$1118,6,0)</f>
        <v>ZKM6251700050</v>
      </c>
      <c r="L386" s="41" t="str">
        <f>VLOOKUP(C386,Stores!$A$200:$G$1118,7,0)</f>
        <v>192.168.1.201</v>
      </c>
      <c r="M386" s="42" t="s">
        <v>3430</v>
      </c>
    </row>
    <row r="387">
      <c r="A387" s="38" t="s">
        <v>2962</v>
      </c>
      <c r="B387" s="38" t="s">
        <v>3455</v>
      </c>
      <c r="C387" s="38" t="s">
        <v>2874</v>
      </c>
      <c r="D387" s="39" t="s">
        <v>2875</v>
      </c>
      <c r="E387" s="38" t="s">
        <v>3162</v>
      </c>
      <c r="F387" s="40"/>
      <c r="G387" s="40"/>
      <c r="H387" s="41" t="str">
        <f>VLOOKUP(C387,Stores!$A$200:$G$1118,3,0)</f>
        <v>Opened Stores</v>
      </c>
      <c r="I387" s="41" t="str">
        <f>VLOOKUP(C387,Stores!$A$200:$G$1118,4,0)</f>
        <v>Stage 7 - Installed</v>
      </c>
      <c r="J387" s="41" t="str">
        <f>VLOOKUP(C387,Stores!$A$200:$G$1118,5,0)</f>
        <v>ZKTECO</v>
      </c>
      <c r="K387" s="41" t="str">
        <f>VLOOKUP(C387,Stores!$A$200:$G$1118,6,0)</f>
        <v>PAS4252500038</v>
      </c>
      <c r="L387" s="41" t="str">
        <f>VLOOKUP(C387,Stores!$A$200:$G$1118,7,0)</f>
        <v>192.168.1.201</v>
      </c>
      <c r="M387" s="42" t="s">
        <v>3430</v>
      </c>
    </row>
    <row r="388">
      <c r="A388" s="38" t="s">
        <v>2962</v>
      </c>
      <c r="B388" s="38" t="s">
        <v>3456</v>
      </c>
      <c r="C388" s="38" t="s">
        <v>1898</v>
      </c>
      <c r="D388" s="39" t="s">
        <v>1899</v>
      </c>
      <c r="E388" s="38" t="s">
        <v>3162</v>
      </c>
      <c r="F388" s="40"/>
      <c r="G388" s="40"/>
      <c r="H388" s="41" t="str">
        <f>VLOOKUP(C388,Stores!$A$200:$G$1118,3,0)</f>
        <v>Opened Stores</v>
      </c>
      <c r="I388" s="41" t="str">
        <f>VLOOKUP(C388,Stores!$A$200:$G$1118,4,0)</f>
        <v>Stage 7 - Installed</v>
      </c>
      <c r="J388" s="41" t="str">
        <f>VLOOKUP(C388,Stores!$A$200:$G$1118,5,0)</f>
        <v>ZKTECO</v>
      </c>
      <c r="K388" s="41" t="str">
        <f>VLOOKUP(C388,Stores!$A$200:$G$1118,6,0)</f>
        <v>CQUJ233561104</v>
      </c>
      <c r="L388" s="41" t="str">
        <f>VLOOKUP(C388,Stores!$A$200:$G$1118,7,0)</f>
        <v>192.168.1.201</v>
      </c>
      <c r="M388" s="42" t="s">
        <v>3430</v>
      </c>
    </row>
    <row r="389">
      <c r="A389" s="38" t="s">
        <v>2962</v>
      </c>
      <c r="B389" s="38" t="s">
        <v>3457</v>
      </c>
      <c r="C389" s="38" t="s">
        <v>1872</v>
      </c>
      <c r="D389" s="39" t="s">
        <v>1873</v>
      </c>
      <c r="E389" s="38" t="s">
        <v>3162</v>
      </c>
      <c r="F389" s="40"/>
      <c r="G389" s="40"/>
      <c r="H389" s="41" t="str">
        <f>VLOOKUP(C389,Stores!$A$200:$G$1118,3,0)</f>
        <v>Opened Stores</v>
      </c>
      <c r="I389" s="41" t="str">
        <f>VLOOKUP(C389,Stores!$A$200:$G$1118,4,0)</f>
        <v>Stage 7 - Installed</v>
      </c>
      <c r="J389" s="41" t="str">
        <f>VLOOKUP(C389,Stores!$A$200:$G$1118,5,0)</f>
        <v>ZKTECO</v>
      </c>
      <c r="K389" s="41" t="str">
        <f>VLOOKUP(C389,Stores!$A$200:$G$1118,6,0)</f>
        <v>cquj233561353</v>
      </c>
      <c r="L389" s="41" t="str">
        <f>VLOOKUP(C389,Stores!$A$200:$G$1118,7,0)</f>
        <v>192.168.1.201</v>
      </c>
      <c r="M389" s="42" t="s">
        <v>3430</v>
      </c>
    </row>
    <row r="390">
      <c r="A390" s="38" t="s">
        <v>2962</v>
      </c>
      <c r="B390" s="38" t="s">
        <v>3458</v>
      </c>
      <c r="C390" s="43" t="s">
        <v>943</v>
      </c>
      <c r="D390" s="39" t="s">
        <v>944</v>
      </c>
      <c r="E390" s="38" t="s">
        <v>3162</v>
      </c>
      <c r="F390" s="40"/>
      <c r="G390" s="40"/>
      <c r="H390" s="41" t="str">
        <f>VLOOKUP(C390,Stores!$A$200:$G$1118,3,0)</f>
        <v>Opened Stores</v>
      </c>
      <c r="I390" s="41" t="str">
        <f>VLOOKUP(C390,Stores!$A$200:$G$1118,4,0)</f>
        <v>Stage 7 - Installed</v>
      </c>
      <c r="J390" s="41" t="str">
        <f>VLOOKUP(C390,Stores!$A$200:$G$1118,5,0)</f>
        <v>FINGERTEC</v>
      </c>
      <c r="K390" s="41">
        <f>VLOOKUP(C390,Stores!$A$200:$G$1118,6,0)</f>
        <v>7425888</v>
      </c>
      <c r="L390" s="41" t="str">
        <f>VLOOKUP(C390,Stores!$A$200:$G$1118,7,0)</f>
        <v>192.168.1.201</v>
      </c>
      <c r="M390" s="42" t="s">
        <v>3430</v>
      </c>
    </row>
    <row r="391">
      <c r="A391" s="38" t="s">
        <v>2962</v>
      </c>
      <c r="B391" s="38" t="s">
        <v>3459</v>
      </c>
      <c r="C391" s="38" t="s">
        <v>2144</v>
      </c>
      <c r="D391" s="39" t="s">
        <v>3460</v>
      </c>
      <c r="E391" s="38" t="s">
        <v>3162</v>
      </c>
      <c r="F391" s="40"/>
      <c r="G391" s="40"/>
      <c r="H391" s="41" t="str">
        <f>VLOOKUP(C391,Stores!$A$200:$G$1118,3,0)</f>
        <v>Opened Stores</v>
      </c>
      <c r="I391" s="41" t="str">
        <f>VLOOKUP(C391,Stores!$A$200:$G$1118,4,0)</f>
        <v>Stage 7 - Installed</v>
      </c>
      <c r="J391" s="41" t="str">
        <f>VLOOKUP(C391,Stores!$A$200:$G$1118,5,0)</f>
        <v>ZKTECO</v>
      </c>
      <c r="K391" s="41" t="str">
        <f>VLOOKUP(C391,Stores!$A$200:$G$1118,6,0)</f>
        <v>CQUJ233560171</v>
      </c>
      <c r="L391" s="41" t="str">
        <f>VLOOKUP(C391,Stores!$A$200:$G$1118,7,0)</f>
        <v>192.168.1.201</v>
      </c>
      <c r="M391" s="42" t="s">
        <v>3430</v>
      </c>
    </row>
    <row r="392">
      <c r="A392" s="38" t="s">
        <v>2962</v>
      </c>
      <c r="B392" s="38" t="s">
        <v>3461</v>
      </c>
      <c r="C392" s="38" t="s">
        <v>2484</v>
      </c>
      <c r="D392" s="39" t="s">
        <v>2485</v>
      </c>
      <c r="E392" s="38" t="s">
        <v>3162</v>
      </c>
      <c r="F392" s="40"/>
      <c r="G392" s="40"/>
      <c r="H392" s="41" t="str">
        <f>VLOOKUP(C392,Stores!$A$200:$G$1118,3,0)</f>
        <v>Opened Stores</v>
      </c>
      <c r="I392" s="41" t="str">
        <f>VLOOKUP(C392,Stores!$A$200:$G$1118,4,0)</f>
        <v>Stage 7 - Installed</v>
      </c>
      <c r="J392" s="41" t="str">
        <f>VLOOKUP(C392,Stores!$A$200:$G$1118,5,0)</f>
        <v>ZKTECO</v>
      </c>
      <c r="K392" s="41" t="str">
        <f>VLOOKUP(C392,Stores!$A$200:$G$1118,6,0)</f>
        <v>ZKM6251500313</v>
      </c>
      <c r="L392" s="41" t="str">
        <f>VLOOKUP(C392,Stores!$A$200:$G$1118,7,0)</f>
        <v>192.168.1.201</v>
      </c>
      <c r="M392" s="42" t="s">
        <v>3430</v>
      </c>
    </row>
    <row r="393">
      <c r="A393" s="38" t="s">
        <v>2962</v>
      </c>
      <c r="B393" s="38" t="s">
        <v>3462</v>
      </c>
      <c r="C393" s="38" t="s">
        <v>2221</v>
      </c>
      <c r="D393" s="39" t="s">
        <v>3463</v>
      </c>
      <c r="E393" s="38" t="s">
        <v>3162</v>
      </c>
      <c r="F393" s="40"/>
      <c r="G393" s="40"/>
      <c r="H393" s="41" t="str">
        <f>VLOOKUP(C393,Stores!$A$200:$G$1118,3,0)</f>
        <v>Opened Stores</v>
      </c>
      <c r="I393" s="41" t="str">
        <f>VLOOKUP(C393,Stores!$A$200:$G$1118,4,0)</f>
        <v>Stage 7 - Installed</v>
      </c>
      <c r="J393" s="41" t="str">
        <f>VLOOKUP(C393,Stores!$A$200:$G$1118,5,0)</f>
        <v>ZKTECO</v>
      </c>
      <c r="K393" s="41" t="str">
        <f>VLOOKUP(C393,Stores!$A$200:$G$1118,6,0)</f>
        <v>CQUJ233560081</v>
      </c>
      <c r="L393" s="41" t="str">
        <f>VLOOKUP(C393,Stores!$A$200:$G$1118,7,0)</f>
        <v>192.168.1.201</v>
      </c>
      <c r="M393" s="42" t="s">
        <v>3430</v>
      </c>
    </row>
    <row r="394">
      <c r="A394" s="38" t="s">
        <v>2962</v>
      </c>
      <c r="B394" s="38" t="s">
        <v>3464</v>
      </c>
      <c r="C394" s="38" t="s">
        <v>1526</v>
      </c>
      <c r="D394" s="39" t="s">
        <v>1527</v>
      </c>
      <c r="E394" s="38" t="s">
        <v>3162</v>
      </c>
      <c r="F394" s="40"/>
      <c r="G394" s="40"/>
      <c r="H394" s="41" t="str">
        <f>VLOOKUP(C394,Stores!$A$200:$G$1118,3,0)</f>
        <v>Opened Stores</v>
      </c>
      <c r="I394" s="41" t="str">
        <f>VLOOKUP(C394,Stores!$A$200:$G$1118,4,0)</f>
        <v>Stage 7 - Installed</v>
      </c>
      <c r="J394" s="41" t="str">
        <f>VLOOKUP(C394,Stores!$A$200:$G$1118,5,0)</f>
        <v>ZKTECO</v>
      </c>
      <c r="K394" s="41" t="str">
        <f>VLOOKUP(C394,Stores!$A$200:$G$1118,6,0)</f>
        <v>AEYU082360222</v>
      </c>
      <c r="L394" s="41" t="str">
        <f>VLOOKUP(C394,Stores!$A$200:$G$1118,7,0)</f>
        <v>192.168.1.201</v>
      </c>
      <c r="M394" s="42" t="s">
        <v>3430</v>
      </c>
    </row>
    <row r="395">
      <c r="A395" s="38" t="s">
        <v>2962</v>
      </c>
      <c r="B395" s="38" t="s">
        <v>3465</v>
      </c>
      <c r="C395" s="38" t="s">
        <v>2838</v>
      </c>
      <c r="D395" s="39" t="s">
        <v>2839</v>
      </c>
      <c r="E395" s="38" t="s">
        <v>3162</v>
      </c>
      <c r="F395" s="40"/>
      <c r="G395" s="40"/>
      <c r="H395" s="41" t="str">
        <f>VLOOKUP(C395,Stores!$A$200:$G$1118,3,0)</f>
        <v>Opened Stores</v>
      </c>
      <c r="I395" s="41" t="str">
        <f>VLOOKUP(C395,Stores!$A$200:$G$1118,4,0)</f>
        <v>Stage 7 - Installed</v>
      </c>
      <c r="J395" s="41" t="str">
        <f>VLOOKUP(C395,Stores!$A$200:$G$1118,5,0)</f>
        <v>ZKTECO</v>
      </c>
      <c r="K395" s="41" t="str">
        <f>VLOOKUP(C395,Stores!$A$200:$G$1118,6,0)</f>
        <v>PAS4252900186</v>
      </c>
      <c r="L395" s="41" t="str">
        <f>VLOOKUP(C395,Stores!$A$200:$G$1118,7,0)</f>
        <v>192.168.1.201</v>
      </c>
      <c r="M395" s="42" t="s">
        <v>3430</v>
      </c>
    </row>
    <row r="396">
      <c r="A396" s="38" t="s">
        <v>2962</v>
      </c>
      <c r="B396" s="38" t="s">
        <v>3466</v>
      </c>
      <c r="C396" s="38" t="s">
        <v>2862</v>
      </c>
      <c r="D396" s="39" t="s">
        <v>2863</v>
      </c>
      <c r="E396" s="38" t="s">
        <v>3162</v>
      </c>
      <c r="F396" s="40"/>
      <c r="G396" s="40"/>
      <c r="H396" s="41" t="str">
        <f>VLOOKUP(C396,Stores!$A$200:$G$1118,3,0)</f>
        <v>Opened Stores</v>
      </c>
      <c r="I396" s="41" t="str">
        <f>VLOOKUP(C396,Stores!$A$200:$G$1118,4,0)</f>
        <v>Stage 7 - Installed</v>
      </c>
      <c r="J396" s="41" t="str">
        <f>VLOOKUP(C396,Stores!$A$200:$G$1118,5,0)</f>
        <v>ZKTECO</v>
      </c>
      <c r="K396" s="41" t="str">
        <f>VLOOKUP(C396,Stores!$A$200:$G$1118,6,0)</f>
        <v>PAS4252500200</v>
      </c>
      <c r="L396" s="41" t="str">
        <f>VLOOKUP(C396,Stores!$A$200:$G$1118,7,0)</f>
        <v>192.168.1.201</v>
      </c>
      <c r="M396" s="42" t="s">
        <v>3430</v>
      </c>
    </row>
    <row r="397">
      <c r="A397" s="38" t="s">
        <v>2962</v>
      </c>
      <c r="B397" s="38" t="s">
        <v>3467</v>
      </c>
      <c r="C397" s="38" t="s">
        <v>1493</v>
      </c>
      <c r="D397" s="39" t="s">
        <v>1494</v>
      </c>
      <c r="E397" s="38" t="s">
        <v>3162</v>
      </c>
      <c r="F397" s="40"/>
      <c r="G397" s="40"/>
      <c r="H397" s="41" t="str">
        <f>VLOOKUP(C397,Stores!$A$200:$G$1118,3,0)</f>
        <v>Opened Stores</v>
      </c>
      <c r="I397" s="41" t="str">
        <f>VLOOKUP(C397,Stores!$A$200:$G$1118,4,0)</f>
        <v>Stage 7 - Installed</v>
      </c>
      <c r="J397" s="41" t="str">
        <f>VLOOKUP(C397,Stores!$A$200:$G$1118,5,0)</f>
        <v>ZKTECO</v>
      </c>
      <c r="K397" s="41" t="str">
        <f>VLOOKUP(C397,Stores!$A$200:$G$1118,6,0)</f>
        <v>AEYU082360213</v>
      </c>
      <c r="L397" s="41" t="str">
        <f>VLOOKUP(C397,Stores!$A$200:$G$1118,7,0)</f>
        <v>192.168.1.201</v>
      </c>
      <c r="M397" s="42" t="s">
        <v>3430</v>
      </c>
    </row>
    <row r="398">
      <c r="A398" s="38" t="s">
        <v>2962</v>
      </c>
      <c r="B398" s="38" t="s">
        <v>3468</v>
      </c>
      <c r="C398" s="38" t="s">
        <v>2135</v>
      </c>
      <c r="D398" s="39" t="s">
        <v>3469</v>
      </c>
      <c r="E398" s="38" t="s">
        <v>3162</v>
      </c>
      <c r="F398" s="40"/>
      <c r="G398" s="40"/>
      <c r="H398" s="41" t="str">
        <f>VLOOKUP(C398,Stores!$A$200:$G$1118,3,0)</f>
        <v>Opened Stores</v>
      </c>
      <c r="I398" s="41" t="str">
        <f>VLOOKUP(C398,Stores!$A$200:$G$1118,4,0)</f>
        <v>Stage 7 - Installed</v>
      </c>
      <c r="J398" s="41" t="str">
        <f>VLOOKUP(C398,Stores!$A$200:$G$1118,5,0)</f>
        <v>ZKTECO</v>
      </c>
      <c r="K398" s="41" t="str">
        <f>VLOOKUP(C398,Stores!$A$200:$G$1118,6,0)</f>
        <v>CQUJ232260077</v>
      </c>
      <c r="L398" s="41" t="str">
        <f>VLOOKUP(C398,Stores!$A$200:$G$1118,7,0)</f>
        <v>192.168.1.201</v>
      </c>
      <c r="M398" s="42" t="s">
        <v>3430</v>
      </c>
    </row>
    <row r="399">
      <c r="A399" s="38" t="s">
        <v>2962</v>
      </c>
      <c r="B399" s="38" t="s">
        <v>3470</v>
      </c>
      <c r="C399" s="38" t="s">
        <v>481</v>
      </c>
      <c r="D399" s="39" t="s">
        <v>482</v>
      </c>
      <c r="E399" s="38" t="s">
        <v>3162</v>
      </c>
      <c r="F399" s="40"/>
      <c r="G399" s="40"/>
      <c r="H399" s="41" t="str">
        <f>VLOOKUP(C399,Stores!$A$200:$G$1118,3,0)</f>
        <v>Opened Stores</v>
      </c>
      <c r="I399" s="41" t="str">
        <f>VLOOKUP(C399,Stores!$A$200:$G$1118,4,0)</f>
        <v>Stage 7 - Installed</v>
      </c>
      <c r="J399" s="41" t="str">
        <f>VLOOKUP(C399,Stores!$A$200:$G$1118,5,0)</f>
        <v>FINGERTEC</v>
      </c>
      <c r="K399" s="41">
        <f>VLOOKUP(C399,Stores!$A$200:$G$1118,6,0)</f>
        <v>7417478</v>
      </c>
      <c r="L399" s="41" t="str">
        <f>VLOOKUP(C399,Stores!$A$200:$G$1118,7,0)</f>
        <v>192.168.1.201</v>
      </c>
      <c r="M399" s="42" t="s">
        <v>3430</v>
      </c>
    </row>
    <row r="400">
      <c r="A400" s="38" t="s">
        <v>2962</v>
      </c>
      <c r="B400" s="43" t="s">
        <v>3471</v>
      </c>
      <c r="C400" s="43" t="s">
        <v>1645</v>
      </c>
      <c r="D400" s="46" t="s">
        <v>1646</v>
      </c>
      <c r="E400" s="43" t="s">
        <v>3162</v>
      </c>
      <c r="F400" s="40"/>
      <c r="G400" s="40"/>
      <c r="H400" s="41" t="str">
        <f>VLOOKUP(C400,Stores!$A$200:$G$1118,3,0)</f>
        <v>Opened Stores</v>
      </c>
      <c r="I400" s="41" t="str">
        <f>VLOOKUP(C400,Stores!$A$200:$G$1118,4,0)</f>
        <v>Stage 7 - Installed</v>
      </c>
      <c r="J400" s="41" t="str">
        <f>VLOOKUP(C400,Stores!$A$200:$G$1118,5,0)</f>
        <v>ZKTECO</v>
      </c>
      <c r="K400" s="41" t="str">
        <f>VLOOKUP(C400,Stores!$A$200:$G$1118,6,0)</f>
        <v>AEYU082360256</v>
      </c>
      <c r="L400" s="41" t="str">
        <f>VLOOKUP(C400,Stores!$A$200:$G$1118,7,0)</f>
        <v>192.168.1.201</v>
      </c>
      <c r="M400" s="42" t="s">
        <v>3430</v>
      </c>
    </row>
    <row r="401">
      <c r="A401" s="38" t="s">
        <v>2962</v>
      </c>
      <c r="B401" s="38" t="s">
        <v>3472</v>
      </c>
      <c r="C401" s="38" t="s">
        <v>782</v>
      </c>
      <c r="D401" s="39" t="s">
        <v>783</v>
      </c>
      <c r="E401" s="38" t="s">
        <v>3162</v>
      </c>
      <c r="F401" s="40"/>
      <c r="G401" s="40"/>
      <c r="H401" s="41" t="str">
        <f>VLOOKUP(C401,Stores!$A$200:$G$1118,3,0)</f>
        <v>Opened Stores</v>
      </c>
      <c r="I401" s="41" t="str">
        <f>VLOOKUP(C401,Stores!$A$200:$G$1118,4,0)</f>
        <v>Stage 7 - Installed</v>
      </c>
      <c r="J401" s="41" t="str">
        <f>VLOOKUP(C401,Stores!$A$200:$G$1118,5,0)</f>
        <v>FINGERTEC</v>
      </c>
      <c r="K401" s="41">
        <f>VLOOKUP(C401,Stores!$A$200:$G$1118,6,0)</f>
        <v>7425402</v>
      </c>
      <c r="L401" s="41" t="str">
        <f>VLOOKUP(C401,Stores!$A$200:$G$1118,7,0)</f>
        <v>192.168.1.201</v>
      </c>
      <c r="M401" s="42" t="s">
        <v>3430</v>
      </c>
    </row>
    <row r="402">
      <c r="A402" s="38" t="s">
        <v>2962</v>
      </c>
      <c r="B402" s="38" t="s">
        <v>3473</v>
      </c>
      <c r="C402" s="38" t="s">
        <v>720</v>
      </c>
      <c r="D402" s="39" t="s">
        <v>721</v>
      </c>
      <c r="E402" s="38" t="s">
        <v>3162</v>
      </c>
      <c r="F402" s="40"/>
      <c r="G402" s="40"/>
      <c r="H402" s="41" t="str">
        <f>VLOOKUP(C402,Stores!$A$200:$G$1118,3,0)</f>
        <v>Opened Stores</v>
      </c>
      <c r="I402" s="41" t="str">
        <f>VLOOKUP(C402,Stores!$A$200:$G$1118,4,0)</f>
        <v>Stage 7 - Installed</v>
      </c>
      <c r="J402" s="41" t="str">
        <f>VLOOKUP(C402,Stores!$A$200:$G$1118,5,0)</f>
        <v>FINGERTEC</v>
      </c>
      <c r="K402" s="41">
        <f>VLOOKUP(C402,Stores!$A$200:$G$1118,6,0)</f>
        <v>7423447</v>
      </c>
      <c r="L402" s="41" t="str">
        <f>VLOOKUP(C402,Stores!$A$200:$G$1118,7,0)</f>
        <v>192.168.1.201</v>
      </c>
      <c r="M402" s="42" t="s">
        <v>3430</v>
      </c>
    </row>
    <row r="403">
      <c r="A403" s="38" t="s">
        <v>2962</v>
      </c>
      <c r="B403" s="38" t="s">
        <v>3474</v>
      </c>
      <c r="C403" s="43" t="s">
        <v>1347</v>
      </c>
      <c r="D403" s="39" t="s">
        <v>1348</v>
      </c>
      <c r="E403" s="38" t="s">
        <v>3162</v>
      </c>
      <c r="F403" s="40"/>
      <c r="G403" s="40"/>
      <c r="H403" s="41" t="str">
        <f>VLOOKUP(C403,Stores!$A$200:$G$1118,3,0)</f>
        <v>Opened Stores</v>
      </c>
      <c r="I403" s="41" t="str">
        <f>VLOOKUP(C403,Stores!$A$200:$G$1118,4,0)</f>
        <v>Stage 7 - Installed</v>
      </c>
      <c r="J403" s="41" t="str">
        <f>VLOOKUP(C403,Stores!$A$200:$G$1118,5,0)</f>
        <v>ZKTECO</v>
      </c>
      <c r="K403" s="41" t="str">
        <f>VLOOKUP(C403,Stores!$A$200:$G$1118,6,0)</f>
        <v>AKDG012350227</v>
      </c>
      <c r="L403" s="41" t="str">
        <f>VLOOKUP(C403,Stores!$A$200:$G$1118,7,0)</f>
        <v>192.168.1.201</v>
      </c>
      <c r="M403" s="42" t="s">
        <v>3430</v>
      </c>
    </row>
    <row r="404">
      <c r="A404" s="38" t="s">
        <v>2962</v>
      </c>
      <c r="B404" s="38" t="s">
        <v>3475</v>
      </c>
      <c r="C404" s="38" t="s">
        <v>1752</v>
      </c>
      <c r="D404" s="39" t="s">
        <v>1753</v>
      </c>
      <c r="E404" s="38" t="s">
        <v>3162</v>
      </c>
      <c r="F404" s="40"/>
      <c r="G404" s="40"/>
      <c r="H404" s="41" t="str">
        <f>VLOOKUP(C404,Stores!$A$200:$G$1118,3,0)</f>
        <v>Opened Stores</v>
      </c>
      <c r="I404" s="41" t="str">
        <f>VLOOKUP(C404,Stores!$A$200:$G$1118,4,0)</f>
        <v>Stage 7 - Installed</v>
      </c>
      <c r="J404" s="41" t="str">
        <f>VLOOKUP(C404,Stores!$A$200:$G$1118,5,0)</f>
        <v>ZKTECO</v>
      </c>
      <c r="K404" s="41" t="str">
        <f>VLOOKUP(C404,Stores!$A$200:$G$1118,6,0)</f>
        <v>CQUJ233560261</v>
      </c>
      <c r="L404" s="41" t="str">
        <f>VLOOKUP(C404,Stores!$A$200:$G$1118,7,0)</f>
        <v>192.168.1.201</v>
      </c>
      <c r="M404" s="42" t="s">
        <v>3430</v>
      </c>
    </row>
    <row r="405">
      <c r="A405" s="38" t="s">
        <v>2962</v>
      </c>
      <c r="B405" s="38" t="s">
        <v>3476</v>
      </c>
      <c r="C405" s="43" t="s">
        <v>1362</v>
      </c>
      <c r="D405" s="39" t="s">
        <v>1363</v>
      </c>
      <c r="E405" s="38" t="s">
        <v>3162</v>
      </c>
      <c r="F405" s="40"/>
      <c r="G405" s="40"/>
      <c r="H405" s="41" t="str">
        <f>VLOOKUP(C405,Stores!$A$200:$G$1118,3,0)</f>
        <v>Opened Stores</v>
      </c>
      <c r="I405" s="41" t="str">
        <f>VLOOKUP(C405,Stores!$A$200:$G$1118,4,0)</f>
        <v>Stage 7 - Installed</v>
      </c>
      <c r="J405" s="41" t="str">
        <f>VLOOKUP(C405,Stores!$A$200:$G$1118,5,0)</f>
        <v>ZKTECO</v>
      </c>
      <c r="K405" s="41" t="str">
        <f>VLOOKUP(C405,Stores!$A$200:$G$1118,6,0)</f>
        <v>AKDG012350204</v>
      </c>
      <c r="L405" s="41" t="str">
        <f>VLOOKUP(C405,Stores!$A$200:$G$1118,7,0)</f>
        <v>192.168.1.201</v>
      </c>
      <c r="M405" s="42" t="s">
        <v>3430</v>
      </c>
    </row>
    <row r="406">
      <c r="A406" s="38" t="s">
        <v>2962</v>
      </c>
      <c r="B406" s="38" t="s">
        <v>3477</v>
      </c>
      <c r="C406" s="38" t="s">
        <v>2012</v>
      </c>
      <c r="D406" s="39" t="s">
        <v>2013</v>
      </c>
      <c r="E406" s="38" t="s">
        <v>3162</v>
      </c>
      <c r="F406" s="40"/>
      <c r="G406" s="40"/>
      <c r="H406" s="41" t="str">
        <f>VLOOKUP(C406,Stores!$A$200:$G$1118,3,0)</f>
        <v>Opened Stores</v>
      </c>
      <c r="I406" s="41" t="str">
        <f>VLOOKUP(C406,Stores!$A$200:$G$1118,4,0)</f>
        <v>Stage 7 - Installed</v>
      </c>
      <c r="J406" s="41" t="str">
        <f>VLOOKUP(C406,Stores!$A$200:$G$1118,5,0)</f>
        <v>ZKTECO</v>
      </c>
      <c r="K406" s="41" t="str">
        <f>VLOOKUP(C406,Stores!$A$200:$G$1118,6,0)</f>
        <v>CQUJ232260326 </v>
      </c>
      <c r="L406" s="41" t="str">
        <f>VLOOKUP(C406,Stores!$A$200:$G$1118,7,0)</f>
        <v>192.168.1.201</v>
      </c>
      <c r="M406" s="42" t="s">
        <v>3430</v>
      </c>
    </row>
    <row r="407">
      <c r="A407" s="38" t="s">
        <v>2962</v>
      </c>
      <c r="B407" s="38" t="s">
        <v>3478</v>
      </c>
      <c r="C407" s="38" t="s">
        <v>2027</v>
      </c>
      <c r="D407" s="39" t="s">
        <v>3479</v>
      </c>
      <c r="E407" s="38" t="s">
        <v>3162</v>
      </c>
      <c r="F407" s="40"/>
      <c r="G407" s="40"/>
      <c r="H407" s="41" t="str">
        <f>VLOOKUP(C407,Stores!$A$200:$G$1118,3,0)</f>
        <v>Opened Stores</v>
      </c>
      <c r="I407" s="41" t="str">
        <f>VLOOKUP(C407,Stores!$A$200:$G$1118,4,0)</f>
        <v>Stage 7 - Installed</v>
      </c>
      <c r="J407" s="41" t="str">
        <f>VLOOKUP(C407,Stores!$A$200:$G$1118,5,0)</f>
        <v>ZKTECO</v>
      </c>
      <c r="K407" s="41" t="str">
        <f>VLOOKUP(C407,Stores!$A$200:$G$1118,6,0)</f>
        <v>CQUJ233560542</v>
      </c>
      <c r="L407" s="41" t="str">
        <f>VLOOKUP(C407,Stores!$A$200:$G$1118,7,0)</f>
        <v>192.168.1.201</v>
      </c>
      <c r="M407" s="42" t="s">
        <v>3430</v>
      </c>
    </row>
    <row r="408">
      <c r="A408" s="38" t="s">
        <v>2962</v>
      </c>
      <c r="B408" s="38" t="s">
        <v>3480</v>
      </c>
      <c r="C408" s="38" t="s">
        <v>899</v>
      </c>
      <c r="D408" s="39" t="s">
        <v>900</v>
      </c>
      <c r="E408" s="38" t="s">
        <v>3162</v>
      </c>
      <c r="F408" s="40"/>
      <c r="G408" s="40"/>
      <c r="H408" s="41" t="str">
        <f>VLOOKUP(C408,Stores!$A$200:$G$1118,3,0)</f>
        <v>Opened Stores</v>
      </c>
      <c r="I408" s="41" t="str">
        <f>VLOOKUP(C408,Stores!$A$200:$G$1118,4,0)</f>
        <v>Stage 7 - Installed</v>
      </c>
      <c r="J408" s="41" t="str">
        <f>VLOOKUP(C408,Stores!$A$200:$G$1118,5,0)</f>
        <v>ZKTECO</v>
      </c>
      <c r="K408" s="41" t="str">
        <f>VLOOKUP(C408,Stores!$A$200:$G$1118,6,0)</f>
        <v>ZKM6245100236</v>
      </c>
      <c r="L408" s="41" t="str">
        <f>VLOOKUP(C408,Stores!$A$200:$G$1118,7,0)</f>
        <v>192.168.1.201</v>
      </c>
      <c r="M408" s="42" t="s">
        <v>3430</v>
      </c>
    </row>
    <row r="409">
      <c r="A409" s="38" t="s">
        <v>2962</v>
      </c>
      <c r="B409" s="38" t="s">
        <v>3481</v>
      </c>
      <c r="C409" s="43" t="s">
        <v>299</v>
      </c>
      <c r="D409" s="39" t="s">
        <v>3482</v>
      </c>
      <c r="E409" s="38" t="s">
        <v>3162</v>
      </c>
      <c r="F409" s="40"/>
      <c r="G409" s="40"/>
      <c r="H409" s="41" t="str">
        <f>VLOOKUP(C409,Stores!$A$200:$G$1118,3,0)</f>
        <v>Opened Stores</v>
      </c>
      <c r="I409" s="41" t="str">
        <f>VLOOKUP(C409,Stores!$A$200:$G$1118,4,0)</f>
        <v>Stage 7 - Installed</v>
      </c>
      <c r="J409" s="41" t="str">
        <f>VLOOKUP(C409,Stores!$A$200:$G$1118,5,0)</f>
        <v>ZKTECO</v>
      </c>
      <c r="K409" s="41" t="str">
        <f>VLOOKUP(C409,Stores!$A$200:$G$1118,6,0)</f>
        <v>ZKM6245100261</v>
      </c>
      <c r="L409" s="41" t="str">
        <f>VLOOKUP(C409,Stores!$A$200:$G$1118,7,0)</f>
        <v>192.168.1.201</v>
      </c>
      <c r="M409" s="42" t="s">
        <v>3430</v>
      </c>
    </row>
    <row r="410">
      <c r="A410" s="38" t="s">
        <v>2962</v>
      </c>
      <c r="B410" s="38" t="s">
        <v>3483</v>
      </c>
      <c r="C410" s="38" t="s">
        <v>2105</v>
      </c>
      <c r="D410" s="39" t="s">
        <v>3484</v>
      </c>
      <c r="E410" s="38" t="s">
        <v>3162</v>
      </c>
      <c r="F410" s="40"/>
      <c r="G410" s="40"/>
      <c r="H410" s="41" t="str">
        <f>VLOOKUP(C410,Stores!$A$200:$G$1118,3,0)</f>
        <v>Opened Stores</v>
      </c>
      <c r="I410" s="41" t="str">
        <f>VLOOKUP(C410,Stores!$A$200:$G$1118,4,0)</f>
        <v>Stage 7 - Installed</v>
      </c>
      <c r="J410" s="41" t="str">
        <f>VLOOKUP(C410,Stores!$A$200:$G$1118,5,0)</f>
        <v>ZKTECO</v>
      </c>
      <c r="K410" s="41" t="str">
        <f>VLOOKUP(C410,Stores!$A$200:$G$1118,6,0)</f>
        <v>CQUJ233561167</v>
      </c>
      <c r="L410" s="41" t="str">
        <f>VLOOKUP(C410,Stores!$A$200:$G$1118,7,0)</f>
        <v>192.168.1.201</v>
      </c>
      <c r="M410" s="42" t="s">
        <v>3430</v>
      </c>
    </row>
    <row r="411">
      <c r="A411" s="38" t="s">
        <v>2962</v>
      </c>
      <c r="B411" s="38" t="s">
        <v>3485</v>
      </c>
      <c r="C411" s="43" t="s">
        <v>751</v>
      </c>
      <c r="D411" s="39" t="s">
        <v>752</v>
      </c>
      <c r="E411" s="38" t="s">
        <v>3162</v>
      </c>
      <c r="F411" s="40"/>
      <c r="G411" s="40"/>
      <c r="H411" s="41" t="str">
        <f>VLOOKUP(C411,Stores!$A$200:$G$1118,3,0)</f>
        <v>Opened Stores</v>
      </c>
      <c r="I411" s="41" t="str">
        <f>VLOOKUP(C411,Stores!$A$200:$G$1118,4,0)</f>
        <v>Stage 7 - Installed</v>
      </c>
      <c r="J411" s="41" t="str">
        <f>VLOOKUP(C411,Stores!$A$200:$G$1118,5,0)</f>
        <v>FINGERTEC</v>
      </c>
      <c r="K411" s="41">
        <f>VLOOKUP(C411,Stores!$A$200:$G$1118,6,0)</f>
        <v>7425416</v>
      </c>
      <c r="L411" s="41" t="str">
        <f>VLOOKUP(C411,Stores!$A$200:$G$1118,7,0)</f>
        <v>192.168.1.201</v>
      </c>
      <c r="M411" s="42" t="s">
        <v>3430</v>
      </c>
    </row>
    <row r="412">
      <c r="A412" s="38" t="s">
        <v>2962</v>
      </c>
      <c r="B412" s="38" t="s">
        <v>3486</v>
      </c>
      <c r="C412" s="38" t="s">
        <v>795</v>
      </c>
      <c r="D412" s="39" t="s">
        <v>796</v>
      </c>
      <c r="E412" s="38" t="s">
        <v>3162</v>
      </c>
      <c r="F412" s="40"/>
      <c r="G412" s="40"/>
      <c r="H412" s="41" t="str">
        <f>VLOOKUP(C412,Stores!$A$200:$G$1118,3,0)</f>
        <v>Opened Stores</v>
      </c>
      <c r="I412" s="41" t="str">
        <f>VLOOKUP(C412,Stores!$A$200:$G$1118,4,0)</f>
        <v>Stage 7 - Installed</v>
      </c>
      <c r="J412" s="41" t="str">
        <f>VLOOKUP(C412,Stores!$A$200:$G$1118,5,0)</f>
        <v>FINGERTEC</v>
      </c>
      <c r="K412" s="41">
        <f>VLOOKUP(C412,Stores!$A$200:$G$1118,6,0)</f>
        <v>7425397</v>
      </c>
      <c r="L412" s="41" t="str">
        <f>VLOOKUP(C412,Stores!$A$200:$G$1118,7,0)</f>
        <v>192.168.1.201</v>
      </c>
      <c r="M412" s="42" t="s">
        <v>3430</v>
      </c>
    </row>
    <row r="413">
      <c r="A413" s="38" t="s">
        <v>2962</v>
      </c>
      <c r="B413" s="38" t="s">
        <v>3487</v>
      </c>
      <c r="C413" s="38" t="s">
        <v>1552</v>
      </c>
      <c r="D413" s="39" t="s">
        <v>1553</v>
      </c>
      <c r="E413" s="38" t="s">
        <v>3162</v>
      </c>
      <c r="F413" s="40"/>
      <c r="G413" s="40"/>
      <c r="H413" s="41" t="str">
        <f>VLOOKUP(C413,Stores!$A$200:$G$1118,3,0)</f>
        <v>Opened Stores</v>
      </c>
      <c r="I413" s="41" t="str">
        <f>VLOOKUP(C413,Stores!$A$200:$G$1118,4,0)</f>
        <v>Stage 7 - Installed</v>
      </c>
      <c r="J413" s="41" t="str">
        <f>VLOOKUP(C413,Stores!$A$200:$G$1118,5,0)</f>
        <v>ZKTECO</v>
      </c>
      <c r="K413" s="41" t="str">
        <f>VLOOKUP(C413,Stores!$A$200:$G$1118,6,0)</f>
        <v>AEYU082360273</v>
      </c>
      <c r="L413" s="41" t="str">
        <f>VLOOKUP(C413,Stores!$A$200:$G$1118,7,0)</f>
        <v>192.168.1.201</v>
      </c>
      <c r="M413" s="42" t="s">
        <v>3430</v>
      </c>
    </row>
    <row r="414">
      <c r="A414" s="38" t="s">
        <v>2962</v>
      </c>
      <c r="B414" s="38" t="s">
        <v>3488</v>
      </c>
      <c r="C414" s="38" t="s">
        <v>697</v>
      </c>
      <c r="D414" s="39" t="s">
        <v>698</v>
      </c>
      <c r="E414" s="38" t="s">
        <v>3162</v>
      </c>
      <c r="F414" s="40"/>
      <c r="G414" s="40"/>
      <c r="H414" s="41" t="str">
        <f>VLOOKUP(C414,Stores!$A$200:$G$1118,3,0)</f>
        <v>Opened Stores</v>
      </c>
      <c r="I414" s="41" t="str">
        <f>VLOOKUP(C414,Stores!$A$200:$G$1118,4,0)</f>
        <v>Stage 7 - Installed</v>
      </c>
      <c r="J414" s="41" t="str">
        <f>VLOOKUP(C414,Stores!$A$200:$G$1118,5,0)</f>
        <v>FINGERTEC</v>
      </c>
      <c r="K414" s="41">
        <f>VLOOKUP(C414,Stores!$A$200:$G$1118,6,0)</f>
        <v>7423454</v>
      </c>
      <c r="L414" s="41" t="str">
        <f>VLOOKUP(C414,Stores!$A$200:$G$1118,7,0)</f>
        <v>192.168.1.201</v>
      </c>
      <c r="M414" s="42" t="s">
        <v>3430</v>
      </c>
    </row>
    <row r="415">
      <c r="A415" s="38" t="s">
        <v>2962</v>
      </c>
      <c r="B415" s="38" t="s">
        <v>3489</v>
      </c>
      <c r="C415" s="38" t="s">
        <v>2625</v>
      </c>
      <c r="D415" s="39" t="s">
        <v>2626</v>
      </c>
      <c r="E415" s="38" t="s">
        <v>3162</v>
      </c>
      <c r="F415" s="40"/>
      <c r="G415" s="40"/>
      <c r="H415" s="41" t="str">
        <f>VLOOKUP(C415,Stores!$A$200:$G$1118,3,0)</f>
        <v>Opened Stores</v>
      </c>
      <c r="I415" s="41" t="str">
        <f>VLOOKUP(C415,Stores!$A$200:$G$1118,4,0)</f>
        <v>Stage 7 - Installed</v>
      </c>
      <c r="J415" s="41" t="str">
        <f>VLOOKUP(C415,Stores!$A$200:$G$1118,5,0)</f>
        <v>ZKTECO</v>
      </c>
      <c r="K415" s="41" t="str">
        <f>VLOOKUP(C415,Stores!$A$200:$G$1118,6,0)</f>
        <v>ZKM6251700032</v>
      </c>
      <c r="L415" s="41" t="str">
        <f>VLOOKUP(C415,Stores!$A$200:$G$1118,7,0)</f>
        <v>192.168.1.201</v>
      </c>
      <c r="M415" s="42" t="s">
        <v>3430</v>
      </c>
    </row>
    <row r="416">
      <c r="A416" s="38" t="s">
        <v>2962</v>
      </c>
      <c r="B416" s="38" t="s">
        <v>3490</v>
      </c>
      <c r="C416" s="38" t="s">
        <v>1149</v>
      </c>
      <c r="D416" s="39" t="s">
        <v>1150</v>
      </c>
      <c r="E416" s="38" t="s">
        <v>3162</v>
      </c>
      <c r="F416" s="40"/>
      <c r="G416" s="40"/>
      <c r="H416" s="41" t="str">
        <f>VLOOKUP(C416,Stores!$A$200:$G$1118,3,0)</f>
        <v>Opened Stores</v>
      </c>
      <c r="I416" s="41" t="str">
        <f>VLOOKUP(C416,Stores!$A$200:$G$1118,4,0)</f>
        <v>Stage 7 - Installed</v>
      </c>
      <c r="J416" s="41" t="str">
        <f>VLOOKUP(C416,Stores!$A$200:$G$1118,5,0)</f>
        <v>ZKTECO</v>
      </c>
      <c r="K416" s="41" t="str">
        <f>VLOOKUP(C416,Stores!$A$200:$G$1118,6,0)</f>
        <v>ZKM6245100278</v>
      </c>
      <c r="L416" s="41" t="str">
        <f>VLOOKUP(C416,Stores!$A$200:$G$1118,7,0)</f>
        <v>192.168.1.201</v>
      </c>
      <c r="M416" s="42" t="s">
        <v>3430</v>
      </c>
    </row>
    <row r="417">
      <c r="A417" s="38" t="s">
        <v>2962</v>
      </c>
      <c r="B417" s="38" t="s">
        <v>3491</v>
      </c>
      <c r="C417" s="38" t="s">
        <v>2126</v>
      </c>
      <c r="D417" s="39" t="s">
        <v>3492</v>
      </c>
      <c r="E417" s="38" t="s">
        <v>3162</v>
      </c>
      <c r="F417" s="40"/>
      <c r="G417" s="40"/>
      <c r="H417" s="41" t="str">
        <f>VLOOKUP(C417,Stores!$A$200:$G$1118,3,0)</f>
        <v>Opened Stores</v>
      </c>
      <c r="I417" s="41" t="str">
        <f>VLOOKUP(C417,Stores!$A$200:$G$1118,4,0)</f>
        <v>Stage 7 - Installed</v>
      </c>
      <c r="J417" s="41" t="str">
        <f>VLOOKUP(C417,Stores!$A$200:$G$1118,5,0)</f>
        <v>ZKTECO</v>
      </c>
      <c r="K417" s="41" t="str">
        <f>VLOOKUP(C417,Stores!$A$200:$G$1118,6,0)</f>
        <v>CQUJ232260084</v>
      </c>
      <c r="L417" s="41" t="str">
        <f>VLOOKUP(C417,Stores!$A$200:$G$1118,7,0)</f>
        <v>192.168.1.201</v>
      </c>
      <c r="M417" s="42" t="s">
        <v>3430</v>
      </c>
    </row>
    <row r="418">
      <c r="A418" s="38" t="s">
        <v>2962</v>
      </c>
      <c r="B418" s="38" t="s">
        <v>3493</v>
      </c>
      <c r="C418" s="38" t="s">
        <v>2529</v>
      </c>
      <c r="D418" s="39" t="s">
        <v>3494</v>
      </c>
      <c r="E418" s="38" t="s">
        <v>3162</v>
      </c>
      <c r="F418" s="40"/>
      <c r="G418" s="40"/>
      <c r="H418" s="41" t="str">
        <f>VLOOKUP(C418,Stores!$A$200:$G$1118,3,0)</f>
        <v>Opened Stores</v>
      </c>
      <c r="I418" s="41" t="str">
        <f>VLOOKUP(C418,Stores!$A$200:$G$1118,4,0)</f>
        <v>Stage 7 - Installed</v>
      </c>
      <c r="J418" s="41" t="str">
        <f>VLOOKUP(C418,Stores!$A$200:$G$1118,5,0)</f>
        <v>ZKTECO</v>
      </c>
      <c r="K418" s="41" t="str">
        <f>VLOOKUP(C418,Stores!$A$200:$G$1118,6,0)</f>
        <v>ZKM6251500309</v>
      </c>
      <c r="L418" s="41" t="str">
        <f>VLOOKUP(C418,Stores!$A$200:$G$1118,7,0)</f>
        <v>192.168.1.201</v>
      </c>
      <c r="M418" s="42" t="s">
        <v>3430</v>
      </c>
    </row>
    <row r="419">
      <c r="A419" s="38" t="s">
        <v>2962</v>
      </c>
      <c r="B419" s="38" t="s">
        <v>3495</v>
      </c>
      <c r="C419" s="43" t="s">
        <v>1090</v>
      </c>
      <c r="D419" s="39" t="s">
        <v>1091</v>
      </c>
      <c r="E419" s="38" t="s">
        <v>3162</v>
      </c>
      <c r="F419" s="40"/>
      <c r="G419" s="40"/>
      <c r="H419" s="41" t="str">
        <f>VLOOKUP(C419,Stores!$A$200:$G$1118,3,0)</f>
        <v>Opened Stores</v>
      </c>
      <c r="I419" s="41" t="str">
        <f>VLOOKUP(C419,Stores!$A$200:$G$1118,4,0)</f>
        <v>Stage 7 - Installed</v>
      </c>
      <c r="J419" s="41" t="str">
        <f>VLOOKUP(C419,Stores!$A$200:$G$1118,5,0)</f>
        <v>FINGERTEC</v>
      </c>
      <c r="K419" s="41">
        <f>VLOOKUP(C419,Stores!$A$200:$G$1118,6,0)</f>
        <v>7425395</v>
      </c>
      <c r="L419" s="41" t="str">
        <f>VLOOKUP(C419,Stores!$A$200:$G$1118,7,0)</f>
        <v>192.168.1.201</v>
      </c>
      <c r="M419" s="42" t="s">
        <v>3430</v>
      </c>
    </row>
    <row r="420">
      <c r="A420" s="38" t="s">
        <v>2962</v>
      </c>
      <c r="B420" s="38" t="s">
        <v>3496</v>
      </c>
      <c r="C420" s="38" t="s">
        <v>526</v>
      </c>
      <c r="D420" s="39" t="s">
        <v>527</v>
      </c>
      <c r="E420" s="38" t="s">
        <v>3162</v>
      </c>
      <c r="F420" s="40"/>
      <c r="G420" s="40"/>
      <c r="H420" s="41" t="str">
        <f>VLOOKUP(C420,Stores!$A$200:$G$1118,3,0)</f>
        <v>Opened Stores</v>
      </c>
      <c r="I420" s="41" t="str">
        <f>VLOOKUP(C420,Stores!$A$200:$G$1118,4,0)</f>
        <v>Stage 7 - Installed</v>
      </c>
      <c r="J420" s="41" t="str">
        <f>VLOOKUP(C420,Stores!$A$200:$G$1118,5,0)</f>
        <v>ZKTECO</v>
      </c>
      <c r="K420" s="41" t="str">
        <f>VLOOKUP(C420,Stores!$A$200:$G$1118,6,0)</f>
        <v>ZKM6251700156</v>
      </c>
      <c r="L420" s="41" t="str">
        <f>VLOOKUP(C420,Stores!$A$200:$G$1118,7,0)</f>
        <v>192.168.1.201</v>
      </c>
      <c r="M420" s="42" t="s">
        <v>3430</v>
      </c>
    </row>
    <row r="421">
      <c r="A421" s="38" t="s">
        <v>2962</v>
      </c>
      <c r="B421" s="38" t="s">
        <v>3497</v>
      </c>
      <c r="C421" s="38" t="s">
        <v>1185</v>
      </c>
      <c r="D421" s="39" t="s">
        <v>1186</v>
      </c>
      <c r="E421" s="38" t="s">
        <v>3162</v>
      </c>
      <c r="F421" s="40"/>
      <c r="G421" s="40"/>
      <c r="H421" s="41" t="str">
        <f>VLOOKUP(C421,Stores!$A$200:$G$1118,3,0)</f>
        <v>Opened Stores</v>
      </c>
      <c r="I421" s="41" t="str">
        <f>VLOOKUP(C421,Stores!$A$200:$G$1118,4,0)</f>
        <v>Stage 7 - Installed</v>
      </c>
      <c r="J421" s="41" t="str">
        <f>VLOOKUP(C421,Stores!$A$200:$G$1118,5,0)</f>
        <v>ZKTECO</v>
      </c>
      <c r="K421" s="41" t="str">
        <f>VLOOKUP(C421,Stores!$A$200:$G$1118,6,0)</f>
        <v>ZKM6251700245</v>
      </c>
      <c r="L421" s="41" t="str">
        <f>VLOOKUP(C421,Stores!$A$200:$G$1118,7,0)</f>
        <v>192.168.1.201</v>
      </c>
      <c r="M421" s="42" t="s">
        <v>3430</v>
      </c>
    </row>
    <row r="422">
      <c r="A422" s="38" t="s">
        <v>2962</v>
      </c>
      <c r="B422" s="38" t="s">
        <v>3498</v>
      </c>
      <c r="C422" s="38" t="s">
        <v>2733</v>
      </c>
      <c r="D422" s="39" t="s">
        <v>3499</v>
      </c>
      <c r="E422" s="38" t="s">
        <v>3162</v>
      </c>
      <c r="F422" s="40"/>
      <c r="G422" s="40"/>
      <c r="H422" s="41" t="str">
        <f>VLOOKUP(C422,Stores!$A$200:$G$1118,3,0)</f>
        <v>Opened Stores</v>
      </c>
      <c r="I422" s="41" t="str">
        <f>VLOOKUP(C422,Stores!$A$200:$G$1118,4,0)</f>
        <v>Stage 7 - Installed</v>
      </c>
      <c r="J422" s="41" t="str">
        <f>VLOOKUP(C422,Stores!$A$200:$G$1118,5,0)</f>
        <v>ZKTECO</v>
      </c>
      <c r="K422" s="41" t="str">
        <f>VLOOKUP(C422,Stores!$A$200:$G$1118,6,0)</f>
        <v>ZKM6251700098</v>
      </c>
      <c r="L422" s="41" t="str">
        <f>VLOOKUP(C422,Stores!$A$200:$G$1118,7,0)</f>
        <v>192.168.1.201</v>
      </c>
      <c r="M422" s="42" t="s">
        <v>3430</v>
      </c>
    </row>
    <row r="423">
      <c r="A423" s="38" t="s">
        <v>2962</v>
      </c>
      <c r="B423" s="38" t="s">
        <v>3500</v>
      </c>
      <c r="C423" s="43" t="s">
        <v>908</v>
      </c>
      <c r="D423" s="39" t="s">
        <v>909</v>
      </c>
      <c r="E423" s="38" t="s">
        <v>3162</v>
      </c>
      <c r="F423" s="40"/>
      <c r="G423" s="40"/>
      <c r="H423" s="41" t="str">
        <f>VLOOKUP(C423,Stores!$A$200:$G$1118,3,0)</f>
        <v>Opened Stores</v>
      </c>
      <c r="I423" s="41" t="str">
        <f>VLOOKUP(C423,Stores!$A$200:$G$1118,4,0)</f>
        <v>Stage 7 - Installed</v>
      </c>
      <c r="J423" s="41" t="str">
        <f>VLOOKUP(C423,Stores!$A$200:$G$1118,5,0)</f>
        <v>FINGERTEC</v>
      </c>
      <c r="K423" s="41">
        <f>VLOOKUP(C423,Stores!$A$200:$G$1118,6,0)</f>
        <v>7425667</v>
      </c>
      <c r="L423" s="41" t="str">
        <f>VLOOKUP(C423,Stores!$A$200:$G$1118,7,0)</f>
        <v>192.168.1.202</v>
      </c>
      <c r="M423" s="42" t="s">
        <v>3430</v>
      </c>
    </row>
    <row r="424">
      <c r="A424" s="38" t="s">
        <v>2962</v>
      </c>
      <c r="B424" s="38" t="s">
        <v>3501</v>
      </c>
      <c r="C424" s="38" t="s">
        <v>972</v>
      </c>
      <c r="D424" s="39" t="s">
        <v>973</v>
      </c>
      <c r="E424" s="38" t="s">
        <v>3162</v>
      </c>
      <c r="F424" s="40"/>
      <c r="G424" s="40"/>
      <c r="H424" s="41" t="str">
        <f>VLOOKUP(C424,Stores!$A$200:$G$1118,3,0)</f>
        <v>Opened Stores</v>
      </c>
      <c r="I424" s="41" t="str">
        <f>VLOOKUP(C424,Stores!$A$200:$G$1118,4,0)</f>
        <v>Stage 7 - Installed</v>
      </c>
      <c r="J424" s="41" t="str">
        <f>VLOOKUP(C424,Stores!$A$200:$G$1118,5,0)</f>
        <v>FINGERTEC</v>
      </c>
      <c r="K424" s="41">
        <f>VLOOKUP(C424,Stores!$A$200:$G$1118,6,0)</f>
        <v>7424194</v>
      </c>
      <c r="L424" s="41" t="str">
        <f>VLOOKUP(C424,Stores!$A$200:$G$1118,7,0)</f>
        <v>192.168.1.232</v>
      </c>
      <c r="M424" s="42" t="s">
        <v>3430</v>
      </c>
    </row>
    <row r="425">
      <c r="A425" s="38" t="s">
        <v>2962</v>
      </c>
      <c r="B425" s="38" t="s">
        <v>3502</v>
      </c>
      <c r="C425" s="43" t="s">
        <v>2502</v>
      </c>
      <c r="D425" s="39" t="s">
        <v>3503</v>
      </c>
      <c r="E425" s="38" t="s">
        <v>3162</v>
      </c>
      <c r="F425" s="40"/>
      <c r="G425" s="40"/>
      <c r="H425" s="41" t="str">
        <f>VLOOKUP(C425,Stores!$A$200:$G$1118,3,0)</f>
        <v>Opened Stores</v>
      </c>
      <c r="I425" s="41" t="str">
        <f>VLOOKUP(C425,Stores!$A$200:$G$1118,4,0)</f>
        <v>Stage 7 - Installed</v>
      </c>
      <c r="J425" s="41" t="str">
        <f>VLOOKUP(C425,Stores!$A$200:$G$1118,5,0)</f>
        <v>ZKTECO</v>
      </c>
      <c r="K425" s="41" t="str">
        <f>VLOOKUP(C425,Stores!$A$200:$G$1118,6,0)</f>
        <v>ZKM6251500288</v>
      </c>
      <c r="L425" s="41" t="str">
        <f>VLOOKUP(C425,Stores!$A$200:$G$1118,7,0)</f>
        <v>192.168.1.201</v>
      </c>
      <c r="M425" s="42" t="s">
        <v>3430</v>
      </c>
    </row>
    <row r="426">
      <c r="A426" s="38" t="s">
        <v>2962</v>
      </c>
      <c r="B426" s="38" t="s">
        <v>3504</v>
      </c>
      <c r="C426" s="38" t="s">
        <v>1833</v>
      </c>
      <c r="D426" s="39" t="s">
        <v>1834</v>
      </c>
      <c r="E426" s="38" t="s">
        <v>3162</v>
      </c>
      <c r="F426" s="40"/>
      <c r="G426" s="40"/>
      <c r="H426" s="41" t="str">
        <f>VLOOKUP(C426,Stores!$A$200:$G$1118,3,0)</f>
        <v>Opened Stores</v>
      </c>
      <c r="I426" s="41" t="str">
        <f>VLOOKUP(C426,Stores!$A$200:$G$1118,4,0)</f>
        <v>Stage 7 - Installed</v>
      </c>
      <c r="J426" s="41" t="str">
        <f>VLOOKUP(C426,Stores!$A$200:$G$1118,5,0)</f>
        <v>ZKTECO</v>
      </c>
      <c r="K426" s="41" t="str">
        <f>VLOOKUP(C426,Stores!$A$200:$G$1118,6,0)</f>
        <v>ZKM6245100224</v>
      </c>
      <c r="L426" s="41" t="str">
        <f>VLOOKUP(C426,Stores!$A$200:$G$1118,7,0)</f>
        <v>192.168.1.201</v>
      </c>
      <c r="M426" s="42" t="s">
        <v>3430</v>
      </c>
    </row>
    <row r="427">
      <c r="A427" s="38" t="s">
        <v>2962</v>
      </c>
      <c r="B427" s="38" t="s">
        <v>3505</v>
      </c>
      <c r="C427" s="38" t="s">
        <v>1282</v>
      </c>
      <c r="D427" s="39" t="s">
        <v>1283</v>
      </c>
      <c r="E427" s="38" t="s">
        <v>3162</v>
      </c>
      <c r="F427" s="40"/>
      <c r="G427" s="40"/>
      <c r="H427" s="41" t="str">
        <f>VLOOKUP(C427,Stores!$A$200:$G$1118,3,0)</f>
        <v>Opened Stores</v>
      </c>
      <c r="I427" s="41" t="str">
        <f>VLOOKUP(C427,Stores!$A$200:$G$1118,4,0)</f>
        <v>Stage 7 - Installed</v>
      </c>
      <c r="J427" s="41" t="str">
        <f>VLOOKUP(C427,Stores!$A$200:$G$1118,5,0)</f>
        <v>ZKTECO</v>
      </c>
      <c r="K427" s="41" t="str">
        <f>VLOOKUP(C427,Stores!$A$200:$G$1118,6,0)</f>
        <v>ZKM6245100050</v>
      </c>
      <c r="L427" s="41" t="str">
        <f>VLOOKUP(C427,Stores!$A$200:$G$1118,7,0)</f>
        <v>192.168.1.201</v>
      </c>
      <c r="M427" s="42" t="s">
        <v>3430</v>
      </c>
    </row>
    <row r="428">
      <c r="A428" s="38" t="s">
        <v>2962</v>
      </c>
      <c r="B428" s="38" t="s">
        <v>3506</v>
      </c>
      <c r="C428" s="38" t="s">
        <v>1624</v>
      </c>
      <c r="D428" s="39" t="s">
        <v>1625</v>
      </c>
      <c r="E428" s="38" t="s">
        <v>3162</v>
      </c>
      <c r="F428" s="40"/>
      <c r="G428" s="40"/>
      <c r="H428" s="41" t="str">
        <f>VLOOKUP(C428,Stores!$A$200:$G$1118,3,0)</f>
        <v>Opened Stores</v>
      </c>
      <c r="I428" s="41" t="str">
        <f>VLOOKUP(C428,Stores!$A$200:$G$1118,4,0)</f>
        <v>Stage 7 - Installed</v>
      </c>
      <c r="J428" s="41" t="str">
        <f>VLOOKUP(C428,Stores!$A$200:$G$1118,5,0)</f>
        <v>ZKTECO</v>
      </c>
      <c r="K428" s="41" t="str">
        <f>VLOOKUP(C428,Stores!$A$200:$G$1118,6,0)</f>
        <v>AEYU082360295</v>
      </c>
      <c r="L428" s="41" t="str">
        <f>VLOOKUP(C428,Stores!$A$200:$G$1118,7,0)</f>
        <v>192.168.1.201</v>
      </c>
      <c r="M428" s="42" t="s">
        <v>3430</v>
      </c>
    </row>
    <row r="429">
      <c r="A429" s="38" t="s">
        <v>2962</v>
      </c>
      <c r="B429" s="38" t="s">
        <v>3507</v>
      </c>
      <c r="C429" s="38" t="s">
        <v>2417</v>
      </c>
      <c r="D429" s="39" t="s">
        <v>2418</v>
      </c>
      <c r="E429" s="38" t="s">
        <v>3162</v>
      </c>
      <c r="F429" s="40"/>
      <c r="G429" s="40"/>
      <c r="H429" s="41" t="str">
        <f>VLOOKUP(C429,Stores!$A$200:$G$1118,3,0)</f>
        <v>Opened Stores</v>
      </c>
      <c r="I429" s="41" t="str">
        <f>VLOOKUP(C429,Stores!$A$200:$G$1118,4,0)</f>
        <v>Stage 7 - Installed</v>
      </c>
      <c r="J429" s="41" t="str">
        <f>VLOOKUP(C429,Stores!$A$200:$G$1118,5,0)</f>
        <v>ZKTECO</v>
      </c>
      <c r="K429" s="41" t="str">
        <f>VLOOKUP(C429,Stores!$A$200:$G$1118,6,0)</f>
        <v>ZKM6245100251</v>
      </c>
      <c r="L429" s="41" t="str">
        <f>VLOOKUP(C429,Stores!$A$200:$G$1118,7,0)</f>
        <v>192.168.1.201</v>
      </c>
      <c r="M429" s="42" t="s">
        <v>3430</v>
      </c>
    </row>
    <row r="430">
      <c r="A430" s="38" t="s">
        <v>2962</v>
      </c>
      <c r="B430" s="38" t="s">
        <v>3508</v>
      </c>
      <c r="C430" s="38" t="s">
        <v>580</v>
      </c>
      <c r="D430" s="39" t="s">
        <v>581</v>
      </c>
      <c r="E430" s="38" t="s">
        <v>3162</v>
      </c>
      <c r="F430" s="40"/>
      <c r="G430" s="40"/>
      <c r="H430" s="41" t="str">
        <f>VLOOKUP(C430,Stores!$A$200:$G$1118,3,0)</f>
        <v>Opened Stores</v>
      </c>
      <c r="I430" s="41" t="str">
        <f>VLOOKUP(C430,Stores!$A$200:$G$1118,4,0)</f>
        <v>Stage 7 - Installed</v>
      </c>
      <c r="J430" s="41" t="str">
        <f>VLOOKUP(C430,Stores!$A$200:$G$1118,5,0)</f>
        <v>FINGERTEC</v>
      </c>
      <c r="K430" s="41">
        <f>VLOOKUP(C430,Stores!$A$200:$G$1118,6,0)</f>
        <v>7421298</v>
      </c>
      <c r="L430" s="41" t="str">
        <f>VLOOKUP(C430,Stores!$A$200:$G$1118,7,0)</f>
        <v>192.168.1.201</v>
      </c>
      <c r="M430" s="42" t="s">
        <v>3430</v>
      </c>
    </row>
    <row r="431">
      <c r="A431" s="38" t="s">
        <v>2962</v>
      </c>
      <c r="B431" s="38" t="s">
        <v>3509</v>
      </c>
      <c r="C431" s="38" t="s">
        <v>2293</v>
      </c>
      <c r="D431" s="39" t="s">
        <v>3510</v>
      </c>
      <c r="E431" s="38" t="s">
        <v>3162</v>
      </c>
      <c r="F431" s="40"/>
      <c r="G431" s="40"/>
      <c r="H431" s="41" t="str">
        <f>VLOOKUP(C431,Stores!$A$200:$G$1118,3,0)</f>
        <v>Opened Stores</v>
      </c>
      <c r="I431" s="41" t="str">
        <f>VLOOKUP(C431,Stores!$A$200:$G$1118,4,0)</f>
        <v>Stage 7 - Installed</v>
      </c>
      <c r="J431" s="41" t="str">
        <f>VLOOKUP(C431,Stores!$A$200:$G$1118,5,0)</f>
        <v>ZKTECO</v>
      </c>
      <c r="K431" s="41" t="str">
        <f>VLOOKUP(C431,Stores!$A$200:$G$1118,6,0)</f>
        <v>ZKM6245100150</v>
      </c>
      <c r="L431" s="41" t="str">
        <f>VLOOKUP(C431,Stores!$A$200:$G$1118,7,0)</f>
        <v>192.168.1.201</v>
      </c>
      <c r="M431" s="42" t="s">
        <v>3430</v>
      </c>
    </row>
    <row r="432">
      <c r="A432" s="38" t="s">
        <v>2962</v>
      </c>
      <c r="B432" s="38" t="s">
        <v>3511</v>
      </c>
      <c r="C432" s="38" t="s">
        <v>2021</v>
      </c>
      <c r="D432" s="39" t="s">
        <v>3512</v>
      </c>
      <c r="E432" s="38" t="s">
        <v>3162</v>
      </c>
      <c r="F432" s="40"/>
      <c r="G432" s="40"/>
      <c r="H432" s="41" t="str">
        <f>VLOOKUP(C432,Stores!$A$200:$G$1118,3,0)</f>
        <v>Opened Stores</v>
      </c>
      <c r="I432" s="41" t="str">
        <f>VLOOKUP(C432,Stores!$A$200:$G$1118,4,0)</f>
        <v>Stage 7 - Installed</v>
      </c>
      <c r="J432" s="41" t="str">
        <f>VLOOKUP(C432,Stores!$A$200:$G$1118,5,0)</f>
        <v>ZKTECO</v>
      </c>
      <c r="K432" s="41" t="str">
        <f>VLOOKUP(C432,Stores!$A$200:$G$1118,6,0)</f>
        <v>CQUJ232260325</v>
      </c>
      <c r="L432" s="41" t="str">
        <f>VLOOKUP(C432,Stores!$A$200:$G$1118,7,0)</f>
        <v>192.168.1.201</v>
      </c>
      <c r="M432" s="42" t="s">
        <v>3430</v>
      </c>
    </row>
    <row r="433">
      <c r="A433" s="38" t="s">
        <v>2962</v>
      </c>
      <c r="B433" s="38" t="s">
        <v>3513</v>
      </c>
      <c r="C433" s="38" t="s">
        <v>1683</v>
      </c>
      <c r="D433" s="39" t="s">
        <v>1684</v>
      </c>
      <c r="E433" s="38" t="s">
        <v>3162</v>
      </c>
      <c r="F433" s="40"/>
      <c r="G433" s="40"/>
      <c r="H433" s="41" t="str">
        <f>VLOOKUP(C433,Stores!$A$200:$G$1118,3,0)</f>
        <v>Opened Stores</v>
      </c>
      <c r="I433" s="41" t="str">
        <f>VLOOKUP(C433,Stores!$A$200:$G$1118,4,0)</f>
        <v>Stage 7 - Installed</v>
      </c>
      <c r="J433" s="41" t="str">
        <f>VLOOKUP(C433,Stores!$A$200:$G$1118,5,0)</f>
        <v>ZKTECO</v>
      </c>
      <c r="K433" s="41" t="str">
        <f>VLOOKUP(C433,Stores!$A$200:$G$1118,6,0)</f>
        <v>AEYU082360196</v>
      </c>
      <c r="L433" s="41" t="str">
        <f>VLOOKUP(C433,Stores!$A$200:$G$1118,7,0)</f>
        <v>192.168.1.201</v>
      </c>
      <c r="M433" s="42" t="s">
        <v>3430</v>
      </c>
    </row>
    <row r="434">
      <c r="A434" s="38" t="s">
        <v>2962</v>
      </c>
      <c r="B434" s="38" t="s">
        <v>3514</v>
      </c>
      <c r="C434" s="38" t="s">
        <v>2953</v>
      </c>
      <c r="D434" s="39" t="s">
        <v>2954</v>
      </c>
      <c r="E434" s="38" t="s">
        <v>3172</v>
      </c>
      <c r="F434" s="40"/>
      <c r="G434" s="40"/>
      <c r="H434" s="41" t="str">
        <f>VLOOKUP(C434,Stores!$A$200:$G$1118,3,0)</f>
        <v>Opened Stores</v>
      </c>
      <c r="I434" s="41" t="str">
        <f>VLOOKUP(C434,Stores!$A$200:$G$1118,4,0)</f>
        <v>Stage 7 - Installed</v>
      </c>
      <c r="J434" s="41" t="str">
        <f>VLOOKUP(C434,Stores!$A$200:$G$1118,5,0)</f>
        <v>ZKTECO</v>
      </c>
      <c r="K434" s="41" t="str">
        <f>VLOOKUP(C434,Stores!$A$200:$G$1118,6,0)</f>
        <v>PAS4252900193</v>
      </c>
      <c r="L434" s="41" t="str">
        <f>VLOOKUP(C434,Stores!$A$200:$G$1118,7,0)</f>
        <v>192.168.1.201</v>
      </c>
      <c r="M434" s="42" t="s">
        <v>3430</v>
      </c>
    </row>
    <row r="435">
      <c r="A435" s="38" t="s">
        <v>2962</v>
      </c>
      <c r="B435" s="38" t="s">
        <v>3515</v>
      </c>
      <c r="C435" s="38" t="s">
        <v>608</v>
      </c>
      <c r="D435" s="39" t="s">
        <v>609</v>
      </c>
      <c r="E435" s="38" t="s">
        <v>3172</v>
      </c>
      <c r="F435" s="40"/>
      <c r="G435" s="40"/>
      <c r="H435" s="41" t="str">
        <f>VLOOKUP(C435,Stores!$A$200:$G$1118,3,0)</f>
        <v>Opened Stores</v>
      </c>
      <c r="I435" s="41" t="str">
        <f>VLOOKUP(C435,Stores!$A$200:$G$1118,4,0)</f>
        <v>Stage 7 - Installed</v>
      </c>
      <c r="J435" s="41" t="str">
        <f>VLOOKUP(C435,Stores!$A$200:$G$1118,5,0)</f>
        <v>FINGERTEC</v>
      </c>
      <c r="K435" s="41">
        <f>VLOOKUP(C435,Stores!$A$200:$G$1118,6,0)</f>
        <v>7421816</v>
      </c>
      <c r="L435" s="41" t="str">
        <f>VLOOKUP(C435,Stores!$A$200:$G$1118,7,0)</f>
        <v>192.168.1.201</v>
      </c>
      <c r="M435" s="42" t="s">
        <v>3430</v>
      </c>
    </row>
    <row r="436">
      <c r="A436" s="38" t="s">
        <v>2962</v>
      </c>
      <c r="B436" s="38" t="s">
        <v>3516</v>
      </c>
      <c r="C436" s="38" t="s">
        <v>928</v>
      </c>
      <c r="D436" s="39" t="s">
        <v>929</v>
      </c>
      <c r="E436" s="38" t="s">
        <v>3172</v>
      </c>
      <c r="F436" s="40"/>
      <c r="G436" s="40"/>
      <c r="H436" s="41" t="str">
        <f>VLOOKUP(C436,Stores!$A$200:$G$1118,3,0)</f>
        <v>Opened Stores</v>
      </c>
      <c r="I436" s="41" t="str">
        <f>VLOOKUP(C436,Stores!$A$200:$G$1118,4,0)</f>
        <v>Stage 7 - Installed</v>
      </c>
      <c r="J436" s="41" t="str">
        <f>VLOOKUP(C436,Stores!$A$200:$G$1118,5,0)</f>
        <v>FINGERTEC</v>
      </c>
      <c r="K436" s="41">
        <f>VLOOKUP(C436,Stores!$A$200:$G$1118,6,0)</f>
        <v>7425881</v>
      </c>
      <c r="L436" s="41" t="str">
        <f>VLOOKUP(C436,Stores!$A$200:$G$1118,7,0)</f>
        <v>192.168.1.201</v>
      </c>
      <c r="M436" s="42" t="s">
        <v>3430</v>
      </c>
    </row>
    <row r="437">
      <c r="A437" s="38" t="s">
        <v>2962</v>
      </c>
      <c r="B437" s="38" t="s">
        <v>3517</v>
      </c>
      <c r="C437" s="38" t="s">
        <v>666</v>
      </c>
      <c r="D437" s="39" t="s">
        <v>667</v>
      </c>
      <c r="E437" s="38" t="s">
        <v>3172</v>
      </c>
      <c r="F437" s="40"/>
      <c r="G437" s="40"/>
      <c r="H437" s="41" t="str">
        <f>VLOOKUP(C437,Stores!$A$200:$G$1118,3,0)</f>
        <v>Opened Stores</v>
      </c>
      <c r="I437" s="41" t="str">
        <f>VLOOKUP(C437,Stores!$A$200:$G$1118,4,0)</f>
        <v>Stage 7 - Installed</v>
      </c>
      <c r="J437" s="41" t="str">
        <f>VLOOKUP(C437,Stores!$A$200:$G$1118,5,0)</f>
        <v>ZKTECO</v>
      </c>
      <c r="K437" s="41" t="str">
        <f>VLOOKUP(C437,Stores!$A$200:$G$1118,6,0)</f>
        <v>ZKM6251500321</v>
      </c>
      <c r="L437" s="41" t="str">
        <f>VLOOKUP(C437,Stores!$A$200:$G$1118,7,0)</f>
        <v>192.168.1.201</v>
      </c>
      <c r="M437" s="42" t="s">
        <v>3430</v>
      </c>
    </row>
    <row r="438">
      <c r="A438" s="38" t="s">
        <v>2962</v>
      </c>
      <c r="B438" s="38" t="s">
        <v>3518</v>
      </c>
      <c r="C438" s="38" t="s">
        <v>761</v>
      </c>
      <c r="D438" s="39" t="s">
        <v>762</v>
      </c>
      <c r="E438" s="38" t="s">
        <v>3172</v>
      </c>
      <c r="F438" s="40"/>
      <c r="G438" s="40"/>
      <c r="H438" s="41" t="str">
        <f>VLOOKUP(C438,Stores!$A$200:$G$1118,3,0)</f>
        <v>Opened Stores</v>
      </c>
      <c r="I438" s="41" t="str">
        <f>VLOOKUP(C438,Stores!$A$200:$G$1118,4,0)</f>
        <v>Stage 7 - Installed</v>
      </c>
      <c r="J438" s="41" t="str">
        <f>VLOOKUP(C438,Stores!$A$200:$G$1118,5,0)</f>
        <v>FINGERTEC</v>
      </c>
      <c r="K438" s="41">
        <f>VLOOKUP(C438,Stores!$A$200:$G$1118,6,0)</f>
        <v>7424196</v>
      </c>
      <c r="L438" s="41" t="str">
        <f>VLOOKUP(C438,Stores!$A$200:$G$1118,7,0)</f>
        <v>192.168.1.201</v>
      </c>
      <c r="M438" s="42" t="s">
        <v>3430</v>
      </c>
    </row>
    <row r="439">
      <c r="A439" s="38" t="s">
        <v>2962</v>
      </c>
      <c r="B439" s="38" t="s">
        <v>3519</v>
      </c>
      <c r="C439" s="38" t="s">
        <v>634</v>
      </c>
      <c r="D439" s="39" t="s">
        <v>635</v>
      </c>
      <c r="E439" s="38" t="s">
        <v>3172</v>
      </c>
      <c r="F439" s="40"/>
      <c r="G439" s="40"/>
      <c r="H439" s="41" t="str">
        <f>VLOOKUP(C439,Stores!$A$200:$G$1118,3,0)</f>
        <v>Opened Stores</v>
      </c>
      <c r="I439" s="41" t="str">
        <f>VLOOKUP(C439,Stores!$A$200:$G$1118,4,0)</f>
        <v>Stage 7 - Installed</v>
      </c>
      <c r="J439" s="41" t="str">
        <f>VLOOKUP(C439,Stores!$A$200:$G$1118,5,0)</f>
        <v>ZKTECO</v>
      </c>
      <c r="K439" s="41" t="str">
        <f>VLOOKUP(C439,Stores!$A$200:$G$1118,6,0)</f>
        <v>ZKM6245100272</v>
      </c>
      <c r="L439" s="41" t="str">
        <f>VLOOKUP(C439,Stores!$A$200:$G$1118,7,0)</f>
        <v>192.168.1.201</v>
      </c>
      <c r="M439" s="42" t="s">
        <v>3430</v>
      </c>
    </row>
    <row r="440">
      <c r="A440" s="38" t="s">
        <v>2962</v>
      </c>
      <c r="B440" s="38" t="s">
        <v>3520</v>
      </c>
      <c r="C440" s="38" t="s">
        <v>835</v>
      </c>
      <c r="D440" s="39" t="s">
        <v>836</v>
      </c>
      <c r="E440" s="38" t="s">
        <v>3172</v>
      </c>
      <c r="F440" s="40"/>
      <c r="G440" s="40"/>
      <c r="H440" s="41" t="str">
        <f>VLOOKUP(C440,Stores!$A$200:$G$1118,3,0)</f>
        <v>Opened Stores</v>
      </c>
      <c r="I440" s="41" t="str">
        <f>VLOOKUP(C440,Stores!$A$200:$G$1118,4,0)</f>
        <v>Stage 7 - Installed</v>
      </c>
      <c r="J440" s="41" t="str">
        <f>VLOOKUP(C440,Stores!$A$200:$G$1118,5,0)</f>
        <v>FINGERTEC</v>
      </c>
      <c r="K440" s="41">
        <f>VLOOKUP(C440,Stores!$A$200:$G$1118,6,0)</f>
        <v>7425661</v>
      </c>
      <c r="L440" s="41" t="str">
        <f>VLOOKUP(C440,Stores!$A$200:$G$1118,7,0)</f>
        <v>192.168.1.201</v>
      </c>
      <c r="M440" s="42" t="s">
        <v>3430</v>
      </c>
    </row>
    <row r="441">
      <c r="A441" s="38" t="s">
        <v>2962</v>
      </c>
      <c r="B441" s="38" t="s">
        <v>3521</v>
      </c>
      <c r="C441" s="38" t="s">
        <v>519</v>
      </c>
      <c r="D441" s="39" t="s">
        <v>520</v>
      </c>
      <c r="E441" s="38" t="s">
        <v>3172</v>
      </c>
      <c r="F441" s="40"/>
      <c r="G441" s="40"/>
      <c r="H441" s="41" t="str">
        <f>VLOOKUP(C441,Stores!$A$200:$G$1118,3,0)</f>
        <v>Opened Stores</v>
      </c>
      <c r="I441" s="41" t="str">
        <f>VLOOKUP(C441,Stores!$A$200:$G$1118,4,0)</f>
        <v>Stage 7 - Installed</v>
      </c>
      <c r="J441" s="41" t="str">
        <f>VLOOKUP(C441,Stores!$A$200:$G$1118,5,0)</f>
        <v>ZKTECO</v>
      </c>
      <c r="K441" s="41" t="str">
        <f>VLOOKUP(C441,Stores!$A$200:$G$1118,6,0)</f>
        <v>ZKM6245100238</v>
      </c>
      <c r="L441" s="41" t="str">
        <f>VLOOKUP(C441,Stores!$A$200:$G$1118,7,0)</f>
        <v>192.168.1.201</v>
      </c>
      <c r="M441" s="42" t="s">
        <v>3430</v>
      </c>
    </row>
    <row r="442">
      <c r="A442" s="38" t="s">
        <v>2962</v>
      </c>
      <c r="B442" s="38" t="s">
        <v>3522</v>
      </c>
      <c r="C442" s="38" t="s">
        <v>681</v>
      </c>
      <c r="D442" s="39" t="s">
        <v>682</v>
      </c>
      <c r="E442" s="38" t="s">
        <v>3172</v>
      </c>
      <c r="F442" s="40"/>
      <c r="G442" s="40"/>
      <c r="H442" s="41" t="str">
        <f>VLOOKUP(C442,Stores!$A$200:$G$1118,3,0)</f>
        <v>Opened Stores</v>
      </c>
      <c r="I442" s="41" t="str">
        <f>VLOOKUP(C442,Stores!$A$200:$G$1118,4,0)</f>
        <v>Stage 7 - Installed</v>
      </c>
      <c r="J442" s="41" t="str">
        <f>VLOOKUP(C442,Stores!$A$200:$G$1118,5,0)</f>
        <v>ZKTECO</v>
      </c>
      <c r="K442" s="41" t="str">
        <f>VLOOKUP(C442,Stores!$A$200:$G$1118,6,0)</f>
        <v>ZKM6245100104</v>
      </c>
      <c r="L442" s="41" t="str">
        <f>VLOOKUP(C442,Stores!$A$200:$G$1118,7,0)</f>
        <v>192.168.1.201</v>
      </c>
      <c r="M442" s="42" t="s">
        <v>3430</v>
      </c>
    </row>
    <row r="443">
      <c r="A443" s="38" t="s">
        <v>2962</v>
      </c>
      <c r="B443" s="38" t="s">
        <v>3523</v>
      </c>
      <c r="C443" s="38" t="s">
        <v>537</v>
      </c>
      <c r="D443" s="39" t="s">
        <v>538</v>
      </c>
      <c r="E443" s="38" t="s">
        <v>3172</v>
      </c>
      <c r="F443" s="40"/>
      <c r="G443" s="40"/>
      <c r="H443" s="41" t="str">
        <f>VLOOKUP(C443,Stores!$A$200:$G$1118,3,0)</f>
        <v>Opened Stores</v>
      </c>
      <c r="I443" s="41" t="str">
        <f>VLOOKUP(C443,Stores!$A$200:$G$1118,4,0)</f>
        <v>Stage 7 - Installed</v>
      </c>
      <c r="J443" s="41" t="str">
        <f>VLOOKUP(C443,Stores!$A$200:$G$1118,5,0)</f>
        <v>FINGERTEC</v>
      </c>
      <c r="K443" s="41">
        <f>VLOOKUP(C443,Stores!$A$200:$G$1118,6,0)</f>
        <v>7419194</v>
      </c>
      <c r="L443" s="41" t="str">
        <f>VLOOKUP(C443,Stores!$A$200:$G$1118,7,0)</f>
        <v>192.168.1.201</v>
      </c>
      <c r="M443" s="42" t="s">
        <v>3430</v>
      </c>
    </row>
    <row r="444">
      <c r="A444" s="38" t="s">
        <v>2962</v>
      </c>
      <c r="B444" s="38" t="s">
        <v>3524</v>
      </c>
      <c r="C444" s="38" t="s">
        <v>2679</v>
      </c>
      <c r="D444" s="39" t="s">
        <v>2680</v>
      </c>
      <c r="E444" s="38" t="s">
        <v>3172</v>
      </c>
      <c r="F444" s="40"/>
      <c r="G444" s="40"/>
      <c r="H444" s="41" t="str">
        <f>VLOOKUP(C444,Stores!$A$200:$G$1118,3,0)</f>
        <v>Opened Stores</v>
      </c>
      <c r="I444" s="41" t="str">
        <f>VLOOKUP(C444,Stores!$A$200:$G$1118,4,0)</f>
        <v>Stage 7 - Installed</v>
      </c>
      <c r="J444" s="41" t="str">
        <f>VLOOKUP(C444,Stores!$A$200:$G$1118,5,0)</f>
        <v>ZKTECO</v>
      </c>
      <c r="K444" s="41" t="str">
        <f>VLOOKUP(C444,Stores!$A$200:$G$1118,6,0)</f>
        <v>ZKM6251700162</v>
      </c>
      <c r="L444" s="41" t="str">
        <f>VLOOKUP(C444,Stores!$A$200:$G$1118,7,0)</f>
        <v>192.168.1.201</v>
      </c>
      <c r="M444" s="42" t="s">
        <v>3430</v>
      </c>
    </row>
    <row r="445">
      <c r="A445" s="38" t="s">
        <v>2962</v>
      </c>
      <c r="B445" s="38" t="s">
        <v>3525</v>
      </c>
      <c r="C445" s="38" t="s">
        <v>2475</v>
      </c>
      <c r="D445" s="39" t="s">
        <v>2476</v>
      </c>
      <c r="E445" s="38" t="s">
        <v>3172</v>
      </c>
      <c r="F445" s="40"/>
      <c r="G445" s="40"/>
      <c r="H445" s="41" t="str">
        <f>VLOOKUP(C445,Stores!$A$200:$G$1118,3,0)</f>
        <v>Opened Stores</v>
      </c>
      <c r="I445" s="41" t="str">
        <f>VLOOKUP(C445,Stores!$A$200:$G$1118,4,0)</f>
        <v>Stage 7 - Installed</v>
      </c>
      <c r="J445" s="41" t="str">
        <f>VLOOKUP(C445,Stores!$A$200:$G$1118,5,0)</f>
        <v>ZKTECO</v>
      </c>
      <c r="K445" s="41" t="str">
        <f>VLOOKUP(C445,Stores!$A$200:$G$1118,6,0)</f>
        <v>ZKM6245100082</v>
      </c>
      <c r="L445" s="41" t="str">
        <f>VLOOKUP(C445,Stores!$A$200:$G$1118,7,0)</f>
        <v>192.168.1.201</v>
      </c>
      <c r="M445" s="42" t="s">
        <v>3430</v>
      </c>
    </row>
    <row r="446">
      <c r="A446" s="38" t="s">
        <v>2962</v>
      </c>
      <c r="B446" s="38" t="s">
        <v>3526</v>
      </c>
      <c r="C446" s="38" t="s">
        <v>533</v>
      </c>
      <c r="D446" s="39" t="s">
        <v>534</v>
      </c>
      <c r="E446" s="38" t="s">
        <v>3172</v>
      </c>
      <c r="F446" s="40"/>
      <c r="G446" s="40"/>
      <c r="H446" s="41" t="str">
        <f>VLOOKUP(C446,Stores!$A$200:$G$1118,3,0)</f>
        <v>Opened Stores</v>
      </c>
      <c r="I446" s="41" t="str">
        <f>VLOOKUP(C446,Stores!$A$200:$G$1118,4,0)</f>
        <v>Stage 7 - Installed</v>
      </c>
      <c r="J446" s="41" t="str">
        <f>VLOOKUP(C446,Stores!$A$200:$G$1118,5,0)</f>
        <v>FINGERTEC</v>
      </c>
      <c r="K446" s="41">
        <f>VLOOKUP(C446,Stores!$A$200:$G$1118,6,0)</f>
        <v>7419188</v>
      </c>
      <c r="L446" s="41" t="str">
        <f>VLOOKUP(C446,Stores!$A$200:$G$1118,7,0)</f>
        <v>192.168.1.201</v>
      </c>
      <c r="M446" s="42" t="s">
        <v>3430</v>
      </c>
    </row>
    <row r="447">
      <c r="A447" s="38" t="s">
        <v>2962</v>
      </c>
      <c r="B447" s="38" t="s">
        <v>3527</v>
      </c>
      <c r="C447" s="38" t="s">
        <v>2739</v>
      </c>
      <c r="D447" s="39" t="s">
        <v>2740</v>
      </c>
      <c r="E447" s="38" t="s">
        <v>3172</v>
      </c>
      <c r="F447" s="40"/>
      <c r="G447" s="40"/>
      <c r="H447" s="41" t="str">
        <f>VLOOKUP(C447,Stores!$A$200:$G$1118,3,0)</f>
        <v>Opened Stores</v>
      </c>
      <c r="I447" s="41" t="str">
        <f>VLOOKUP(C447,Stores!$A$200:$G$1118,4,0)</f>
        <v>Stage 7 - Installed</v>
      </c>
      <c r="J447" s="41" t="str">
        <f>VLOOKUP(C447,Stores!$A$200:$G$1118,5,0)</f>
        <v>ZKTECO</v>
      </c>
      <c r="K447" s="41" t="str">
        <f>VLOOKUP(C447,Stores!$A$200:$G$1118,6,0)</f>
        <v>ZKM6251700215</v>
      </c>
      <c r="L447" s="41" t="str">
        <f>VLOOKUP(C447,Stores!$A$200:$G$1118,7,0)</f>
        <v>192.168.1.201</v>
      </c>
      <c r="M447" s="42" t="s">
        <v>3430</v>
      </c>
    </row>
    <row r="448">
      <c r="A448" s="38" t="s">
        <v>2962</v>
      </c>
      <c r="B448" s="38" t="s">
        <v>3528</v>
      </c>
      <c r="C448" s="38" t="s">
        <v>599</v>
      </c>
      <c r="D448" s="39" t="s">
        <v>600</v>
      </c>
      <c r="E448" s="38" t="s">
        <v>3172</v>
      </c>
      <c r="F448" s="40"/>
      <c r="G448" s="40"/>
      <c r="H448" s="41" t="str">
        <f>VLOOKUP(C448,Stores!$A$200:$G$1118,3,0)</f>
        <v>Opened Stores</v>
      </c>
      <c r="I448" s="41" t="str">
        <f>VLOOKUP(C448,Stores!$A$200:$G$1118,4,0)</f>
        <v>Stage 7 - Installed</v>
      </c>
      <c r="J448" s="41" t="str">
        <f>VLOOKUP(C448,Stores!$A$200:$G$1118,5,0)</f>
        <v>ZKTECO</v>
      </c>
      <c r="K448" s="41" t="str">
        <f>VLOOKUP(C448,Stores!$A$200:$G$1118,6,0)</f>
        <v>ZKM6251700130</v>
      </c>
      <c r="L448" s="41" t="str">
        <f>VLOOKUP(C448,Stores!$A$200:$G$1118,7,0)</f>
        <v>192.168.1.201</v>
      </c>
      <c r="M448" s="42" t="s">
        <v>3430</v>
      </c>
    </row>
    <row r="449">
      <c r="A449" s="38" t="s">
        <v>2962</v>
      </c>
      <c r="B449" s="38" t="s">
        <v>3529</v>
      </c>
      <c r="C449" s="38" t="s">
        <v>515</v>
      </c>
      <c r="D449" s="39" t="s">
        <v>516</v>
      </c>
      <c r="E449" s="38" t="s">
        <v>3172</v>
      </c>
      <c r="F449" s="40"/>
      <c r="G449" s="40"/>
      <c r="H449" s="41" t="str">
        <f>VLOOKUP(C449,Stores!$A$200:$G$1118,3,0)</f>
        <v>Opened Stores</v>
      </c>
      <c r="I449" s="41" t="str">
        <f>VLOOKUP(C449,Stores!$A$200:$G$1118,4,0)</f>
        <v>Stage 7 - Installed</v>
      </c>
      <c r="J449" s="41" t="str">
        <f>VLOOKUP(C449,Stores!$A$200:$G$1118,5,0)</f>
        <v>FINGERTEC</v>
      </c>
      <c r="K449" s="41">
        <f>VLOOKUP(C449,Stores!$A$200:$G$1118,6,0)</f>
        <v>7419183</v>
      </c>
      <c r="L449" s="41" t="str">
        <f>VLOOKUP(C449,Stores!$A$200:$G$1118,7,0)</f>
        <v>192.168.1.201</v>
      </c>
      <c r="M449" s="42" t="s">
        <v>3430</v>
      </c>
    </row>
    <row r="450">
      <c r="A450" s="38" t="s">
        <v>2962</v>
      </c>
      <c r="B450" s="38" t="s">
        <v>3530</v>
      </c>
      <c r="C450" s="38" t="s">
        <v>837</v>
      </c>
      <c r="D450" s="39" t="s">
        <v>838</v>
      </c>
      <c r="E450" s="38" t="s">
        <v>3172</v>
      </c>
      <c r="F450" s="40"/>
      <c r="G450" s="40"/>
      <c r="H450" s="41" t="str">
        <f>VLOOKUP(C450,Stores!$A$200:$G$1118,3,0)</f>
        <v>Opened Stores</v>
      </c>
      <c r="I450" s="41" t="str">
        <f>VLOOKUP(C450,Stores!$A$200:$G$1118,4,0)</f>
        <v>Stage 7 - Installed</v>
      </c>
      <c r="J450" s="41" t="str">
        <f>VLOOKUP(C450,Stores!$A$200:$G$1118,5,0)</f>
        <v>FINGERTEC</v>
      </c>
      <c r="K450" s="41">
        <f>VLOOKUP(C450,Stores!$A$200:$G$1118,6,0)</f>
        <v>7425657</v>
      </c>
      <c r="L450" s="41" t="str">
        <f>VLOOKUP(C450,Stores!$A$200:$G$1118,7,0)</f>
        <v>192.168.1.201</v>
      </c>
      <c r="M450" s="42" t="s">
        <v>3430</v>
      </c>
    </row>
    <row r="451">
      <c r="A451" s="38" t="s">
        <v>2962</v>
      </c>
      <c r="B451" s="38" t="s">
        <v>3531</v>
      </c>
      <c r="C451" s="38" t="s">
        <v>449</v>
      </c>
      <c r="D451" s="39" t="s">
        <v>450</v>
      </c>
      <c r="E451" s="38" t="s">
        <v>3172</v>
      </c>
      <c r="F451" s="40"/>
      <c r="G451" s="40"/>
      <c r="H451" s="41" t="str">
        <f>VLOOKUP(C451,Stores!$A$200:$G$1118,3,0)</f>
        <v>Opened Stores</v>
      </c>
      <c r="I451" s="41" t="str">
        <f>VLOOKUP(C451,Stores!$A$200:$G$1118,4,0)</f>
        <v>Stage 7 - Installed</v>
      </c>
      <c r="J451" s="41" t="str">
        <f>VLOOKUP(C451,Stores!$A$200:$G$1118,5,0)</f>
        <v>ZKTECO</v>
      </c>
      <c r="K451" s="41" t="str">
        <f>VLOOKUP(C451,Stores!$A$200:$G$1118,6,0)</f>
        <v>ZKM6245100234</v>
      </c>
      <c r="L451" s="41" t="str">
        <f>VLOOKUP(C451,Stores!$A$200:$G$1118,7,0)</f>
        <v>192.168.1.201</v>
      </c>
      <c r="M451" s="42" t="s">
        <v>3430</v>
      </c>
    </row>
    <row r="452">
      <c r="A452" s="38" t="s">
        <v>2962</v>
      </c>
      <c r="B452" s="38" t="s">
        <v>3532</v>
      </c>
      <c r="C452" s="38" t="s">
        <v>860</v>
      </c>
      <c r="D452" s="39" t="s">
        <v>861</v>
      </c>
      <c r="E452" s="38" t="s">
        <v>3172</v>
      </c>
      <c r="F452" s="40"/>
      <c r="G452" s="40"/>
      <c r="H452" s="41" t="str">
        <f>VLOOKUP(C452,Stores!$A$200:$G$1118,3,0)</f>
        <v>Opened Stores</v>
      </c>
      <c r="I452" s="41" t="str">
        <f>VLOOKUP(C452,Stores!$A$200:$G$1118,4,0)</f>
        <v>Stage 7 - Installed</v>
      </c>
      <c r="J452" s="41" t="str">
        <f>VLOOKUP(C452,Stores!$A$200:$G$1118,5,0)</f>
        <v>FINGERTEC</v>
      </c>
      <c r="K452" s="41">
        <f>VLOOKUP(C452,Stores!$A$200:$G$1118,6,0)</f>
        <v>7425646</v>
      </c>
      <c r="L452" s="41" t="str">
        <f>VLOOKUP(C452,Stores!$A$200:$G$1118,7,0)</f>
        <v>192.168.1.201</v>
      </c>
      <c r="M452" s="42" t="s">
        <v>3430</v>
      </c>
    </row>
    <row r="453">
      <c r="A453" s="38" t="s">
        <v>2962</v>
      </c>
      <c r="B453" s="38" t="s">
        <v>3533</v>
      </c>
      <c r="C453" s="38" t="s">
        <v>924</v>
      </c>
      <c r="D453" s="39" t="s">
        <v>925</v>
      </c>
      <c r="E453" s="38" t="s">
        <v>3172</v>
      </c>
      <c r="F453" s="40"/>
      <c r="G453" s="40"/>
      <c r="H453" s="41" t="str">
        <f>VLOOKUP(C453,Stores!$A$200:$G$1118,3,0)</f>
        <v>Opened Stores</v>
      </c>
      <c r="I453" s="41" t="str">
        <f>VLOOKUP(C453,Stores!$A$200:$G$1118,4,0)</f>
        <v>Stage 7 - Installed</v>
      </c>
      <c r="J453" s="41" t="str">
        <f>VLOOKUP(C453,Stores!$A$200:$G$1118,5,0)</f>
        <v>FINGERTEC</v>
      </c>
      <c r="K453" s="41">
        <f>VLOOKUP(C453,Stores!$A$200:$G$1118,6,0)</f>
        <v>7425893</v>
      </c>
      <c r="L453" s="41" t="str">
        <f>VLOOKUP(C453,Stores!$A$200:$G$1118,7,0)</f>
        <v>192.168.1.201</v>
      </c>
      <c r="M453" s="42" t="s">
        <v>3430</v>
      </c>
    </row>
    <row r="454">
      <c r="A454" s="38" t="s">
        <v>2962</v>
      </c>
      <c r="B454" s="38" t="s">
        <v>3534</v>
      </c>
      <c r="C454" s="38" t="s">
        <v>489</v>
      </c>
      <c r="D454" s="39" t="s">
        <v>490</v>
      </c>
      <c r="E454" s="38" t="s">
        <v>3172</v>
      </c>
      <c r="F454" s="40"/>
      <c r="G454" s="40"/>
      <c r="H454" s="41" t="str">
        <f>VLOOKUP(C454,Stores!$A$200:$G$1118,3,0)</f>
        <v>Opened Stores</v>
      </c>
      <c r="I454" s="41" t="str">
        <f>VLOOKUP(C454,Stores!$A$200:$G$1118,4,0)</f>
        <v>Stage 7 - Installed</v>
      </c>
      <c r="J454" s="41" t="str">
        <f>VLOOKUP(C454,Stores!$A$200:$G$1118,5,0)</f>
        <v>ZKTECO</v>
      </c>
      <c r="K454" s="41" t="str">
        <f>VLOOKUP(C454,Stores!$A$200:$G$1118,6,0)</f>
        <v>ZKM6245100227</v>
      </c>
      <c r="L454" s="41" t="str">
        <f>VLOOKUP(C454,Stores!$A$200:$G$1118,7,0)</f>
        <v>192.168.1.201</v>
      </c>
      <c r="M454" s="42" t="s">
        <v>3430</v>
      </c>
    </row>
    <row r="455">
      <c r="A455" s="38" t="s">
        <v>2962</v>
      </c>
      <c r="B455" s="38" t="s">
        <v>3535</v>
      </c>
      <c r="C455" s="38" t="s">
        <v>874</v>
      </c>
      <c r="D455" s="39" t="s">
        <v>875</v>
      </c>
      <c r="E455" s="38" t="s">
        <v>3172</v>
      </c>
      <c r="F455" s="40"/>
      <c r="G455" s="40"/>
      <c r="H455" s="41" t="str">
        <f>VLOOKUP(C455,Stores!$A$200:$G$1118,3,0)</f>
        <v>Opened Stores</v>
      </c>
      <c r="I455" s="41" t="str">
        <f>VLOOKUP(C455,Stores!$A$200:$G$1118,4,0)</f>
        <v>Stage 7 - Installed</v>
      </c>
      <c r="J455" s="41" t="str">
        <f>VLOOKUP(C455,Stores!$A$200:$G$1118,5,0)</f>
        <v>FINGERTEC</v>
      </c>
      <c r="K455" s="41">
        <f>VLOOKUP(C455,Stores!$A$200:$G$1118,6,0)</f>
        <v>7425680</v>
      </c>
      <c r="L455" s="41" t="str">
        <f>VLOOKUP(C455,Stores!$A$200:$G$1118,7,0)</f>
        <v>192.168.1.201</v>
      </c>
      <c r="M455" s="42" t="s">
        <v>3430</v>
      </c>
    </row>
    <row r="456">
      <c r="A456" s="38" t="s">
        <v>2962</v>
      </c>
      <c r="B456" s="38" t="s">
        <v>3536</v>
      </c>
      <c r="C456" s="38" t="s">
        <v>1306</v>
      </c>
      <c r="D456" s="39" t="s">
        <v>1307</v>
      </c>
      <c r="E456" s="38" t="s">
        <v>3172</v>
      </c>
      <c r="F456" s="40"/>
      <c r="G456" s="40"/>
      <c r="H456" s="41" t="str">
        <f>VLOOKUP(C456,Stores!$A$200:$G$1118,3,0)</f>
        <v>Opened Stores</v>
      </c>
      <c r="I456" s="41" t="str">
        <f>VLOOKUP(C456,Stores!$A$200:$G$1118,4,0)</f>
        <v>Stage 7 - Installed</v>
      </c>
      <c r="J456" s="41" t="str">
        <f>VLOOKUP(C456,Stores!$A$200:$G$1118,5,0)</f>
        <v>ZKTECO</v>
      </c>
      <c r="K456" s="41" t="str">
        <f>VLOOKUP(C456,Stores!$A$200:$G$1118,6,0)</f>
        <v>PAS4253000052</v>
      </c>
      <c r="L456" s="41" t="str">
        <f>VLOOKUP(C456,Stores!$A$200:$G$1118,7,0)</f>
        <v>192.168.1.201</v>
      </c>
      <c r="M456" s="42" t="s">
        <v>3430</v>
      </c>
    </row>
    <row r="457">
      <c r="A457" s="38" t="s">
        <v>2962</v>
      </c>
      <c r="B457" s="38" t="s">
        <v>3537</v>
      </c>
      <c r="C457" s="38" t="s">
        <v>2877</v>
      </c>
      <c r="D457" s="39" t="s">
        <v>2878</v>
      </c>
      <c r="E457" s="38" t="s">
        <v>3172</v>
      </c>
      <c r="F457" s="40"/>
      <c r="G457" s="40"/>
      <c r="H457" s="41" t="str">
        <f>VLOOKUP(C457,Stores!$A$200:$G$1118,3,0)</f>
        <v>Opened Stores</v>
      </c>
      <c r="I457" s="41" t="str">
        <f>VLOOKUP(C457,Stores!$A$200:$G$1118,4,0)</f>
        <v>Stage 7 - Installed</v>
      </c>
      <c r="J457" s="41" t="str">
        <f>VLOOKUP(C457,Stores!$A$200:$G$1118,5,0)</f>
        <v>ZKTECO</v>
      </c>
      <c r="K457" s="41" t="str">
        <f>VLOOKUP(C457,Stores!$A$200:$G$1118,6,0)</f>
        <v>PAS4252900184</v>
      </c>
      <c r="L457" s="41" t="str">
        <f>VLOOKUP(C457,Stores!$A$200:$G$1118,7,0)</f>
        <v>192.168.1.201</v>
      </c>
      <c r="M457" s="42" t="s">
        <v>3430</v>
      </c>
    </row>
    <row r="458">
      <c r="A458" s="38" t="s">
        <v>2962</v>
      </c>
      <c r="B458" s="38" t="s">
        <v>3538</v>
      </c>
      <c r="C458" s="38" t="s">
        <v>2895</v>
      </c>
      <c r="D458" s="39" t="s">
        <v>3539</v>
      </c>
      <c r="E458" s="38" t="s">
        <v>3172</v>
      </c>
      <c r="F458" s="40"/>
      <c r="G458" s="40"/>
      <c r="H458" s="41" t="str">
        <f>VLOOKUP(C458,Stores!$A$200:$G$1118,3,0)</f>
        <v>Opened Stores</v>
      </c>
      <c r="I458" s="41" t="str">
        <f>VLOOKUP(C458,Stores!$A$200:$G$1118,4,0)</f>
        <v>Stage 7 - Installed</v>
      </c>
      <c r="J458" s="41" t="str">
        <f>VLOOKUP(C458,Stores!$A$200:$G$1118,5,0)</f>
        <v>ZKTECO</v>
      </c>
      <c r="K458" s="41" t="str">
        <f>VLOOKUP(C458,Stores!$A$200:$G$1118,6,0)</f>
        <v>PAS4252500025</v>
      </c>
      <c r="L458" s="41" t="str">
        <f>VLOOKUP(C458,Stores!$A$200:$G$1118,7,0)</f>
        <v>192.168.1.201</v>
      </c>
      <c r="M458" s="42" t="s">
        <v>3430</v>
      </c>
    </row>
    <row r="459">
      <c r="A459" s="38" t="s">
        <v>2962</v>
      </c>
      <c r="B459" s="38" t="s">
        <v>3540</v>
      </c>
      <c r="C459" s="38" t="s">
        <v>1615</v>
      </c>
      <c r="D459" s="39" t="s">
        <v>1616</v>
      </c>
      <c r="E459" s="38" t="s">
        <v>3172</v>
      </c>
      <c r="F459" s="40"/>
      <c r="G459" s="40"/>
      <c r="H459" s="41" t="str">
        <f>VLOOKUP(C459,Stores!$A$200:$G$1118,3,0)</f>
        <v>Opened Stores</v>
      </c>
      <c r="I459" s="41" t="str">
        <f>VLOOKUP(C459,Stores!$A$200:$G$1118,4,0)</f>
        <v>Stage 7 - Installed</v>
      </c>
      <c r="J459" s="41" t="str">
        <f>VLOOKUP(C459,Stores!$A$200:$G$1118,5,0)</f>
        <v>ZKTECO</v>
      </c>
      <c r="K459" s="41" t="str">
        <f>VLOOKUP(C459,Stores!$A$200:$G$1118,6,0)</f>
        <v>AEYU082360244</v>
      </c>
      <c r="L459" s="41" t="str">
        <f>VLOOKUP(C459,Stores!$A$200:$G$1118,7,0)</f>
        <v>192.168.1.201</v>
      </c>
      <c r="M459" s="42" t="s">
        <v>3430</v>
      </c>
    </row>
    <row r="460">
      <c r="A460" s="38" t="s">
        <v>2962</v>
      </c>
      <c r="B460" s="38" t="s">
        <v>3541</v>
      </c>
      <c r="C460" s="38" t="s">
        <v>776</v>
      </c>
      <c r="D460" s="39" t="s">
        <v>777</v>
      </c>
      <c r="E460" s="38" t="s">
        <v>3172</v>
      </c>
      <c r="F460" s="40"/>
      <c r="G460" s="40"/>
      <c r="H460" s="41" t="str">
        <f>VLOOKUP(C460,Stores!$A$200:$G$1118,3,0)</f>
        <v>Opened Stores</v>
      </c>
      <c r="I460" s="41" t="str">
        <f>VLOOKUP(C460,Stores!$A$200:$G$1118,4,0)</f>
        <v>Stage 7 - Installed</v>
      </c>
      <c r="J460" s="41" t="str">
        <f>VLOOKUP(C460,Stores!$A$200:$G$1118,5,0)</f>
        <v>FINGERTEC</v>
      </c>
      <c r="K460" s="41">
        <f>VLOOKUP(C460,Stores!$A$200:$G$1118,6,0)</f>
        <v>7424189</v>
      </c>
      <c r="L460" s="41" t="str">
        <f>VLOOKUP(C460,Stores!$A$200:$G$1118,7,0)</f>
        <v>192.168.1.201</v>
      </c>
      <c r="M460" s="42" t="s">
        <v>3430</v>
      </c>
    </row>
    <row r="461">
      <c r="A461" s="38" t="s">
        <v>2962</v>
      </c>
      <c r="B461" s="38" t="s">
        <v>3542</v>
      </c>
      <c r="C461" s="38" t="s">
        <v>2637</v>
      </c>
      <c r="D461" s="39" t="s">
        <v>2638</v>
      </c>
      <c r="E461" s="38" t="s">
        <v>3172</v>
      </c>
      <c r="F461" s="40"/>
      <c r="G461" s="40"/>
      <c r="H461" s="41" t="str">
        <f>VLOOKUP(C461,Stores!$A$200:$G$1118,3,0)</f>
        <v>Opened Stores</v>
      </c>
      <c r="I461" s="41" t="str">
        <f>VLOOKUP(C461,Stores!$A$200:$G$1118,4,0)</f>
        <v>Stage 7 - Installed</v>
      </c>
      <c r="J461" s="41" t="str">
        <f>VLOOKUP(C461,Stores!$A$200:$G$1118,5,0)</f>
        <v>ZKTECO</v>
      </c>
      <c r="K461" s="41" t="str">
        <f>VLOOKUP(C461,Stores!$A$200:$G$1118,6,0)</f>
        <v>ZKM6251500189</v>
      </c>
      <c r="L461" s="41" t="str">
        <f>VLOOKUP(C461,Stores!$A$200:$G$1118,7,0)</f>
        <v>192.168.1.201</v>
      </c>
      <c r="M461" s="42" t="s">
        <v>3430</v>
      </c>
    </row>
    <row r="462">
      <c r="A462" s="38" t="s">
        <v>2962</v>
      </c>
      <c r="B462" s="38" t="s">
        <v>3543</v>
      </c>
      <c r="C462" s="38" t="s">
        <v>1215</v>
      </c>
      <c r="D462" s="39" t="s">
        <v>1216</v>
      </c>
      <c r="E462" s="38" t="s">
        <v>3172</v>
      </c>
      <c r="F462" s="40"/>
      <c r="G462" s="40"/>
      <c r="H462" s="41" t="str">
        <f>VLOOKUP(C462,Stores!$A$200:$G$1118,3,0)</f>
        <v>Opened Stores</v>
      </c>
      <c r="I462" s="41" t="str">
        <f>VLOOKUP(C462,Stores!$A$200:$G$1118,4,0)</f>
        <v>Stage 7 - Installed</v>
      </c>
      <c r="J462" s="41" t="str">
        <f>VLOOKUP(C462,Stores!$A$200:$G$1118,5,0)</f>
        <v>ZKTECO</v>
      </c>
      <c r="K462" s="41" t="str">
        <f>VLOOKUP(C462,Stores!$A$200:$G$1118,6,0)</f>
        <v>PAS4253000008</v>
      </c>
      <c r="L462" s="41" t="str">
        <f>VLOOKUP(C462,Stores!$A$200:$G$1118,7,0)</f>
        <v>192.168.1.201</v>
      </c>
      <c r="M462" s="42" t="s">
        <v>3430</v>
      </c>
    </row>
    <row r="463">
      <c r="A463" s="38" t="s">
        <v>2962</v>
      </c>
      <c r="B463" s="38" t="s">
        <v>3544</v>
      </c>
      <c r="C463" s="38" t="s">
        <v>529</v>
      </c>
      <c r="D463" s="39" t="s">
        <v>530</v>
      </c>
      <c r="E463" s="38" t="s">
        <v>3172</v>
      </c>
      <c r="F463" s="40"/>
      <c r="G463" s="40"/>
      <c r="H463" s="41" t="str">
        <f>VLOOKUP(C463,Stores!$A$200:$G$1118,3,0)</f>
        <v>Opened Stores</v>
      </c>
      <c r="I463" s="41" t="str">
        <f>VLOOKUP(C463,Stores!$A$200:$G$1118,4,0)</f>
        <v>Stage 7 - Installed</v>
      </c>
      <c r="J463" s="41" t="str">
        <f>VLOOKUP(C463,Stores!$A$200:$G$1118,5,0)</f>
        <v>FINGERTEC</v>
      </c>
      <c r="K463" s="41">
        <f>VLOOKUP(C463,Stores!$A$200:$G$1118,6,0)</f>
        <v>7419192</v>
      </c>
      <c r="L463" s="41" t="str">
        <f>VLOOKUP(C463,Stores!$A$200:$G$1118,7,0)</f>
        <v>192.168.1.201</v>
      </c>
      <c r="M463" s="42" t="s">
        <v>3430</v>
      </c>
    </row>
    <row r="464">
      <c r="A464" s="38" t="s">
        <v>2962</v>
      </c>
      <c r="B464" s="38" t="s">
        <v>3545</v>
      </c>
      <c r="C464" s="38" t="s">
        <v>645</v>
      </c>
      <c r="D464" s="39" t="s">
        <v>646</v>
      </c>
      <c r="E464" s="38" t="s">
        <v>3172</v>
      </c>
      <c r="F464" s="40"/>
      <c r="G464" s="40"/>
      <c r="H464" s="41" t="str">
        <f>VLOOKUP(C464,Stores!$A$200:$G$1118,3,0)</f>
        <v>Opened Stores</v>
      </c>
      <c r="I464" s="41" t="str">
        <f>VLOOKUP(C464,Stores!$A$200:$G$1118,4,0)</f>
        <v>Stage 7 - Installed</v>
      </c>
      <c r="J464" s="41" t="str">
        <f>VLOOKUP(C464,Stores!$A$200:$G$1118,5,0)</f>
        <v>FINGERTEC</v>
      </c>
      <c r="K464" s="41">
        <f>VLOOKUP(C464,Stores!$A$200:$G$1118,6,0)</f>
        <v>7422143</v>
      </c>
      <c r="L464" s="41" t="str">
        <f>VLOOKUP(C464,Stores!$A$200:$G$1118,7,0)</f>
        <v>192.168.1.201</v>
      </c>
      <c r="M464" s="42" t="s">
        <v>3430</v>
      </c>
    </row>
    <row r="465">
      <c r="A465" s="38" t="s">
        <v>2962</v>
      </c>
      <c r="B465" s="38" t="s">
        <v>3546</v>
      </c>
      <c r="C465" s="38" t="s">
        <v>575</v>
      </c>
      <c r="D465" s="39" t="s">
        <v>576</v>
      </c>
      <c r="E465" s="38" t="s">
        <v>3172</v>
      </c>
      <c r="F465" s="40"/>
      <c r="G465" s="40"/>
      <c r="H465" s="41" t="str">
        <f>VLOOKUP(C465,Stores!$A$200:$G$1118,3,0)</f>
        <v>Opened Stores</v>
      </c>
      <c r="I465" s="41" t="str">
        <f>VLOOKUP(C465,Stores!$A$200:$G$1118,4,0)</f>
        <v>Stage 7 - Installed</v>
      </c>
      <c r="J465" s="41" t="str">
        <f>VLOOKUP(C465,Stores!$A$200:$G$1118,5,0)</f>
        <v>FINGERTEC</v>
      </c>
      <c r="K465" s="41">
        <f>VLOOKUP(C465,Stores!$A$200:$G$1118,6,0)</f>
        <v>7421294</v>
      </c>
      <c r="L465" s="41" t="str">
        <f>VLOOKUP(C465,Stores!$A$200:$G$1118,7,0)</f>
        <v>192.168.1.201</v>
      </c>
      <c r="M465" s="42" t="s">
        <v>3430</v>
      </c>
    </row>
    <row r="466">
      <c r="A466" s="38" t="s">
        <v>2962</v>
      </c>
      <c r="B466" s="38" t="s">
        <v>3547</v>
      </c>
      <c r="C466" s="38" t="s">
        <v>2218</v>
      </c>
      <c r="D466" s="39" t="s">
        <v>2219</v>
      </c>
      <c r="E466" s="38" t="s">
        <v>3172</v>
      </c>
      <c r="F466" s="40"/>
      <c r="G466" s="40"/>
      <c r="H466" s="41" t="str">
        <f>VLOOKUP(C466,Stores!$A$200:$G$1118,3,0)</f>
        <v>Opened Stores</v>
      </c>
      <c r="I466" s="41" t="str">
        <f>VLOOKUP(C466,Stores!$A$200:$G$1118,4,0)</f>
        <v>Stage 7 - Installed</v>
      </c>
      <c r="J466" s="41" t="str">
        <f>VLOOKUP(C466,Stores!$A$200:$G$1118,5,0)</f>
        <v>ZKTECO</v>
      </c>
      <c r="K466" s="41" t="str">
        <f>VLOOKUP(C466,Stores!$A$200:$G$1118,6,0)</f>
        <v>AEYU082630227</v>
      </c>
      <c r="L466" s="41" t="str">
        <f>VLOOKUP(C466,Stores!$A$200:$G$1118,7,0)</f>
        <v>192.168.1.201</v>
      </c>
      <c r="M466" s="42" t="s">
        <v>3430</v>
      </c>
    </row>
    <row r="467">
      <c r="A467" s="38" t="s">
        <v>2962</v>
      </c>
      <c r="B467" s="38" t="s">
        <v>3548</v>
      </c>
      <c r="C467" s="38" t="s">
        <v>1134</v>
      </c>
      <c r="D467" s="39" t="s">
        <v>1135</v>
      </c>
      <c r="E467" s="38" t="s">
        <v>3172</v>
      </c>
      <c r="F467" s="40"/>
      <c r="G467" s="40"/>
      <c r="H467" s="41" t="str">
        <f>VLOOKUP(C467,Stores!$A$200:$G$1118,3,0)</f>
        <v>Opened Stores</v>
      </c>
      <c r="I467" s="41" t="str">
        <f>VLOOKUP(C467,Stores!$A$200:$G$1118,4,0)</f>
        <v>Stage 7 - Installed</v>
      </c>
      <c r="J467" s="41" t="str">
        <f>VLOOKUP(C467,Stores!$A$200:$G$1118,5,0)</f>
        <v>ZKTECO</v>
      </c>
      <c r="K467" s="41" t="str">
        <f>VLOOKUP(C467,Stores!$A$200:$G$1118,6,0)</f>
        <v>A8N5221960157</v>
      </c>
      <c r="L467" s="41" t="str">
        <f>VLOOKUP(C467,Stores!$A$200:$G$1118,7,0)</f>
        <v>192.168.1.201</v>
      </c>
      <c r="M467" s="42" t="s">
        <v>3430</v>
      </c>
    </row>
    <row r="468">
      <c r="A468" s="38" t="s">
        <v>2962</v>
      </c>
      <c r="B468" s="38" t="s">
        <v>3549</v>
      </c>
      <c r="C468" s="38" t="s">
        <v>1188</v>
      </c>
      <c r="D468" s="39" t="s">
        <v>1189</v>
      </c>
      <c r="E468" s="38" t="s">
        <v>3172</v>
      </c>
      <c r="F468" s="40"/>
      <c r="G468" s="40"/>
      <c r="H468" s="41" t="str">
        <f>VLOOKUP(C468,Stores!$A$200:$G$1118,3,0)</f>
        <v>Opened Stores</v>
      </c>
      <c r="I468" s="41" t="str">
        <f>VLOOKUP(C468,Stores!$A$200:$G$1118,4,0)</f>
        <v>Stage 7 - Installed</v>
      </c>
      <c r="J468" s="41" t="str">
        <f>VLOOKUP(C468,Stores!$A$200:$G$1118,5,0)</f>
        <v>ZKTECO</v>
      </c>
      <c r="K468" s="41" t="str">
        <f>VLOOKUP(C468,Stores!$A$200:$G$1118,6,0)</f>
        <v>AKDG012351703</v>
      </c>
      <c r="L468" s="41" t="str">
        <f>VLOOKUP(C468,Stores!$A$200:$G$1118,7,0)</f>
        <v>192.168.1.201</v>
      </c>
      <c r="M468" s="42" t="s">
        <v>3550</v>
      </c>
    </row>
    <row r="469">
      <c r="A469" s="38" t="s">
        <v>2962</v>
      </c>
      <c r="B469" s="38" t="s">
        <v>3551</v>
      </c>
      <c r="C469" s="38" t="s">
        <v>479</v>
      </c>
      <c r="D469" s="39" t="s">
        <v>480</v>
      </c>
      <c r="E469" s="38" t="s">
        <v>3172</v>
      </c>
      <c r="F469" s="40"/>
      <c r="G469" s="40"/>
      <c r="H469" s="41" t="str">
        <f>VLOOKUP(C469,Stores!$A$200:$G$1118,3,0)</f>
        <v>Opened Stores</v>
      </c>
      <c r="I469" s="41" t="str">
        <f>VLOOKUP(C469,Stores!$A$200:$G$1118,4,0)</f>
        <v>Stage 7 - Installed</v>
      </c>
      <c r="J469" s="41" t="str">
        <f>VLOOKUP(C469,Stores!$A$200:$G$1118,5,0)</f>
        <v>FINGERTEC</v>
      </c>
      <c r="K469" s="41">
        <f>VLOOKUP(C469,Stores!$A$200:$G$1118,6,0)</f>
        <v>7417477</v>
      </c>
      <c r="L469" s="41" t="str">
        <f>VLOOKUP(C469,Stores!$A$200:$G$1118,7,0)</f>
        <v>192.168.1.201</v>
      </c>
      <c r="M469" s="42" t="s">
        <v>3550</v>
      </c>
    </row>
    <row r="470">
      <c r="A470" s="38" t="s">
        <v>2962</v>
      </c>
      <c r="B470" s="38" t="s">
        <v>3552</v>
      </c>
      <c r="C470" s="38" t="s">
        <v>424</v>
      </c>
      <c r="D470" s="39" t="s">
        <v>425</v>
      </c>
      <c r="E470" s="38" t="s">
        <v>3172</v>
      </c>
      <c r="F470" s="40"/>
      <c r="G470" s="40"/>
      <c r="H470" s="41" t="str">
        <f>VLOOKUP(C470,Stores!$A$200:$G$1118,3,0)</f>
        <v>Opened Stores</v>
      </c>
      <c r="I470" s="41" t="str">
        <f>VLOOKUP(C470,Stores!$A$200:$G$1118,4,0)</f>
        <v>Stage 7 - Installed</v>
      </c>
      <c r="J470" s="41" t="str">
        <f>VLOOKUP(C470,Stores!$A$200:$G$1118,5,0)</f>
        <v>FINGERTEC</v>
      </c>
      <c r="K470" s="41">
        <f>VLOOKUP(C470,Stores!$A$200:$G$1118,6,0)</f>
        <v>7415914</v>
      </c>
      <c r="L470" s="41" t="str">
        <f>VLOOKUP(C470,Stores!$A$200:$G$1118,7,0)</f>
        <v>192.168.1.201</v>
      </c>
      <c r="M470" s="42" t="s">
        <v>3550</v>
      </c>
    </row>
    <row r="471">
      <c r="A471" s="38" t="s">
        <v>2962</v>
      </c>
      <c r="B471" s="38" t="s">
        <v>3553</v>
      </c>
      <c r="C471" s="38" t="s">
        <v>1158</v>
      </c>
      <c r="D471" s="39" t="s">
        <v>1159</v>
      </c>
      <c r="E471" s="38" t="s">
        <v>3172</v>
      </c>
      <c r="F471" s="40"/>
      <c r="G471" s="40"/>
      <c r="H471" s="41" t="str">
        <f>VLOOKUP(C471,Stores!$A$200:$G$1118,3,0)</f>
        <v>Opened Stores</v>
      </c>
      <c r="I471" s="41" t="str">
        <f>VLOOKUP(C471,Stores!$A$200:$G$1118,4,0)</f>
        <v>Stage 7 - Installed</v>
      </c>
      <c r="J471" s="41" t="str">
        <f>VLOOKUP(C471,Stores!$A$200:$G$1118,5,0)</f>
        <v>ZKTECO</v>
      </c>
      <c r="K471" s="41" t="str">
        <f>VLOOKUP(C471,Stores!$A$200:$G$1118,6,0)</f>
        <v>A8N5221960159</v>
      </c>
      <c r="L471" s="41" t="str">
        <f>VLOOKUP(C471,Stores!$A$200:$G$1118,7,0)</f>
        <v>192.168.1.201</v>
      </c>
      <c r="M471" s="42" t="s">
        <v>3550</v>
      </c>
    </row>
    <row r="472">
      <c r="A472" s="38" t="s">
        <v>2962</v>
      </c>
      <c r="B472" s="38" t="s">
        <v>3554</v>
      </c>
      <c r="C472" s="38" t="s">
        <v>2333</v>
      </c>
      <c r="D472" s="39" t="s">
        <v>3555</v>
      </c>
      <c r="E472" s="38" t="s">
        <v>3172</v>
      </c>
      <c r="F472" s="40"/>
      <c r="G472" s="40"/>
      <c r="H472" s="41" t="str">
        <f>VLOOKUP(C472,Stores!$A$200:$G$1118,3,0)</f>
        <v>Opened Stores</v>
      </c>
      <c r="I472" s="41" t="str">
        <f>VLOOKUP(C472,Stores!$A$200:$G$1118,4,0)</f>
        <v>Stage 7 - Installed</v>
      </c>
      <c r="J472" s="41" t="str">
        <f>VLOOKUP(C472,Stores!$A$200:$G$1118,5,0)</f>
        <v>ZKTECO</v>
      </c>
      <c r="K472" s="41" t="str">
        <f>VLOOKUP(C472,Stores!$A$200:$G$1118,6,0)</f>
        <v>ZKM6245100259</v>
      </c>
      <c r="L472" s="41" t="str">
        <f>VLOOKUP(C472,Stores!$A$200:$G$1118,7,0)</f>
        <v>192.168.1.201</v>
      </c>
      <c r="M472" s="42" t="s">
        <v>3550</v>
      </c>
    </row>
    <row r="473">
      <c r="A473" s="38" t="s">
        <v>2962</v>
      </c>
      <c r="B473" s="38" t="s">
        <v>3556</v>
      </c>
      <c r="C473" s="38" t="s">
        <v>2147</v>
      </c>
      <c r="D473" s="39" t="s">
        <v>2148</v>
      </c>
      <c r="E473" s="38" t="s">
        <v>3172</v>
      </c>
      <c r="F473" s="40"/>
      <c r="G473" s="40"/>
      <c r="H473" s="41" t="str">
        <f>VLOOKUP(C473,Stores!$A$200:$G$1118,3,0)</f>
        <v>Opened Stores</v>
      </c>
      <c r="I473" s="41" t="str">
        <f>VLOOKUP(C473,Stores!$A$200:$G$1118,4,0)</f>
        <v>Stage 7 - Installed</v>
      </c>
      <c r="J473" s="41" t="str">
        <f>VLOOKUP(C473,Stores!$A$200:$G$1118,5,0)</f>
        <v>ZKTECO</v>
      </c>
      <c r="K473" s="41" t="str">
        <f>VLOOKUP(C473,Stores!$A$200:$G$1118,6,0)</f>
        <v>CQUJ233560176</v>
      </c>
      <c r="L473" s="41" t="str">
        <f>VLOOKUP(C473,Stores!$A$200:$G$1118,7,0)</f>
        <v>192.168.1.201</v>
      </c>
      <c r="M473" s="42" t="s">
        <v>3550</v>
      </c>
    </row>
    <row r="474">
      <c r="A474" s="38" t="s">
        <v>2962</v>
      </c>
      <c r="B474" s="38" t="s">
        <v>3557</v>
      </c>
      <c r="C474" s="38" t="s">
        <v>1252</v>
      </c>
      <c r="D474" s="39" t="s">
        <v>1253</v>
      </c>
      <c r="E474" s="38" t="s">
        <v>3172</v>
      </c>
      <c r="F474" s="40"/>
      <c r="G474" s="40"/>
      <c r="H474" s="41" t="str">
        <f>VLOOKUP(C474,Stores!$A$200:$G$1118,3,0)</f>
        <v>Opened Stores</v>
      </c>
      <c r="I474" s="41" t="str">
        <f>VLOOKUP(C474,Stores!$A$200:$G$1118,4,0)</f>
        <v>Stage 7 - Installed</v>
      </c>
      <c r="J474" s="41" t="str">
        <f>VLOOKUP(C474,Stores!$A$200:$G$1118,5,0)</f>
        <v>ZKTECO</v>
      </c>
      <c r="K474" s="41" t="str">
        <f>VLOOKUP(C474,Stores!$A$200:$G$1118,6,0)</f>
        <v>AKDG012351683</v>
      </c>
      <c r="L474" s="41" t="str">
        <f>VLOOKUP(C474,Stores!$A$200:$G$1118,7,0)</f>
        <v>192.168.1.201</v>
      </c>
      <c r="M474" s="42" t="s">
        <v>3550</v>
      </c>
    </row>
    <row r="475">
      <c r="A475" s="38" t="s">
        <v>2962</v>
      </c>
      <c r="B475" s="38" t="s">
        <v>3558</v>
      </c>
      <c r="C475" s="38" t="s">
        <v>711</v>
      </c>
      <c r="D475" s="39" t="s">
        <v>712</v>
      </c>
      <c r="E475" s="38" t="s">
        <v>3172</v>
      </c>
      <c r="F475" s="40"/>
      <c r="G475" s="40"/>
      <c r="H475" s="41" t="str">
        <f>VLOOKUP(C475,Stores!$A$200:$G$1118,3,0)</f>
        <v>Opened Stores</v>
      </c>
      <c r="I475" s="41" t="str">
        <f>VLOOKUP(C475,Stores!$A$200:$G$1118,4,0)</f>
        <v>Stage 7 - Installed</v>
      </c>
      <c r="J475" s="41" t="str">
        <f>VLOOKUP(C475,Stores!$A$200:$G$1118,5,0)</f>
        <v>ZKTECO</v>
      </c>
      <c r="K475" s="41" t="str">
        <f>VLOOKUP(C475,Stores!$A$200:$G$1118,6,0)</f>
        <v>PAS4252900191</v>
      </c>
      <c r="L475" s="41" t="str">
        <f>VLOOKUP(C475,Stores!$A$200:$G$1118,7,0)</f>
        <v>192.168.1.201</v>
      </c>
      <c r="M475" s="42" t="s">
        <v>3550</v>
      </c>
    </row>
    <row r="476">
      <c r="A476" s="38" t="s">
        <v>2962</v>
      </c>
      <c r="B476" s="38" t="s">
        <v>3559</v>
      </c>
      <c r="C476" s="38" t="s">
        <v>1677</v>
      </c>
      <c r="D476" s="39" t="s">
        <v>1678</v>
      </c>
      <c r="E476" s="38" t="s">
        <v>3172</v>
      </c>
      <c r="F476" s="40"/>
      <c r="G476" s="40"/>
      <c r="H476" s="41" t="str">
        <f>VLOOKUP(C476,Stores!$A$200:$G$1118,3,0)</f>
        <v>Opened Stores</v>
      </c>
      <c r="I476" s="41" t="str">
        <f>VLOOKUP(C476,Stores!$A$200:$G$1118,4,0)</f>
        <v>Stage 7 - Installed</v>
      </c>
      <c r="J476" s="41" t="str">
        <f>VLOOKUP(C476,Stores!$A$200:$G$1118,5,0)</f>
        <v>ZKTECO</v>
      </c>
      <c r="K476" s="41" t="str">
        <f>VLOOKUP(C476,Stores!$A$200:$G$1118,6,0)</f>
        <v>AEYU082360202</v>
      </c>
      <c r="L476" s="41" t="str">
        <f>VLOOKUP(C476,Stores!$A$200:$G$1118,7,0)</f>
        <v>192.168.1.201</v>
      </c>
      <c r="M476" s="42" t="s">
        <v>3550</v>
      </c>
    </row>
    <row r="477">
      <c r="A477" s="38" t="s">
        <v>2962</v>
      </c>
      <c r="B477" s="38" t="s">
        <v>3560</v>
      </c>
      <c r="C477" s="38" t="s">
        <v>2405</v>
      </c>
      <c r="D477" s="39" t="s">
        <v>3561</v>
      </c>
      <c r="E477" s="38" t="s">
        <v>3172</v>
      </c>
      <c r="F477" s="40"/>
      <c r="G477" s="40"/>
      <c r="H477" s="41" t="str">
        <f>VLOOKUP(C477,Stores!$A$200:$G$1118,3,0)</f>
        <v>Opened Stores</v>
      </c>
      <c r="I477" s="41" t="str">
        <f>VLOOKUP(C477,Stores!$A$200:$G$1118,4,0)</f>
        <v>Stage 7 - Installed</v>
      </c>
      <c r="J477" s="41" t="str">
        <f>VLOOKUP(C477,Stores!$A$200:$G$1118,5,0)</f>
        <v>ZKTECO</v>
      </c>
      <c r="K477" s="41" t="str">
        <f>VLOOKUP(C477,Stores!$A$200:$G$1118,6,0)</f>
        <v>ZKM6245100088</v>
      </c>
      <c r="L477" s="41" t="str">
        <f>VLOOKUP(C477,Stores!$A$200:$G$1118,7,0)</f>
        <v>192.168.1.201</v>
      </c>
      <c r="M477" s="42" t="s">
        <v>3550</v>
      </c>
    </row>
    <row r="478">
      <c r="A478" s="38" t="s">
        <v>2962</v>
      </c>
      <c r="B478" s="38" t="s">
        <v>3562</v>
      </c>
      <c r="C478" s="38" t="s">
        <v>968</v>
      </c>
      <c r="D478" s="39" t="s">
        <v>969</v>
      </c>
      <c r="E478" s="38" t="s">
        <v>3172</v>
      </c>
      <c r="F478" s="40"/>
      <c r="G478" s="40"/>
      <c r="H478" s="41" t="str">
        <f>VLOOKUP(C478,Stores!$A$200:$G$1118,3,0)</f>
        <v>Opened Stores</v>
      </c>
      <c r="I478" s="41" t="str">
        <f>VLOOKUP(C478,Stores!$A$200:$G$1118,4,0)</f>
        <v>Stage 7 - Installed</v>
      </c>
      <c r="J478" s="41" t="str">
        <f>VLOOKUP(C478,Stores!$A$200:$G$1118,5,0)</f>
        <v>FINGERTEC</v>
      </c>
      <c r="K478" s="41">
        <f>VLOOKUP(C478,Stores!$A$200:$G$1118,6,0)</f>
        <v>7425864</v>
      </c>
      <c r="L478" s="41" t="str">
        <f>VLOOKUP(C478,Stores!$A$200:$G$1118,7,0)</f>
        <v>192.168.1.201</v>
      </c>
      <c r="M478" s="42" t="s">
        <v>3550</v>
      </c>
    </row>
    <row r="479">
      <c r="A479" s="38" t="s">
        <v>2962</v>
      </c>
      <c r="B479" s="38" t="s">
        <v>3563</v>
      </c>
      <c r="C479" s="38" t="s">
        <v>2526</v>
      </c>
      <c r="D479" s="39" t="s">
        <v>2527</v>
      </c>
      <c r="E479" s="38" t="s">
        <v>3172</v>
      </c>
      <c r="F479" s="40"/>
      <c r="G479" s="40"/>
      <c r="H479" s="41" t="str">
        <f>VLOOKUP(C479,Stores!$A$200:$G$1118,3,0)</f>
        <v>Opened Stores</v>
      </c>
      <c r="I479" s="41" t="str">
        <f>VLOOKUP(C479,Stores!$A$200:$G$1118,4,0)</f>
        <v>Stage 7 - Installed</v>
      </c>
      <c r="J479" s="41" t="str">
        <f>VLOOKUP(C479,Stores!$A$200:$G$1118,5,0)</f>
        <v>ZKTECO</v>
      </c>
      <c r="K479" s="41" t="str">
        <f>VLOOKUP(C479,Stores!$A$200:$G$1118,6,0)</f>
        <v>ZKM6251700341</v>
      </c>
      <c r="L479" s="41" t="str">
        <f>VLOOKUP(C479,Stores!$A$200:$G$1118,7,0)</f>
        <v>192.168.1.201</v>
      </c>
      <c r="M479" s="42" t="s">
        <v>3550</v>
      </c>
    </row>
    <row r="480">
      <c r="A480" s="38" t="s">
        <v>2962</v>
      </c>
      <c r="B480" s="38" t="s">
        <v>3564</v>
      </c>
      <c r="C480" s="38" t="s">
        <v>2742</v>
      </c>
      <c r="D480" s="39" t="s">
        <v>2743</v>
      </c>
      <c r="E480" s="38" t="s">
        <v>3172</v>
      </c>
      <c r="F480" s="40"/>
      <c r="G480" s="40"/>
      <c r="H480" s="41" t="str">
        <f>VLOOKUP(C480,Stores!$A$200:$G$1118,3,0)</f>
        <v>Opened Stores</v>
      </c>
      <c r="I480" s="41" t="str">
        <f>VLOOKUP(C480,Stores!$A$200:$G$1118,4,0)</f>
        <v>Stage 7 - Installed</v>
      </c>
      <c r="J480" s="41" t="str">
        <f>VLOOKUP(C480,Stores!$A$200:$G$1118,5,0)</f>
        <v>ZKTECO</v>
      </c>
      <c r="K480" s="41" t="str">
        <f>VLOOKUP(C480,Stores!$A$200:$G$1118,6,0)</f>
        <v>ZKM6251700028</v>
      </c>
      <c r="L480" s="41" t="str">
        <f>VLOOKUP(C480,Stores!$A$200:$G$1118,7,0)</f>
        <v>192.168.1.201</v>
      </c>
      <c r="M480" s="42" t="s">
        <v>3550</v>
      </c>
    </row>
    <row r="481">
      <c r="A481" s="38" t="s">
        <v>2962</v>
      </c>
      <c r="B481" s="38" t="s">
        <v>3565</v>
      </c>
      <c r="C481" s="38" t="s">
        <v>961</v>
      </c>
      <c r="D481" s="39" t="s">
        <v>962</v>
      </c>
      <c r="E481" s="38" t="s">
        <v>3172</v>
      </c>
      <c r="F481" s="40"/>
      <c r="G481" s="40"/>
      <c r="H481" s="41" t="str">
        <f>VLOOKUP(C481,Stores!$A$200:$G$1118,3,0)</f>
        <v>Opened Stores</v>
      </c>
      <c r="I481" s="41" t="str">
        <f>VLOOKUP(C481,Stores!$A$200:$G$1118,4,0)</f>
        <v>Stage 7 - Installed</v>
      </c>
      <c r="J481" s="41" t="str">
        <f>VLOOKUP(C481,Stores!$A$200:$G$1118,5,0)</f>
        <v>FINGERTEC</v>
      </c>
      <c r="K481" s="41">
        <f>VLOOKUP(C481,Stores!$A$200:$G$1118,6,0)</f>
        <v>7425879</v>
      </c>
      <c r="L481" s="41" t="str">
        <f>VLOOKUP(C481,Stores!$A$200:$G$1118,7,0)</f>
        <v>192.168.1.201</v>
      </c>
      <c r="M481" s="42" t="s">
        <v>3550</v>
      </c>
    </row>
    <row r="482">
      <c r="A482" s="38" t="s">
        <v>2962</v>
      </c>
      <c r="B482" s="38" t="s">
        <v>3566</v>
      </c>
      <c r="C482" s="38" t="s">
        <v>659</v>
      </c>
      <c r="D482" s="39" t="s">
        <v>660</v>
      </c>
      <c r="E482" s="38" t="s">
        <v>3172</v>
      </c>
      <c r="F482" s="40"/>
      <c r="G482" s="40"/>
      <c r="H482" s="41" t="str">
        <f>VLOOKUP(C482,Stores!$A$200:$G$1118,3,0)</f>
        <v>Opened Stores</v>
      </c>
      <c r="I482" s="41" t="str">
        <f>VLOOKUP(C482,Stores!$A$200:$G$1118,4,0)</f>
        <v>Stage 7 - Installed</v>
      </c>
      <c r="J482" s="41" t="str">
        <f>VLOOKUP(C482,Stores!$A$200:$G$1118,5,0)</f>
        <v>FINGERTEC</v>
      </c>
      <c r="K482" s="41">
        <f>VLOOKUP(C482,Stores!$A$200:$G$1118,6,0)</f>
        <v>7422140</v>
      </c>
      <c r="L482" s="41" t="str">
        <f>VLOOKUP(C482,Stores!$A$200:$G$1118,7,0)</f>
        <v>192.168.1.201</v>
      </c>
      <c r="M482" s="42" t="s">
        <v>3550</v>
      </c>
    </row>
    <row r="483">
      <c r="A483" s="38" t="s">
        <v>2962</v>
      </c>
      <c r="B483" s="38" t="s">
        <v>3567</v>
      </c>
      <c r="C483" s="38" t="s">
        <v>1892</v>
      </c>
      <c r="D483" s="39" t="s">
        <v>1893</v>
      </c>
      <c r="E483" s="38" t="s">
        <v>3172</v>
      </c>
      <c r="F483" s="40"/>
      <c r="G483" s="40"/>
      <c r="H483" s="41" t="str">
        <f>VLOOKUP(C483,Stores!$A$200:$G$1118,3,0)</f>
        <v>Opened Stores</v>
      </c>
      <c r="I483" s="41" t="str">
        <f>VLOOKUP(C483,Stores!$A$200:$G$1118,4,0)</f>
        <v>Stage 7 - Installed</v>
      </c>
      <c r="J483" s="41" t="str">
        <f>VLOOKUP(C483,Stores!$A$200:$G$1118,5,0)</f>
        <v>ZKTECO</v>
      </c>
      <c r="K483" s="41" t="str">
        <f>VLOOKUP(C483,Stores!$A$200:$G$1118,6,0)</f>
        <v>CQUJ233561504</v>
      </c>
      <c r="L483" s="41" t="str">
        <f>VLOOKUP(C483,Stores!$A$200:$G$1118,7,0)</f>
        <v>192.168.1.201</v>
      </c>
      <c r="M483" s="42" t="s">
        <v>3550</v>
      </c>
    </row>
    <row r="484">
      <c r="A484" s="38" t="s">
        <v>2962</v>
      </c>
      <c r="B484" s="38" t="s">
        <v>3568</v>
      </c>
      <c r="C484" s="38" t="s">
        <v>1027</v>
      </c>
      <c r="D484" s="39" t="s">
        <v>1028</v>
      </c>
      <c r="E484" s="38" t="s">
        <v>3172</v>
      </c>
      <c r="F484" s="40"/>
      <c r="G484" s="40"/>
      <c r="H484" s="41" t="str">
        <f>VLOOKUP(C484,Stores!$A$200:$G$1118,3,0)</f>
        <v>Opened Stores</v>
      </c>
      <c r="I484" s="41" t="str">
        <f>VLOOKUP(C484,Stores!$A$200:$G$1118,4,0)</f>
        <v>Stage 7 - Installed</v>
      </c>
      <c r="J484" s="41" t="str">
        <f>VLOOKUP(C484,Stores!$A$200:$G$1118,5,0)</f>
        <v>ZKTECO</v>
      </c>
      <c r="K484" s="41" t="str">
        <f>VLOOKUP(C484,Stores!$A$200:$G$1118,6,0)</f>
        <v>A8N5221860551</v>
      </c>
      <c r="L484" s="41" t="str">
        <f>VLOOKUP(C484,Stores!$A$200:$G$1118,7,0)</f>
        <v>192.168.1.201</v>
      </c>
      <c r="M484" s="42" t="s">
        <v>3550</v>
      </c>
    </row>
    <row r="485">
      <c r="A485" s="38" t="s">
        <v>2962</v>
      </c>
      <c r="B485" s="38" t="s">
        <v>3569</v>
      </c>
      <c r="C485" s="38" t="s">
        <v>955</v>
      </c>
      <c r="D485" s="39" t="s">
        <v>956</v>
      </c>
      <c r="E485" s="38" t="s">
        <v>3172</v>
      </c>
      <c r="F485" s="40"/>
      <c r="G485" s="40"/>
      <c r="H485" s="41" t="str">
        <f>VLOOKUP(C485,Stores!$A$200:$G$1118,3,0)</f>
        <v>Opened Stores</v>
      </c>
      <c r="I485" s="41" t="str">
        <f>VLOOKUP(C485,Stores!$A$200:$G$1118,4,0)</f>
        <v>Stage 7 - Installed</v>
      </c>
      <c r="J485" s="41" t="str">
        <f>VLOOKUP(C485,Stores!$A$200:$G$1118,5,0)</f>
        <v>FINGERTEC</v>
      </c>
      <c r="K485" s="41">
        <f>VLOOKUP(C485,Stores!$A$200:$G$1118,6,0)</f>
        <v>7425853</v>
      </c>
      <c r="L485" s="41" t="str">
        <f>VLOOKUP(C485,Stores!$A$200:$G$1118,7,0)</f>
        <v>192.168.1.201</v>
      </c>
      <c r="M485" s="42" t="s">
        <v>3550</v>
      </c>
    </row>
    <row r="486">
      <c r="A486" s="38" t="s">
        <v>2962</v>
      </c>
      <c r="B486" s="38" t="s">
        <v>3570</v>
      </c>
      <c r="C486" s="38" t="s">
        <v>2254</v>
      </c>
      <c r="D486" s="39" t="s">
        <v>3571</v>
      </c>
      <c r="E486" s="38" t="s">
        <v>3172</v>
      </c>
      <c r="F486" s="40"/>
      <c r="G486" s="40"/>
      <c r="H486" s="41" t="str">
        <f>VLOOKUP(C486,Stores!$A$200:$G$1118,3,0)</f>
        <v>Opened Stores</v>
      </c>
      <c r="I486" s="41" t="str">
        <f>VLOOKUP(C486,Stores!$A$200:$G$1118,4,0)</f>
        <v>Stage 7 - Installed</v>
      </c>
      <c r="J486" s="41" t="str">
        <f>VLOOKUP(C486,Stores!$A$200:$G$1118,5,0)</f>
        <v>ZKTECO</v>
      </c>
      <c r="K486" s="41" t="str">
        <f>VLOOKUP(C486,Stores!$A$200:$G$1118,6,0)</f>
        <v>CQUJ233560096</v>
      </c>
      <c r="L486" s="41" t="str">
        <f>VLOOKUP(C486,Stores!$A$200:$G$1118,7,0)</f>
        <v>192.168.1.201</v>
      </c>
      <c r="M486" s="42" t="s">
        <v>3550</v>
      </c>
    </row>
    <row r="487">
      <c r="A487" s="38" t="s">
        <v>2962</v>
      </c>
      <c r="B487" s="38" t="s">
        <v>3572</v>
      </c>
      <c r="C487" s="38" t="s">
        <v>2614</v>
      </c>
      <c r="D487" s="39" t="s">
        <v>2615</v>
      </c>
      <c r="E487" s="38" t="s">
        <v>3172</v>
      </c>
      <c r="F487" s="40"/>
      <c r="G487" s="40"/>
      <c r="H487" s="41" t="str">
        <f>VLOOKUP(C487,Stores!$A$200:$G$1118,3,0)</f>
        <v>Opened Stores</v>
      </c>
      <c r="I487" s="41" t="str">
        <f>VLOOKUP(C487,Stores!$A$200:$G$1118,4,0)</f>
        <v>Stage 7 - Installed</v>
      </c>
      <c r="J487" s="41" t="str">
        <f>VLOOKUP(C487,Stores!$A$200:$G$1118,5,0)</f>
        <v>ZKTECO</v>
      </c>
      <c r="K487" s="41" t="str">
        <f>VLOOKUP(C487,Stores!$A$200:$G$1118,6,0)</f>
        <v>ZKM6251500057</v>
      </c>
      <c r="L487" s="41" t="str">
        <f>VLOOKUP(C487,Stores!$A$200:$G$1118,7,0)</f>
        <v>192.168.1.201</v>
      </c>
      <c r="M487" s="42" t="s">
        <v>3550</v>
      </c>
    </row>
    <row r="488">
      <c r="A488" s="38" t="s">
        <v>2962</v>
      </c>
      <c r="B488" s="38" t="s">
        <v>3573</v>
      </c>
      <c r="C488" s="38" t="s">
        <v>997</v>
      </c>
      <c r="D488" s="39" t="s">
        <v>998</v>
      </c>
      <c r="E488" s="38" t="s">
        <v>3172</v>
      </c>
      <c r="F488" s="40"/>
      <c r="G488" s="40"/>
      <c r="H488" s="41" t="str">
        <f>VLOOKUP(C488,Stores!$A$200:$G$1118,3,0)</f>
        <v>Opened Stores</v>
      </c>
      <c r="I488" s="41" t="str">
        <f>VLOOKUP(C488,Stores!$A$200:$G$1118,4,0)</f>
        <v>Stage 7 - Installed</v>
      </c>
      <c r="J488" s="41" t="str">
        <f>VLOOKUP(C488,Stores!$A$200:$G$1118,5,0)</f>
        <v>ZKTECO</v>
      </c>
      <c r="K488" s="41" t="str">
        <f>VLOOKUP(C488,Stores!$A$200:$G$1118,6,0)</f>
        <v>A8N5221960186</v>
      </c>
      <c r="L488" s="41" t="str">
        <f>VLOOKUP(C488,Stores!$A$200:$G$1118,7,0)</f>
        <v>192.168.1.201</v>
      </c>
      <c r="M488" s="42" t="s">
        <v>3550</v>
      </c>
    </row>
    <row r="489">
      <c r="A489" s="38" t="s">
        <v>2962</v>
      </c>
      <c r="B489" s="38" t="s">
        <v>3574</v>
      </c>
      <c r="C489" s="38" t="s">
        <v>1433</v>
      </c>
      <c r="D489" s="39" t="s">
        <v>1434</v>
      </c>
      <c r="E489" s="38" t="s">
        <v>3172</v>
      </c>
      <c r="F489" s="40"/>
      <c r="G489" s="40"/>
      <c r="H489" s="41" t="str">
        <f>VLOOKUP(C489,Stores!$A$200:$G$1118,3,0)</f>
        <v>Opened Stores</v>
      </c>
      <c r="I489" s="41" t="str">
        <f>VLOOKUP(C489,Stores!$A$200:$G$1118,4,0)</f>
        <v>Stage 7 - Installed</v>
      </c>
      <c r="J489" s="41" t="str">
        <f>VLOOKUP(C489,Stores!$A$200:$G$1118,5,0)</f>
        <v>ZKTECO</v>
      </c>
      <c r="K489" s="41" t="str">
        <f>VLOOKUP(C489,Stores!$A$200:$G$1118,6,0)</f>
        <v>PAS4252900219</v>
      </c>
      <c r="L489" s="41" t="str">
        <f>VLOOKUP(C489,Stores!$A$200:$G$1118,7,0)</f>
        <v>192.168.1.201</v>
      </c>
      <c r="M489" s="42" t="s">
        <v>3550</v>
      </c>
    </row>
    <row r="490">
      <c r="A490" s="38" t="s">
        <v>2962</v>
      </c>
      <c r="B490" s="38" t="s">
        <v>3575</v>
      </c>
      <c r="C490" s="38" t="s">
        <v>2688</v>
      </c>
      <c r="D490" s="39" t="s">
        <v>2689</v>
      </c>
      <c r="E490" s="38" t="s">
        <v>3172</v>
      </c>
      <c r="F490" s="40"/>
      <c r="G490" s="40"/>
      <c r="H490" s="41" t="str">
        <f>VLOOKUP(C490,Stores!$A$200:$G$1118,3,0)</f>
        <v>Opened Stores</v>
      </c>
      <c r="I490" s="41" t="str">
        <f>VLOOKUP(C490,Stores!$A$200:$G$1118,4,0)</f>
        <v>Stage 7 - Installed</v>
      </c>
      <c r="J490" s="41" t="str">
        <f>VLOOKUP(C490,Stores!$A$200:$G$1118,5,0)</f>
        <v>ZKTECO</v>
      </c>
      <c r="K490" s="41" t="str">
        <f>VLOOKUP(C490,Stores!$A$200:$G$1118,6,0)</f>
        <v>ZKM6251500286</v>
      </c>
      <c r="L490" s="41" t="str">
        <f>VLOOKUP(C490,Stores!$A$200:$G$1118,7,0)</f>
        <v>192.168.1.201</v>
      </c>
      <c r="M490" s="42" t="s">
        <v>3550</v>
      </c>
    </row>
    <row r="491">
      <c r="A491" s="38" t="s">
        <v>2962</v>
      </c>
      <c r="B491" s="38" t="s">
        <v>3576</v>
      </c>
      <c r="C491" s="38" t="s">
        <v>2330</v>
      </c>
      <c r="D491" s="39" t="s">
        <v>2331</v>
      </c>
      <c r="E491" s="38" t="s">
        <v>3172</v>
      </c>
      <c r="F491" s="40"/>
      <c r="G491" s="40"/>
      <c r="H491" s="41" t="str">
        <f>VLOOKUP(C491,Stores!$A$200:$G$1118,3,0)</f>
        <v>Opened Stores</v>
      </c>
      <c r="I491" s="41" t="str">
        <f>VLOOKUP(C491,Stores!$A$200:$G$1118,4,0)</f>
        <v>Stage 7 - Installed</v>
      </c>
      <c r="J491" s="41" t="str">
        <f>VLOOKUP(C491,Stores!$A$200:$G$1118,5,0)</f>
        <v>ZKTECO</v>
      </c>
      <c r="K491" s="41" t="str">
        <f>VLOOKUP(C491,Stores!$A$200:$G$1118,6,0)</f>
        <v>ZKM6245100275</v>
      </c>
      <c r="L491" s="41" t="str">
        <f>VLOOKUP(C491,Stores!$A$200:$G$1118,7,0)</f>
        <v>192.168.1.201</v>
      </c>
      <c r="M491" s="42" t="s">
        <v>3550</v>
      </c>
    </row>
    <row r="492">
      <c r="A492" s="38" t="s">
        <v>2962</v>
      </c>
      <c r="B492" s="38" t="s">
        <v>3577</v>
      </c>
      <c r="C492" s="38" t="s">
        <v>2772</v>
      </c>
      <c r="D492" s="39" t="s">
        <v>3578</v>
      </c>
      <c r="E492" s="38" t="s">
        <v>3172</v>
      </c>
      <c r="F492" s="40"/>
      <c r="G492" s="40"/>
      <c r="H492" s="41" t="str">
        <f>VLOOKUP(C492,Stores!$A$200:$G$1118,3,0)</f>
        <v>Opened Stores</v>
      </c>
      <c r="I492" s="41" t="str">
        <f>VLOOKUP(C492,Stores!$A$200:$G$1118,4,0)</f>
        <v>Stage 7 - Installed</v>
      </c>
      <c r="J492" s="41" t="str">
        <f>VLOOKUP(C492,Stores!$A$200:$G$1118,5,0)</f>
        <v>ZKTECO</v>
      </c>
      <c r="K492" s="41" t="str">
        <f>VLOOKUP(C492,Stores!$A$200:$G$1118,6,0)</f>
        <v>PAS4252900105</v>
      </c>
      <c r="L492" s="41" t="str">
        <f>VLOOKUP(C492,Stores!$A$200:$G$1118,7,0)</f>
        <v>192.168.1.201</v>
      </c>
      <c r="M492" s="42" t="s">
        <v>3550</v>
      </c>
    </row>
    <row r="493">
      <c r="A493" s="38" t="s">
        <v>2962</v>
      </c>
      <c r="B493" s="38" t="s">
        <v>3579</v>
      </c>
      <c r="C493" s="38" t="s">
        <v>827</v>
      </c>
      <c r="D493" s="39" t="s">
        <v>828</v>
      </c>
      <c r="E493" s="38" t="s">
        <v>3172</v>
      </c>
      <c r="F493" s="40"/>
      <c r="G493" s="40"/>
      <c r="H493" s="41" t="str">
        <f>VLOOKUP(C493,Stores!$A$200:$G$1118,3,0)</f>
        <v>Opened Stores</v>
      </c>
      <c r="I493" s="41" t="str">
        <f>VLOOKUP(C493,Stores!$A$200:$G$1118,4,0)</f>
        <v>Stage 7 - Installed</v>
      </c>
      <c r="J493" s="41" t="str">
        <f>VLOOKUP(C493,Stores!$A$200:$G$1118,5,0)</f>
        <v>FINGERTEC</v>
      </c>
      <c r="K493" s="41">
        <f>VLOOKUP(C493,Stores!$A$200:$G$1118,6,0)</f>
        <v>7425656</v>
      </c>
      <c r="L493" s="41" t="str">
        <f>VLOOKUP(C493,Stores!$A$200:$G$1118,7,0)</f>
        <v>192.168.1.201</v>
      </c>
      <c r="M493" s="42" t="s">
        <v>3550</v>
      </c>
    </row>
    <row r="494">
      <c r="A494" s="38" t="s">
        <v>2962</v>
      </c>
      <c r="B494" s="38" t="s">
        <v>3580</v>
      </c>
      <c r="C494" s="38" t="s">
        <v>313</v>
      </c>
      <c r="D494" s="39" t="s">
        <v>314</v>
      </c>
      <c r="E494" s="38" t="s">
        <v>3172</v>
      </c>
      <c r="F494" s="40"/>
      <c r="G494" s="40"/>
      <c r="H494" s="41" t="str">
        <f>VLOOKUP(C494,Stores!$A$200:$G$1118,3,0)</f>
        <v>Opened Stores</v>
      </c>
      <c r="I494" s="41" t="str">
        <f>VLOOKUP(C494,Stores!$A$200:$G$1118,4,0)</f>
        <v>Stage 7 - Installed</v>
      </c>
      <c r="J494" s="41" t="str">
        <f>VLOOKUP(C494,Stores!$A$200:$G$1118,5,0)</f>
        <v>ZKTECO</v>
      </c>
      <c r="K494" s="41" t="str">
        <f>VLOOKUP(C494,Stores!$A$200:$G$1118,6,0)</f>
        <v>ZKM6251400117</v>
      </c>
      <c r="L494" s="41" t="str">
        <f>VLOOKUP(C494,Stores!$A$200:$G$1118,7,0)</f>
        <v>192.168.1.201</v>
      </c>
      <c r="M494" s="42" t="s">
        <v>3550</v>
      </c>
    </row>
    <row r="495">
      <c r="A495" s="38" t="s">
        <v>2962</v>
      </c>
      <c r="B495" s="38" t="s">
        <v>3581</v>
      </c>
      <c r="C495" s="38" t="s">
        <v>1487</v>
      </c>
      <c r="D495" s="39" t="s">
        <v>1488</v>
      </c>
      <c r="E495" s="38" t="s">
        <v>3172</v>
      </c>
      <c r="F495" s="40"/>
      <c r="G495" s="40"/>
      <c r="H495" s="41" t="str">
        <f>VLOOKUP(C495,Stores!$A$200:$G$1118,3,0)</f>
        <v>Opened Stores</v>
      </c>
      <c r="I495" s="41" t="str">
        <f>VLOOKUP(C495,Stores!$A$200:$G$1118,4,0)</f>
        <v>Stage 7 - Installed</v>
      </c>
      <c r="J495" s="41" t="str">
        <f>VLOOKUP(C495,Stores!$A$200:$G$1118,5,0)</f>
        <v>ZKTECO</v>
      </c>
      <c r="K495" s="41" t="str">
        <f>VLOOKUP(C495,Stores!$A$200:$G$1118,6,0)</f>
        <v>AEYU082360259</v>
      </c>
      <c r="L495" s="41" t="str">
        <f>VLOOKUP(C495,Stores!$A$200:$G$1118,7,0)</f>
        <v>192.168.1.201</v>
      </c>
      <c r="M495" s="42" t="s">
        <v>3550</v>
      </c>
    </row>
    <row r="496">
      <c r="A496" s="38" t="s">
        <v>2962</v>
      </c>
      <c r="B496" s="38" t="s">
        <v>3582</v>
      </c>
      <c r="C496" s="38" t="s">
        <v>876</v>
      </c>
      <c r="D496" s="39" t="s">
        <v>877</v>
      </c>
      <c r="E496" s="38" t="s">
        <v>3172</v>
      </c>
      <c r="F496" s="40"/>
      <c r="G496" s="40"/>
      <c r="H496" s="41" t="str">
        <f>VLOOKUP(C496,Stores!$A$200:$G$1118,3,0)</f>
        <v>Opened Stores</v>
      </c>
      <c r="I496" s="41" t="str">
        <f>VLOOKUP(C496,Stores!$A$200:$G$1118,4,0)</f>
        <v>Stage 7 - Installed</v>
      </c>
      <c r="J496" s="41" t="str">
        <f>VLOOKUP(C496,Stores!$A$200:$G$1118,5,0)</f>
        <v>FINGERTEC</v>
      </c>
      <c r="K496" s="41">
        <f>VLOOKUP(C496,Stores!$A$200:$G$1118,6,0)</f>
        <v>7425676</v>
      </c>
      <c r="L496" s="41" t="str">
        <f>VLOOKUP(C496,Stores!$A$200:$G$1118,7,0)</f>
        <v>192.168.1.201</v>
      </c>
      <c r="M496" s="42" t="s">
        <v>3550</v>
      </c>
    </row>
    <row r="497">
      <c r="A497" s="38" t="s">
        <v>2962</v>
      </c>
      <c r="B497" s="38" t="s">
        <v>3583</v>
      </c>
      <c r="C497" s="38" t="s">
        <v>1312</v>
      </c>
      <c r="D497" s="39" t="s">
        <v>1313</v>
      </c>
      <c r="E497" s="38" t="s">
        <v>3172</v>
      </c>
      <c r="F497" s="40"/>
      <c r="G497" s="40"/>
      <c r="H497" s="41" t="str">
        <f>VLOOKUP(C497,Stores!$A$200:$G$1118,3,0)</f>
        <v>Opened Stores</v>
      </c>
      <c r="I497" s="41" t="str">
        <f>VLOOKUP(C497,Stores!$A$200:$G$1118,4,0)</f>
        <v>Stage 7 - Installed</v>
      </c>
      <c r="J497" s="41" t="str">
        <f>VLOOKUP(C497,Stores!$A$200:$G$1118,5,0)</f>
        <v>ZKTECO</v>
      </c>
      <c r="K497" s="41" t="str">
        <f>VLOOKUP(C497,Stores!$A$200:$G$1118,6,0)</f>
        <v>CMZG122250772</v>
      </c>
      <c r="L497" s="41" t="str">
        <f>VLOOKUP(C497,Stores!$A$200:$G$1118,7,0)</f>
        <v>192.168.1.201</v>
      </c>
      <c r="M497" s="42" t="s">
        <v>3550</v>
      </c>
    </row>
    <row r="498">
      <c r="A498" s="38" t="s">
        <v>2962</v>
      </c>
      <c r="B498" s="38" t="s">
        <v>3584</v>
      </c>
      <c r="C498" s="38" t="s">
        <v>1095</v>
      </c>
      <c r="D498" s="39" t="s">
        <v>1096</v>
      </c>
      <c r="E498" s="38" t="s">
        <v>3172</v>
      </c>
      <c r="F498" s="40"/>
      <c r="G498" s="40"/>
      <c r="H498" s="41" t="str">
        <f>VLOOKUP(C498,Stores!$A$200:$G$1118,3,0)</f>
        <v>Opened Stores</v>
      </c>
      <c r="I498" s="41" t="str">
        <f>VLOOKUP(C498,Stores!$A$200:$G$1118,4,0)</f>
        <v>Stage 7 - Installed</v>
      </c>
      <c r="J498" s="41" t="str">
        <f>VLOOKUP(C498,Stores!$A$200:$G$1118,5,0)</f>
        <v>ZKTECO</v>
      </c>
      <c r="K498" s="41" t="str">
        <f>VLOOKUP(C498,Stores!$A$200:$G$1118,6,0)</f>
        <v>A8N5221960173</v>
      </c>
      <c r="L498" s="41" t="str">
        <f>VLOOKUP(C498,Stores!$A$200:$G$1118,7,0)</f>
        <v>192.168.1.201</v>
      </c>
      <c r="M498" s="42" t="s">
        <v>3550</v>
      </c>
    </row>
    <row r="499">
      <c r="A499" s="38" t="s">
        <v>2962</v>
      </c>
      <c r="B499" s="38" t="s">
        <v>3585</v>
      </c>
      <c r="C499" s="38" t="s">
        <v>767</v>
      </c>
      <c r="D499" s="39" t="s">
        <v>768</v>
      </c>
      <c r="E499" s="38" t="s">
        <v>3172</v>
      </c>
      <c r="F499" s="40"/>
      <c r="G499" s="40"/>
      <c r="H499" s="41" t="str">
        <f>VLOOKUP(C499,Stores!$A$200:$G$1118,3,0)</f>
        <v>Opened Stores</v>
      </c>
      <c r="I499" s="41" t="str">
        <f>VLOOKUP(C499,Stores!$A$200:$G$1118,4,0)</f>
        <v>Stage 7 - Installed</v>
      </c>
      <c r="J499" s="41" t="str">
        <f>VLOOKUP(C499,Stores!$A$200:$G$1118,5,0)</f>
        <v>FINGERTEC</v>
      </c>
      <c r="K499" s="41">
        <f>VLOOKUP(C499,Stores!$A$200:$G$1118,6,0)</f>
        <v>7425410</v>
      </c>
      <c r="L499" s="41" t="str">
        <f>VLOOKUP(C499,Stores!$A$200:$G$1118,7,0)</f>
        <v>192.168.1.201</v>
      </c>
      <c r="M499" s="42" t="s">
        <v>3550</v>
      </c>
    </row>
    <row r="500">
      <c r="A500" s="38" t="s">
        <v>2962</v>
      </c>
      <c r="B500" s="38" t="s">
        <v>3586</v>
      </c>
      <c r="C500" s="38" t="s">
        <v>1072</v>
      </c>
      <c r="D500" s="39" t="s">
        <v>1073</v>
      </c>
      <c r="E500" s="38" t="s">
        <v>3172</v>
      </c>
      <c r="F500" s="40"/>
      <c r="G500" s="40"/>
      <c r="H500" s="41" t="str">
        <f>VLOOKUP(C500,Stores!$A$200:$G$1118,3,0)</f>
        <v>Opened Stores</v>
      </c>
      <c r="I500" s="41" t="str">
        <f>VLOOKUP(C500,Stores!$A$200:$G$1118,4,0)</f>
        <v>Stage 7 - Installed</v>
      </c>
      <c r="J500" s="41" t="str">
        <f>VLOOKUP(C500,Stores!$A$200:$G$1118,5,0)</f>
        <v>ZKTECO</v>
      </c>
      <c r="K500" s="41" t="str">
        <f>VLOOKUP(C500,Stores!$A$200:$G$1118,6,0)</f>
        <v>A8N5221960323</v>
      </c>
      <c r="L500" s="41" t="str">
        <f>VLOOKUP(C500,Stores!$A$200:$G$1118,7,0)</f>
        <v>192.168.1.201</v>
      </c>
      <c r="M500" s="42" t="s">
        <v>3550</v>
      </c>
    </row>
    <row r="501">
      <c r="A501" s="38" t="s">
        <v>2962</v>
      </c>
      <c r="B501" s="38" t="s">
        <v>3587</v>
      </c>
      <c r="C501" s="38" t="s">
        <v>1167</v>
      </c>
      <c r="D501" s="39" t="s">
        <v>1168</v>
      </c>
      <c r="E501" s="38" t="s">
        <v>3172</v>
      </c>
      <c r="F501" s="40"/>
      <c r="G501" s="40"/>
      <c r="H501" s="41" t="str">
        <f>VLOOKUP(C501,Stores!$A$200:$G$1118,3,0)</f>
        <v>Opened Stores</v>
      </c>
      <c r="I501" s="41" t="str">
        <f>VLOOKUP(C501,Stores!$A$200:$G$1118,4,0)</f>
        <v>Stage 7 - Installed</v>
      </c>
      <c r="J501" s="41" t="str">
        <f>VLOOKUP(C501,Stores!$A$200:$G$1118,5,0)</f>
        <v>ZKTECO</v>
      </c>
      <c r="K501" s="41" t="str">
        <f>VLOOKUP(C501,Stores!$A$200:$G$1118,6,0)</f>
        <v>CMZG122250778</v>
      </c>
      <c r="L501" s="41" t="str">
        <f>VLOOKUP(C501,Stores!$A$200:$G$1118,7,0)</f>
        <v>192.168.1.201</v>
      </c>
      <c r="M501" s="42" t="s">
        <v>3550</v>
      </c>
    </row>
    <row r="502">
      <c r="A502" s="38" t="s">
        <v>2962</v>
      </c>
      <c r="B502" s="38" t="s">
        <v>3588</v>
      </c>
      <c r="C502" s="38" t="s">
        <v>749</v>
      </c>
      <c r="D502" s="39" t="s">
        <v>750</v>
      </c>
      <c r="E502" s="38" t="s">
        <v>3172</v>
      </c>
      <c r="F502" s="40"/>
      <c r="G502" s="40"/>
      <c r="H502" s="41" t="str">
        <f>VLOOKUP(C502,Stores!$A$200:$G$1118,3,0)</f>
        <v>Opened Stores</v>
      </c>
      <c r="I502" s="41" t="str">
        <f>VLOOKUP(C502,Stores!$A$200:$G$1118,4,0)</f>
        <v>Stage 7 - Installed</v>
      </c>
      <c r="J502" s="41" t="str">
        <f>VLOOKUP(C502,Stores!$A$200:$G$1118,5,0)</f>
        <v>FINGERTEC</v>
      </c>
      <c r="K502" s="41">
        <f>VLOOKUP(C502,Stores!$A$200:$G$1118,6,0)</f>
        <v>7424191</v>
      </c>
      <c r="L502" s="41" t="str">
        <f>VLOOKUP(C502,Stores!$A$200:$G$1118,7,0)</f>
        <v>192.168.1.201</v>
      </c>
      <c r="M502" s="42" t="s">
        <v>3550</v>
      </c>
    </row>
    <row r="503">
      <c r="A503" s="38" t="s">
        <v>2962</v>
      </c>
      <c r="B503" s="38" t="s">
        <v>3589</v>
      </c>
      <c r="C503" s="38" t="s">
        <v>1054</v>
      </c>
      <c r="D503" s="39" t="s">
        <v>1055</v>
      </c>
      <c r="E503" s="38" t="s">
        <v>3172</v>
      </c>
      <c r="F503" s="40"/>
      <c r="G503" s="40"/>
      <c r="H503" s="41" t="str">
        <f>VLOOKUP(C503,Stores!$A$200:$G$1118,3,0)</f>
        <v>Opened Stores</v>
      </c>
      <c r="I503" s="41" t="str">
        <f>VLOOKUP(C503,Stores!$A$200:$G$1118,4,0)</f>
        <v>Stage 7 - Installed</v>
      </c>
      <c r="J503" s="41" t="str">
        <f>VLOOKUP(C503,Stores!$A$200:$G$1118,5,0)</f>
        <v>ZKTECO</v>
      </c>
      <c r="K503" s="41" t="str">
        <f>VLOOKUP(C503,Stores!$A$200:$G$1118,6,0)</f>
        <v>A8N5221960251</v>
      </c>
      <c r="L503" s="41" t="str">
        <f>VLOOKUP(C503,Stores!$A$200:$G$1118,7,0)</f>
        <v>192.168.1.201</v>
      </c>
      <c r="M503" s="42" t="s">
        <v>3550</v>
      </c>
    </row>
    <row r="504">
      <c r="A504" s="38" t="s">
        <v>2962</v>
      </c>
      <c r="B504" s="38" t="s">
        <v>3590</v>
      </c>
      <c r="C504" s="38" t="s">
        <v>745</v>
      </c>
      <c r="D504" s="39" t="s">
        <v>746</v>
      </c>
      <c r="E504" s="38" t="s">
        <v>3172</v>
      </c>
      <c r="F504" s="40"/>
      <c r="G504" s="40"/>
      <c r="H504" s="41" t="str">
        <f>VLOOKUP(C504,Stores!$A$200:$G$1118,3,0)</f>
        <v>Opened Stores</v>
      </c>
      <c r="I504" s="41" t="str">
        <f>VLOOKUP(C504,Stores!$A$200:$G$1118,4,0)</f>
        <v>Stage 7 - Installed</v>
      </c>
      <c r="J504" s="41" t="str">
        <f>VLOOKUP(C504,Stores!$A$200:$G$1118,5,0)</f>
        <v>FINGERTEC</v>
      </c>
      <c r="K504" s="41">
        <f>VLOOKUP(C504,Stores!$A$200:$G$1118,6,0)</f>
        <v>7424165</v>
      </c>
      <c r="L504" s="41" t="str">
        <f>VLOOKUP(C504,Stores!$A$200:$G$1118,7,0)</f>
        <v>192.168.1.201</v>
      </c>
      <c r="M504" s="42" t="s">
        <v>3550</v>
      </c>
    </row>
    <row r="505">
      <c r="A505" s="38" t="s">
        <v>2962</v>
      </c>
      <c r="B505" s="38" t="s">
        <v>3591</v>
      </c>
      <c r="C505" s="38" t="s">
        <v>1249</v>
      </c>
      <c r="D505" s="39" t="s">
        <v>1250</v>
      </c>
      <c r="E505" s="38" t="s">
        <v>3172</v>
      </c>
      <c r="F505" s="40"/>
      <c r="G505" s="40"/>
      <c r="H505" s="41" t="str">
        <f>VLOOKUP(C505,Stores!$A$200:$G$1118,3,0)</f>
        <v>Opened Stores</v>
      </c>
      <c r="I505" s="41" t="str">
        <f>VLOOKUP(C505,Stores!$A$200:$G$1118,4,0)</f>
        <v>Stage 7 - Installed</v>
      </c>
      <c r="J505" s="41" t="str">
        <f>VLOOKUP(C505,Stores!$A$200:$G$1118,5,0)</f>
        <v>ZKTECO</v>
      </c>
      <c r="K505" s="41" t="str">
        <f>VLOOKUP(C505,Stores!$A$200:$G$1118,6,0)</f>
        <v>AKDG012351705</v>
      </c>
      <c r="L505" s="41" t="str">
        <f>VLOOKUP(C505,Stores!$A$200:$G$1118,7,0)</f>
        <v>192.168.1.201</v>
      </c>
      <c r="M505" s="42" t="s">
        <v>3550</v>
      </c>
    </row>
    <row r="506">
      <c r="A506" s="38" t="s">
        <v>2962</v>
      </c>
      <c r="B506" s="38" t="s">
        <v>3592</v>
      </c>
      <c r="C506" s="38" t="s">
        <v>2387</v>
      </c>
      <c r="D506" s="39" t="s">
        <v>3593</v>
      </c>
      <c r="E506" s="38" t="s">
        <v>3172</v>
      </c>
      <c r="F506" s="40"/>
      <c r="G506" s="40"/>
      <c r="H506" s="41" t="str">
        <f>VLOOKUP(C506,Stores!$A$200:$G$1118,3,0)</f>
        <v>Opened Stores</v>
      </c>
      <c r="I506" s="41" t="str">
        <f>VLOOKUP(C506,Stores!$A$200:$G$1118,4,0)</f>
        <v>Stage 7 - Installed</v>
      </c>
      <c r="J506" s="41" t="str">
        <f>VLOOKUP(C506,Stores!$A$200:$G$1118,5,0)</f>
        <v>ZKTECO</v>
      </c>
      <c r="K506" s="41" t="str">
        <f>VLOOKUP(C506,Stores!$A$200:$G$1118,6,0)</f>
        <v>ZKM6251700102</v>
      </c>
      <c r="L506" s="41" t="str">
        <f>VLOOKUP(C506,Stores!$A$200:$G$1118,7,0)</f>
        <v>192.168.1.201</v>
      </c>
      <c r="M506" s="42" t="s">
        <v>3550</v>
      </c>
    </row>
    <row r="507">
      <c r="A507" s="38" t="s">
        <v>2962</v>
      </c>
      <c r="B507" s="38" t="s">
        <v>3594</v>
      </c>
      <c r="C507" s="38" t="s">
        <v>2009</v>
      </c>
      <c r="D507" s="39" t="s">
        <v>2010</v>
      </c>
      <c r="E507" s="38" t="s">
        <v>3172</v>
      </c>
      <c r="F507" s="40"/>
      <c r="G507" s="40"/>
      <c r="H507" s="41" t="str">
        <f>VLOOKUP(C507,Stores!$A$200:$G$1118,3,0)</f>
        <v>Opened Stores</v>
      </c>
      <c r="I507" s="41" t="str">
        <f>VLOOKUP(C507,Stores!$A$200:$G$1118,4,0)</f>
        <v>Stage 7 - Installed</v>
      </c>
      <c r="J507" s="41" t="str">
        <f>VLOOKUP(C507,Stores!$A$200:$G$1118,5,0)</f>
        <v>ZKTECO</v>
      </c>
      <c r="K507" s="41" t="str">
        <f>VLOOKUP(C507,Stores!$A$200:$G$1118,6,0)</f>
        <v>CQUJ233560545</v>
      </c>
      <c r="L507" s="41" t="str">
        <f>VLOOKUP(C507,Stores!$A$200:$G$1118,7,0)</f>
        <v>192.168.1.201</v>
      </c>
      <c r="M507" s="42" t="s">
        <v>3550</v>
      </c>
    </row>
    <row r="508">
      <c r="A508" s="38" t="s">
        <v>2962</v>
      </c>
      <c r="B508" s="38" t="s">
        <v>3595</v>
      </c>
      <c r="C508" s="38" t="s">
        <v>773</v>
      </c>
      <c r="D508" s="39" t="s">
        <v>774</v>
      </c>
      <c r="E508" s="38" t="s">
        <v>3172</v>
      </c>
      <c r="F508" s="40"/>
      <c r="G508" s="40"/>
      <c r="H508" s="41" t="str">
        <f>VLOOKUP(C508,Stores!$A$200:$G$1118,3,0)</f>
        <v>Opened Stores</v>
      </c>
      <c r="I508" s="41" t="str">
        <f>VLOOKUP(C508,Stores!$A$200:$G$1118,4,0)</f>
        <v>Stage 7 - Installed</v>
      </c>
      <c r="J508" s="41" t="str">
        <f>VLOOKUP(C508,Stores!$A$200:$G$1118,5,0)</f>
        <v>ZKTECO</v>
      </c>
      <c r="K508" s="41" t="str">
        <f>VLOOKUP(C508,Stores!$A$200:$G$1118,6,0)</f>
        <v>ZKM6245100135</v>
      </c>
      <c r="L508" s="41" t="str">
        <f>VLOOKUP(C508,Stores!$A$200:$G$1118,7,0)</f>
        <v>192.168.1.201</v>
      </c>
      <c r="M508" s="42" t="s">
        <v>3550</v>
      </c>
    </row>
    <row r="509">
      <c r="A509" s="38" t="s">
        <v>2962</v>
      </c>
      <c r="B509" s="38" t="s">
        <v>3596</v>
      </c>
      <c r="C509" s="38" t="s">
        <v>2242</v>
      </c>
      <c r="D509" s="39" t="s">
        <v>3597</v>
      </c>
      <c r="E509" s="38" t="s">
        <v>3172</v>
      </c>
      <c r="F509" s="40"/>
      <c r="G509" s="40"/>
      <c r="H509" s="41" t="str">
        <f>VLOOKUP(C509,Stores!$A$200:$G$1118,3,0)</f>
        <v>Opened Stores</v>
      </c>
      <c r="I509" s="41" t="str">
        <f>VLOOKUP(C509,Stores!$A$200:$G$1118,4,0)</f>
        <v>Stage 7 - Installed</v>
      </c>
      <c r="J509" s="41" t="str">
        <f>VLOOKUP(C509,Stores!$A$200:$G$1118,5,0)</f>
        <v>ZKTECO</v>
      </c>
      <c r="K509" s="41" t="str">
        <f>VLOOKUP(C509,Stores!$A$200:$G$1118,6,0)</f>
        <v>CQUJ233560082</v>
      </c>
      <c r="L509" s="41" t="str">
        <f>VLOOKUP(C509,Stores!$A$200:$G$1118,7,0)</f>
        <v>192.168.1.201</v>
      </c>
      <c r="M509" s="42" t="s">
        <v>3550</v>
      </c>
    </row>
    <row r="510">
      <c r="A510" s="38" t="s">
        <v>2962</v>
      </c>
      <c r="B510" s="38" t="s">
        <v>3598</v>
      </c>
      <c r="C510" s="38" t="s">
        <v>1675</v>
      </c>
      <c r="D510" s="39" t="s">
        <v>1676</v>
      </c>
      <c r="E510" s="38" t="s">
        <v>3172</v>
      </c>
      <c r="F510" s="40"/>
      <c r="G510" s="40"/>
      <c r="H510" s="41" t="str">
        <f>VLOOKUP(C510,Stores!$A$200:$G$1118,3,0)</f>
        <v>Opened Stores</v>
      </c>
      <c r="I510" s="41" t="str">
        <f>VLOOKUP(C510,Stores!$A$200:$G$1118,4,0)</f>
        <v>Stage 7 - Installed</v>
      </c>
      <c r="J510" s="41" t="str">
        <f>VLOOKUP(C510,Stores!$A$200:$G$1118,5,0)</f>
        <v>ZKTECO</v>
      </c>
      <c r="K510" s="41" t="str">
        <f>VLOOKUP(C510,Stores!$A$200:$G$1118,6,0)</f>
        <v>AEYU082360197</v>
      </c>
      <c r="L510" s="41" t="str">
        <f>VLOOKUP(C510,Stores!$A$200:$G$1118,7,0)</f>
        <v>192.168.1.201</v>
      </c>
      <c r="M510" s="42" t="s">
        <v>3550</v>
      </c>
    </row>
    <row r="511">
      <c r="A511" s="38" t="s">
        <v>2962</v>
      </c>
      <c r="B511" s="38" t="s">
        <v>3599</v>
      </c>
      <c r="C511" s="38" t="s">
        <v>2847</v>
      </c>
      <c r="D511" s="39" t="s">
        <v>2848</v>
      </c>
      <c r="E511" s="38" t="s">
        <v>3172</v>
      </c>
      <c r="F511" s="40"/>
      <c r="G511" s="40"/>
      <c r="H511" s="41" t="str">
        <f>VLOOKUP(C511,Stores!$A$200:$G$1118,3,0)</f>
        <v>Opened Stores</v>
      </c>
      <c r="I511" s="41" t="str">
        <f>VLOOKUP(C511,Stores!$A$200:$G$1118,4,0)</f>
        <v>Stage 7 - Installed</v>
      </c>
      <c r="J511" s="41" t="str">
        <f>VLOOKUP(C511,Stores!$A$200:$G$1118,5,0)</f>
        <v>ZKTECO</v>
      </c>
      <c r="K511" s="41" t="str">
        <f>VLOOKUP(C511,Stores!$A$200:$G$1118,6,0)</f>
        <v>PAS4252900099</v>
      </c>
      <c r="L511" s="41" t="str">
        <f>VLOOKUP(C511,Stores!$A$200:$G$1118,7,0)</f>
        <v>192.168.1.201</v>
      </c>
      <c r="M511" s="42" t="s">
        <v>3550</v>
      </c>
    </row>
    <row r="512">
      <c r="A512" s="38" t="s">
        <v>2962</v>
      </c>
      <c r="B512" s="38" t="s">
        <v>3600</v>
      </c>
      <c r="C512" s="38" t="s">
        <v>1827</v>
      </c>
      <c r="D512" s="39" t="s">
        <v>3601</v>
      </c>
      <c r="E512" s="38" t="s">
        <v>3172</v>
      </c>
      <c r="F512" s="40"/>
      <c r="G512" s="40"/>
      <c r="H512" s="41" t="str">
        <f>VLOOKUP(C512,Stores!$A$200:$G$1118,3,0)</f>
        <v>Opened Stores</v>
      </c>
      <c r="I512" s="41" t="str">
        <f>VLOOKUP(C512,Stores!$A$200:$G$1118,4,0)</f>
        <v>Stage 7 - Installed</v>
      </c>
      <c r="J512" s="41" t="str">
        <f>VLOOKUP(C512,Stores!$A$200:$G$1118,5,0)</f>
        <v>ZKTECO</v>
      </c>
      <c r="K512" s="41" t="str">
        <f>VLOOKUP(C512,Stores!$A$200:$G$1118,6,0)</f>
        <v>CQUJ233561205</v>
      </c>
      <c r="L512" s="41" t="str">
        <f>VLOOKUP(C512,Stores!$A$200:$G$1118,7,0)</f>
        <v>192.168.1.201</v>
      </c>
      <c r="M512" s="42" t="s">
        <v>3550</v>
      </c>
    </row>
    <row r="513">
      <c r="A513" s="38" t="s">
        <v>2962</v>
      </c>
      <c r="B513" s="38" t="s">
        <v>3602</v>
      </c>
      <c r="C513" s="38" t="s">
        <v>2138</v>
      </c>
      <c r="D513" s="39" t="s">
        <v>3603</v>
      </c>
      <c r="E513" s="38" t="s">
        <v>3172</v>
      </c>
      <c r="F513" s="40"/>
      <c r="G513" s="40"/>
      <c r="H513" s="41" t="str">
        <f>VLOOKUP(C513,Stores!$A$200:$G$1118,3,0)</f>
        <v>Opened Stores</v>
      </c>
      <c r="I513" s="41" t="str">
        <f>VLOOKUP(C513,Stores!$A$200:$G$1118,4,0)</f>
        <v>Stage 7 - Installed</v>
      </c>
      <c r="J513" s="41" t="str">
        <f>VLOOKUP(C513,Stores!$A$200:$G$1118,5,0)</f>
        <v>ZKTECO</v>
      </c>
      <c r="K513" s="41" t="str">
        <f>VLOOKUP(C513,Stores!$A$200:$G$1118,6,0)</f>
        <v>CQUJ232260124</v>
      </c>
      <c r="L513" s="41" t="str">
        <f>VLOOKUP(C513,Stores!$A$200:$G$1118,7,0)</f>
        <v>192.168.1.201</v>
      </c>
      <c r="M513" s="42" t="s">
        <v>3550</v>
      </c>
    </row>
    <row r="514">
      <c r="A514" s="38" t="s">
        <v>2962</v>
      </c>
      <c r="B514" s="38" t="s">
        <v>3604</v>
      </c>
      <c r="C514" s="38" t="s">
        <v>1267</v>
      </c>
      <c r="D514" s="39" t="s">
        <v>1268</v>
      </c>
      <c r="E514" s="38" t="s">
        <v>3172</v>
      </c>
      <c r="F514" s="40"/>
      <c r="G514" s="40"/>
      <c r="H514" s="41" t="str">
        <f>VLOOKUP(C514,Stores!$A$200:$G$1118,3,0)</f>
        <v>Opened Stores</v>
      </c>
      <c r="I514" s="41" t="str">
        <f>VLOOKUP(C514,Stores!$A$200:$G$1118,4,0)</f>
        <v>Stage 7 - Installed</v>
      </c>
      <c r="J514" s="41" t="str">
        <f>VLOOKUP(C514,Stores!$A$200:$G$1118,5,0)</f>
        <v>ZKTECO</v>
      </c>
      <c r="K514" s="41" t="str">
        <f>VLOOKUP(C514,Stores!$A$200:$G$1118,6,0)</f>
        <v>PAS4252900113</v>
      </c>
      <c r="L514" s="41" t="str">
        <f>VLOOKUP(C514,Stores!$A$200:$G$1118,7,0)</f>
        <v>192.168.1.201</v>
      </c>
      <c r="M514" s="42" t="s">
        <v>3550</v>
      </c>
    </row>
    <row r="515">
      <c r="A515" s="38" t="s">
        <v>2962</v>
      </c>
      <c r="B515" s="38" t="s">
        <v>3605</v>
      </c>
      <c r="C515" s="38" t="s">
        <v>981</v>
      </c>
      <c r="D515" s="39" t="s">
        <v>3606</v>
      </c>
      <c r="E515" s="38" t="s">
        <v>3172</v>
      </c>
      <c r="F515" s="40"/>
      <c r="G515" s="40"/>
      <c r="H515" s="41" t="str">
        <f>VLOOKUP(C515,Stores!$A$200:$G$1118,3,0)</f>
        <v>Opened Stores</v>
      </c>
      <c r="I515" s="41" t="str">
        <f>VLOOKUP(C515,Stores!$A$200:$G$1118,4,0)</f>
        <v>Stage 7 - Installed</v>
      </c>
      <c r="J515" s="41" t="str">
        <f>VLOOKUP(C515,Stores!$A$200:$G$1118,5,0)</f>
        <v>ZKTECO</v>
      </c>
      <c r="K515" s="41" t="str">
        <f>VLOOKUP(C515,Stores!$A$200:$G$1118,6,0)</f>
        <v>A8N5221960185</v>
      </c>
      <c r="L515" s="41" t="str">
        <f>VLOOKUP(C515,Stores!$A$200:$G$1118,7,0)</f>
        <v>192.168.1.201</v>
      </c>
      <c r="M515" s="42" t="s">
        <v>3550</v>
      </c>
    </row>
    <row r="516">
      <c r="A516" s="38" t="s">
        <v>2962</v>
      </c>
      <c r="B516" s="38" t="s">
        <v>3607</v>
      </c>
      <c r="C516" s="38" t="s">
        <v>1137</v>
      </c>
      <c r="D516" s="39" t="s">
        <v>1138</v>
      </c>
      <c r="E516" s="38" t="s">
        <v>3172</v>
      </c>
      <c r="F516" s="40"/>
      <c r="G516" s="40"/>
      <c r="H516" s="41" t="str">
        <f>VLOOKUP(C516,Stores!$A$200:$G$1118,3,0)</f>
        <v>Opened Stores</v>
      </c>
      <c r="I516" s="41" t="str">
        <f>VLOOKUP(C516,Stores!$A$200:$G$1118,4,0)</f>
        <v>Stage 7 - Installed</v>
      </c>
      <c r="J516" s="41" t="str">
        <f>VLOOKUP(C516,Stores!$A$200:$G$1118,5,0)</f>
        <v>ZKTECO</v>
      </c>
      <c r="K516" s="41" t="str">
        <f>VLOOKUP(C516,Stores!$A$200:$G$1118,6,0)</f>
        <v>A8N5221960165</v>
      </c>
      <c r="L516" s="41" t="str">
        <f>VLOOKUP(C516,Stores!$A$200:$G$1118,7,0)</f>
        <v>192.168.1.201</v>
      </c>
      <c r="M516" s="42" t="s">
        <v>3550</v>
      </c>
    </row>
    <row r="517">
      <c r="A517" s="38" t="s">
        <v>2962</v>
      </c>
      <c r="B517" s="38" t="s">
        <v>3608</v>
      </c>
      <c r="C517" s="38" t="s">
        <v>2631</v>
      </c>
      <c r="D517" s="39" t="s">
        <v>2632</v>
      </c>
      <c r="E517" s="38" t="s">
        <v>3172</v>
      </c>
      <c r="F517" s="40"/>
      <c r="G517" s="40"/>
      <c r="H517" s="41" t="str">
        <f>VLOOKUP(C517,Stores!$A$200:$G$1118,3,0)</f>
        <v>Opened Stores</v>
      </c>
      <c r="I517" s="41" t="str">
        <f>VLOOKUP(C517,Stores!$A$200:$G$1118,4,0)</f>
        <v>Stage 7 - Installed</v>
      </c>
      <c r="J517" s="41" t="str">
        <f>VLOOKUP(C517,Stores!$A$200:$G$1118,5,0)</f>
        <v>ZKTECO</v>
      </c>
      <c r="K517" s="41" t="str">
        <f>VLOOKUP(C517,Stores!$A$200:$G$1118,6,0)</f>
        <v>ZKM6251700019</v>
      </c>
      <c r="L517" s="41" t="str">
        <f>VLOOKUP(C517,Stores!$A$200:$G$1118,7,0)</f>
        <v>192.168.1.201</v>
      </c>
      <c r="M517" s="42" t="s">
        <v>3550</v>
      </c>
    </row>
    <row r="518">
      <c r="A518" s="38" t="s">
        <v>2962</v>
      </c>
      <c r="B518" s="38" t="s">
        <v>3609</v>
      </c>
      <c r="C518" s="38" t="s">
        <v>1359</v>
      </c>
      <c r="D518" s="39" t="s">
        <v>1360</v>
      </c>
      <c r="E518" s="38" t="s">
        <v>3172</v>
      </c>
      <c r="F518" s="40"/>
      <c r="G518" s="40"/>
      <c r="H518" s="41" t="str">
        <f>VLOOKUP(C518,Stores!$A$200:$G$1118,3,0)</f>
        <v>Opened Stores</v>
      </c>
      <c r="I518" s="41" t="str">
        <f>VLOOKUP(C518,Stores!$A$200:$G$1118,4,0)</f>
        <v>Stage 7 - Installed</v>
      </c>
      <c r="J518" s="41" t="str">
        <f>VLOOKUP(C518,Stores!$A$200:$G$1118,5,0)</f>
        <v>ZKTECO</v>
      </c>
      <c r="K518" s="41" t="str">
        <f>VLOOKUP(C518,Stores!$A$200:$G$1118,6,0)</f>
        <v>AKDG012350219</v>
      </c>
      <c r="L518" s="41" t="str">
        <f>VLOOKUP(C518,Stores!$A$200:$G$1118,7,0)</f>
        <v>192.168.1.201</v>
      </c>
      <c r="M518" s="42" t="s">
        <v>3550</v>
      </c>
    </row>
    <row r="519">
      <c r="A519" s="38" t="s">
        <v>2962</v>
      </c>
      <c r="B519" s="38" t="s">
        <v>3610</v>
      </c>
      <c r="C519" s="38" t="s">
        <v>2141</v>
      </c>
      <c r="D519" s="39" t="s">
        <v>3611</v>
      </c>
      <c r="E519" s="38" t="s">
        <v>3172</v>
      </c>
      <c r="F519" s="40"/>
      <c r="G519" s="40"/>
      <c r="H519" s="41" t="str">
        <f>VLOOKUP(C519,Stores!$A$200:$G$1118,3,0)</f>
        <v>Opened Stores</v>
      </c>
      <c r="I519" s="41" t="str">
        <f>VLOOKUP(C519,Stores!$A$200:$G$1118,4,0)</f>
        <v>Stage 7 - Installed</v>
      </c>
      <c r="J519" s="41" t="str">
        <f>VLOOKUP(C519,Stores!$A$200:$G$1118,5,0)</f>
        <v>ZKTECO</v>
      </c>
      <c r="K519" s="41" t="str">
        <f>VLOOKUP(C519,Stores!$A$200:$G$1118,6,0)</f>
        <v>CQUJ232260074</v>
      </c>
      <c r="L519" s="41" t="str">
        <f>VLOOKUP(C519,Stores!$A$200:$G$1118,7,0)</f>
        <v>192.168.1.201</v>
      </c>
      <c r="M519" s="42" t="s">
        <v>3550</v>
      </c>
    </row>
    <row r="520">
      <c r="A520" s="38" t="s">
        <v>2962</v>
      </c>
      <c r="B520" s="38" t="s">
        <v>3612</v>
      </c>
      <c r="C520" s="38" t="s">
        <v>1591</v>
      </c>
      <c r="D520" s="39" t="s">
        <v>1592</v>
      </c>
      <c r="E520" s="38" t="s">
        <v>3172</v>
      </c>
      <c r="F520" s="40"/>
      <c r="G520" s="40"/>
      <c r="H520" s="41" t="str">
        <f>VLOOKUP(C520,Stores!$A$200:$G$1118,3,0)</f>
        <v>Opened Stores</v>
      </c>
      <c r="I520" s="41" t="str">
        <f>VLOOKUP(C520,Stores!$A$200:$G$1118,4,0)</f>
        <v>Stage 7 - Installed</v>
      </c>
      <c r="J520" s="41" t="str">
        <f>VLOOKUP(C520,Stores!$A$200:$G$1118,5,0)</f>
        <v>ZKTECO</v>
      </c>
      <c r="K520" s="41" t="str">
        <f>VLOOKUP(C520,Stores!$A$200:$G$1118,6,0)</f>
        <v>AEYU082360230</v>
      </c>
      <c r="L520" s="41" t="str">
        <f>VLOOKUP(C520,Stores!$A$200:$G$1118,7,0)</f>
        <v>192.168.1.201</v>
      </c>
      <c r="M520" s="42" t="s">
        <v>3550</v>
      </c>
    </row>
    <row r="521">
      <c r="A521" s="38" t="s">
        <v>2962</v>
      </c>
      <c r="B521" s="38" t="s">
        <v>3613</v>
      </c>
      <c r="C521" s="38" t="s">
        <v>1382</v>
      </c>
      <c r="D521" s="39" t="s">
        <v>1383</v>
      </c>
      <c r="E521" s="38" t="s">
        <v>3172</v>
      </c>
      <c r="F521" s="40"/>
      <c r="G521" s="40"/>
      <c r="H521" s="41" t="str">
        <f>VLOOKUP(C521,Stores!$A$200:$G$1118,3,0)</f>
        <v>Opened Stores</v>
      </c>
      <c r="I521" s="41" t="str">
        <f>VLOOKUP(C521,Stores!$A$200:$G$1118,4,0)</f>
        <v>Stage 7 - Installed</v>
      </c>
      <c r="J521" s="41" t="str">
        <f>VLOOKUP(C521,Stores!$A$200:$G$1118,5,0)</f>
        <v>ZKTECO</v>
      </c>
      <c r="K521" s="41" t="str">
        <f>VLOOKUP(C521,Stores!$A$200:$G$1118,6,0)</f>
        <v>AKDG012350195</v>
      </c>
      <c r="L521" s="41" t="str">
        <f>VLOOKUP(C521,Stores!$A$200:$G$1118,7,0)</f>
        <v>192.168.1.201</v>
      </c>
      <c r="M521" s="42" t="s">
        <v>3550</v>
      </c>
    </row>
    <row r="522">
      <c r="A522" s="38" t="s">
        <v>2962</v>
      </c>
      <c r="B522" s="38" t="s">
        <v>3614</v>
      </c>
      <c r="C522" s="38" t="s">
        <v>1931</v>
      </c>
      <c r="D522" s="39" t="s">
        <v>1932</v>
      </c>
      <c r="E522" s="38" t="s">
        <v>3172</v>
      </c>
      <c r="F522" s="40"/>
      <c r="G522" s="40"/>
      <c r="H522" s="41" t="str">
        <f>VLOOKUP(C522,Stores!$A$200:$G$1118,3,0)</f>
        <v>Opened Stores</v>
      </c>
      <c r="I522" s="41" t="str">
        <f>VLOOKUP(C522,Stores!$A$200:$G$1118,4,0)</f>
        <v>Stage 7 - Installed</v>
      </c>
      <c r="J522" s="41" t="str">
        <f>VLOOKUP(C522,Stores!$A$200:$G$1118,5,0)</f>
        <v>ZKTECO</v>
      </c>
      <c r="K522" s="41" t="str">
        <f>VLOOKUP(C522,Stores!$A$200:$G$1118,6,0)</f>
        <v>CQUJ233561291</v>
      </c>
      <c r="L522" s="41" t="str">
        <f>VLOOKUP(C522,Stores!$A$200:$G$1118,7,0)</f>
        <v>192.168.1.201</v>
      </c>
      <c r="M522" s="42" t="s">
        <v>3550</v>
      </c>
    </row>
    <row r="523">
      <c r="A523" s="38" t="s">
        <v>2962</v>
      </c>
      <c r="B523" s="38" t="s">
        <v>3615</v>
      </c>
      <c r="C523" s="38" t="s">
        <v>788</v>
      </c>
      <c r="D523" s="39" t="s">
        <v>789</v>
      </c>
      <c r="E523" s="38" t="s">
        <v>3172</v>
      </c>
      <c r="F523" s="40"/>
      <c r="G523" s="40"/>
      <c r="H523" s="41" t="str">
        <f>VLOOKUP(C523,Stores!$A$200:$G$1118,3,0)</f>
        <v>Opened Stores</v>
      </c>
      <c r="I523" s="41" t="str">
        <f>VLOOKUP(C523,Stores!$A$200:$G$1118,4,0)</f>
        <v>Stage 7 - Installed</v>
      </c>
      <c r="J523" s="41" t="str">
        <f>VLOOKUP(C523,Stores!$A$200:$G$1118,5,0)</f>
        <v>FINGERTEC</v>
      </c>
      <c r="K523" s="41">
        <f>VLOOKUP(C523,Stores!$A$200:$G$1118,6,0)</f>
        <v>7425412</v>
      </c>
      <c r="L523" s="41" t="str">
        <f>VLOOKUP(C523,Stores!$A$200:$G$1118,7,0)</f>
        <v>192.168.1.201</v>
      </c>
      <c r="M523" s="42" t="s">
        <v>3550</v>
      </c>
    </row>
    <row r="524">
      <c r="A524" s="38" t="s">
        <v>2962</v>
      </c>
      <c r="B524" s="38" t="s">
        <v>3616</v>
      </c>
      <c r="C524" s="38" t="s">
        <v>841</v>
      </c>
      <c r="D524" s="39" t="s">
        <v>842</v>
      </c>
      <c r="E524" s="38" t="s">
        <v>3172</v>
      </c>
      <c r="F524" s="40"/>
      <c r="G524" s="40"/>
      <c r="H524" s="41" t="str">
        <f>VLOOKUP(C524,Stores!$A$200:$G$1118,3,0)</f>
        <v>Opened Stores</v>
      </c>
      <c r="I524" s="41" t="str">
        <f>VLOOKUP(C524,Stores!$A$200:$G$1118,4,0)</f>
        <v>Stage 7 - Installed</v>
      </c>
      <c r="J524" s="41" t="str">
        <f>VLOOKUP(C524,Stores!$A$200:$G$1118,5,0)</f>
        <v>FINGERTEC</v>
      </c>
      <c r="K524" s="41">
        <f>VLOOKUP(C524,Stores!$A$200:$G$1118,6,0)</f>
        <v>7425652</v>
      </c>
      <c r="L524" s="41" t="str">
        <f>VLOOKUP(C524,Stores!$A$200:$G$1118,7,0)</f>
        <v>192.168.1.201</v>
      </c>
      <c r="M524" s="42" t="s">
        <v>3550</v>
      </c>
    </row>
    <row r="525">
      <c r="A525" s="38" t="s">
        <v>2962</v>
      </c>
      <c r="B525" s="38" t="s">
        <v>3617</v>
      </c>
      <c r="C525" s="38" t="s">
        <v>1297</v>
      </c>
      <c r="D525" s="39" t="s">
        <v>1298</v>
      </c>
      <c r="E525" s="38" t="s">
        <v>3172</v>
      </c>
      <c r="F525" s="40"/>
      <c r="G525" s="40"/>
      <c r="H525" s="41" t="str">
        <f>VLOOKUP(C525,Stores!$A$200:$G$1118,3,0)</f>
        <v>Opened Stores</v>
      </c>
      <c r="I525" s="41" t="str">
        <f>VLOOKUP(C525,Stores!$A$200:$G$1118,4,0)</f>
        <v>Stage 7 - Installed</v>
      </c>
      <c r="J525" s="41" t="str">
        <f>VLOOKUP(C525,Stores!$A$200:$G$1118,5,0)</f>
        <v>ZKTECO</v>
      </c>
      <c r="K525" s="41" t="str">
        <f>VLOOKUP(C525,Stores!$A$200:$G$1118,6,0)</f>
        <v>CMZG122250776</v>
      </c>
      <c r="L525" s="41" t="str">
        <f>VLOOKUP(C525,Stores!$A$200:$G$1118,7,0)</f>
        <v>192.168.1.201</v>
      </c>
      <c r="M525" s="42" t="s">
        <v>3550</v>
      </c>
    </row>
    <row r="526">
      <c r="A526" s="38" t="s">
        <v>2962</v>
      </c>
      <c r="B526" s="38" t="s">
        <v>3618</v>
      </c>
      <c r="C526" s="38" t="s">
        <v>732</v>
      </c>
      <c r="D526" s="39" t="s">
        <v>733</v>
      </c>
      <c r="E526" s="38" t="s">
        <v>3172</v>
      </c>
      <c r="F526" s="40"/>
      <c r="G526" s="40"/>
      <c r="H526" s="41" t="str">
        <f>VLOOKUP(C526,Stores!$A$200:$G$1118,3,0)</f>
        <v>Opened Stores</v>
      </c>
      <c r="I526" s="41" t="str">
        <f>VLOOKUP(C526,Stores!$A$200:$G$1118,4,0)</f>
        <v>Stage 7 - Installed</v>
      </c>
      <c r="J526" s="41" t="str">
        <f>VLOOKUP(C526,Stores!$A$200:$G$1118,5,0)</f>
        <v>FINGERTEC</v>
      </c>
      <c r="K526" s="41">
        <f>VLOOKUP(C526,Stores!$A$200:$G$1118,6,0)</f>
        <v>7423466</v>
      </c>
      <c r="L526" s="41" t="str">
        <f>VLOOKUP(C526,Stores!$A$200:$G$1118,7,0)</f>
        <v>192.168.1.201</v>
      </c>
      <c r="M526" s="42" t="s">
        <v>3550</v>
      </c>
    </row>
    <row r="527">
      <c r="A527" s="38" t="s">
        <v>2962</v>
      </c>
      <c r="B527" s="38" t="s">
        <v>3619</v>
      </c>
      <c r="C527" s="38" t="s">
        <v>1098</v>
      </c>
      <c r="D527" s="39" t="s">
        <v>1099</v>
      </c>
      <c r="E527" s="38" t="s">
        <v>3172</v>
      </c>
      <c r="F527" s="40"/>
      <c r="G527" s="40"/>
      <c r="H527" s="41" t="str">
        <f>VLOOKUP(C527,Stores!$A$200:$G$1118,3,0)</f>
        <v>Opened Stores</v>
      </c>
      <c r="I527" s="41" t="str">
        <f>VLOOKUP(C527,Stores!$A$200:$G$1118,4,0)</f>
        <v>Stage 7 - Installed</v>
      </c>
      <c r="J527" s="41" t="str">
        <f>VLOOKUP(C527,Stores!$A$200:$G$1118,5,0)</f>
        <v>ZKTECO</v>
      </c>
      <c r="K527" s="41" t="str">
        <f>VLOOKUP(C527,Stores!$A$200:$G$1118,6,0)</f>
        <v>A8N5221960172</v>
      </c>
      <c r="L527" s="41" t="str">
        <f>VLOOKUP(C527,Stores!$A$200:$G$1118,7,0)</f>
        <v>192.168.1.201</v>
      </c>
      <c r="M527" s="42" t="s">
        <v>3550</v>
      </c>
    </row>
    <row r="528">
      <c r="A528" s="38" t="s">
        <v>2962</v>
      </c>
      <c r="B528" s="38" t="s">
        <v>3620</v>
      </c>
      <c r="C528" s="38" t="s">
        <v>684</v>
      </c>
      <c r="D528" s="39" t="s">
        <v>685</v>
      </c>
      <c r="E528" s="38" t="s">
        <v>3172</v>
      </c>
      <c r="F528" s="40"/>
      <c r="G528" s="40"/>
      <c r="H528" s="41" t="str">
        <f>VLOOKUP(C528,Stores!$A$200:$G$1118,3,0)</f>
        <v>Opened Stores</v>
      </c>
      <c r="I528" s="41" t="str">
        <f>VLOOKUP(C528,Stores!$A$200:$G$1118,4,0)</f>
        <v>Stage 7 - Installed</v>
      </c>
      <c r="J528" s="41" t="str">
        <f>VLOOKUP(C528,Stores!$A$200:$G$1118,5,0)</f>
        <v>FINGERTEC</v>
      </c>
      <c r="K528" s="41">
        <f>VLOOKUP(C528,Stores!$A$200:$G$1118,6,0)</f>
        <v>7423453</v>
      </c>
      <c r="L528" s="41" t="str">
        <f>VLOOKUP(C528,Stores!$A$200:$G$1118,7,0)</f>
        <v>192.168.1.201</v>
      </c>
      <c r="M528" s="42" t="s">
        <v>3550</v>
      </c>
    </row>
    <row r="529">
      <c r="A529" s="38" t="s">
        <v>2962</v>
      </c>
      <c r="B529" s="38" t="s">
        <v>3621</v>
      </c>
      <c r="C529" s="38" t="s">
        <v>910</v>
      </c>
      <c r="D529" s="39" t="s">
        <v>911</v>
      </c>
      <c r="E529" s="38" t="s">
        <v>3172</v>
      </c>
      <c r="F529" s="40"/>
      <c r="G529" s="40"/>
      <c r="H529" s="41" t="str">
        <f>VLOOKUP(C529,Stores!$A$200:$G$1118,3,0)</f>
        <v>Opened Stores</v>
      </c>
      <c r="I529" s="41" t="str">
        <f>VLOOKUP(C529,Stores!$A$200:$G$1118,4,0)</f>
        <v>Stage 7 - Installed</v>
      </c>
      <c r="J529" s="41" t="str">
        <f>VLOOKUP(C529,Stores!$A$200:$G$1118,5,0)</f>
        <v>FINGERTEC</v>
      </c>
      <c r="K529" s="41">
        <f>VLOOKUP(C529,Stores!$A$200:$G$1118,6,0)</f>
        <v>7425662</v>
      </c>
      <c r="L529" s="41" t="str">
        <f>VLOOKUP(C529,Stores!$A$200:$G$1118,7,0)</f>
        <v>192.168.1.201</v>
      </c>
      <c r="M529" s="42" t="s">
        <v>3550</v>
      </c>
    </row>
    <row r="530">
      <c r="A530" s="38" t="s">
        <v>2962</v>
      </c>
      <c r="B530" s="38" t="s">
        <v>3622</v>
      </c>
      <c r="C530" s="38" t="s">
        <v>1985</v>
      </c>
      <c r="D530" s="39" t="s">
        <v>3623</v>
      </c>
      <c r="E530" s="38" t="s">
        <v>3172</v>
      </c>
      <c r="F530" s="40"/>
      <c r="G530" s="40"/>
      <c r="H530" s="41" t="str">
        <f>VLOOKUP(C530,Stores!$A$200:$G$1118,3,0)</f>
        <v>Opened Stores</v>
      </c>
      <c r="I530" s="41" t="str">
        <f>VLOOKUP(C530,Stores!$A$200:$G$1118,4,0)</f>
        <v>Stage 7 - Installed</v>
      </c>
      <c r="J530" s="41" t="str">
        <f>VLOOKUP(C530,Stores!$A$200:$G$1118,5,0)</f>
        <v>ZKTECO</v>
      </c>
      <c r="K530" s="41" t="str">
        <f>VLOOKUP(C530,Stores!$A$200:$G$1118,6,0)</f>
        <v>CQUJ233560969</v>
      </c>
      <c r="L530" s="41" t="str">
        <f>VLOOKUP(C530,Stores!$A$200:$G$1118,7,0)</f>
        <v>192.168.1.201</v>
      </c>
      <c r="M530" s="42" t="s">
        <v>3550</v>
      </c>
    </row>
    <row r="531">
      <c r="A531" s="38" t="s">
        <v>2962</v>
      </c>
      <c r="B531" s="38" t="s">
        <v>3624</v>
      </c>
      <c r="C531" s="38" t="s">
        <v>2673</v>
      </c>
      <c r="D531" s="39" t="s">
        <v>2674</v>
      </c>
      <c r="E531" s="38" t="s">
        <v>3172</v>
      </c>
      <c r="F531" s="40"/>
      <c r="G531" s="40"/>
      <c r="H531" s="41" t="str">
        <f>VLOOKUP(C531,Stores!$A$200:$G$1118,3,0)</f>
        <v>Opened Stores</v>
      </c>
      <c r="I531" s="41" t="str">
        <f>VLOOKUP(C531,Stores!$A$200:$G$1118,4,0)</f>
        <v>Stage 7 - Installed</v>
      </c>
      <c r="J531" s="41" t="str">
        <f>VLOOKUP(C531,Stores!$A$200:$G$1118,5,0)</f>
        <v>ZKTECO</v>
      </c>
      <c r="K531" s="41" t="str">
        <f>VLOOKUP(C531,Stores!$A$200:$G$1118,6,0)</f>
        <v>ZKM6251700351</v>
      </c>
      <c r="L531" s="41" t="str">
        <f>VLOOKUP(C531,Stores!$A$200:$G$1118,7,0)</f>
        <v>192.168.1.201</v>
      </c>
      <c r="M531" s="42" t="s">
        <v>3550</v>
      </c>
    </row>
    <row r="532">
      <c r="A532" s="38" t="s">
        <v>2962</v>
      </c>
      <c r="B532" s="38" t="s">
        <v>3625</v>
      </c>
      <c r="C532" s="38" t="s">
        <v>1490</v>
      </c>
      <c r="D532" s="39" t="s">
        <v>1491</v>
      </c>
      <c r="E532" s="38" t="s">
        <v>3172</v>
      </c>
      <c r="F532" s="40"/>
      <c r="G532" s="40"/>
      <c r="H532" s="41" t="str">
        <f>VLOOKUP(C532,Stores!$A$200:$G$1118,3,0)</f>
        <v>Opened Stores</v>
      </c>
      <c r="I532" s="41" t="str">
        <f>VLOOKUP(C532,Stores!$A$200:$G$1118,4,0)</f>
        <v>Stage 7 - Installed</v>
      </c>
      <c r="J532" s="41" t="str">
        <f>VLOOKUP(C532,Stores!$A$200:$G$1118,5,0)</f>
        <v>ZKTECO</v>
      </c>
      <c r="K532" s="41" t="str">
        <f>VLOOKUP(C532,Stores!$A$200:$G$1118,6,0)</f>
        <v>AEYU082360251</v>
      </c>
      <c r="L532" s="41" t="str">
        <f>VLOOKUP(C532,Stores!$A$200:$G$1118,7,0)</f>
        <v>192.168.1.201</v>
      </c>
      <c r="M532" s="42" t="s">
        <v>3550</v>
      </c>
    </row>
    <row r="533">
      <c r="A533" s="38" t="s">
        <v>2962</v>
      </c>
      <c r="B533" s="38" t="s">
        <v>3626</v>
      </c>
      <c r="C533" s="38" t="s">
        <v>2694</v>
      </c>
      <c r="D533" s="39" t="s">
        <v>2695</v>
      </c>
      <c r="E533" s="38" t="s">
        <v>3172</v>
      </c>
      <c r="F533" s="40"/>
      <c r="G533" s="40"/>
      <c r="H533" s="41" t="str">
        <f>VLOOKUP(C533,Stores!$A$200:$G$1118,3,0)</f>
        <v>Opened Stores</v>
      </c>
      <c r="I533" s="41" t="str">
        <f>VLOOKUP(C533,Stores!$A$200:$G$1118,4,0)</f>
        <v>Stage 7 - Installed</v>
      </c>
      <c r="J533" s="41" t="str">
        <f>VLOOKUP(C533,Stores!$A$200:$G$1118,5,0)</f>
        <v>ZKTECO</v>
      </c>
      <c r="K533" s="41" t="str">
        <f>VLOOKUP(C533,Stores!$A$200:$G$1118,6,0)</f>
        <v>ZKM6251700023</v>
      </c>
      <c r="L533" s="41" t="str">
        <f>VLOOKUP(C533,Stores!$A$200:$G$1118,7,0)</f>
        <v>192.168.1.201</v>
      </c>
      <c r="M533" s="42" t="s">
        <v>3550</v>
      </c>
    </row>
    <row r="534">
      <c r="A534" s="38" t="s">
        <v>2962</v>
      </c>
      <c r="B534" s="38" t="s">
        <v>3627</v>
      </c>
      <c r="C534" s="38" t="s">
        <v>2018</v>
      </c>
      <c r="D534" s="39" t="s">
        <v>2019</v>
      </c>
      <c r="E534" s="38" t="s">
        <v>3172</v>
      </c>
      <c r="F534" s="40"/>
      <c r="G534" s="40"/>
      <c r="H534" s="41" t="str">
        <f>VLOOKUP(C534,Stores!$A$200:$G$1118,3,0)</f>
        <v>Opened Stores</v>
      </c>
      <c r="I534" s="41" t="str">
        <f>VLOOKUP(C534,Stores!$A$200:$G$1118,4,0)</f>
        <v>Stage 7 - Installed</v>
      </c>
      <c r="J534" s="41" t="str">
        <f>VLOOKUP(C534,Stores!$A$200:$G$1118,5,0)</f>
        <v>ZKTECO</v>
      </c>
      <c r="K534" s="41" t="str">
        <f>VLOOKUP(C534,Stores!$A$200:$G$1118,6,0)</f>
        <v>CQUJ233560115</v>
      </c>
      <c r="L534" s="41" t="str">
        <f>VLOOKUP(C534,Stores!$A$200:$G$1118,7,0)</f>
        <v>192.168.1.201</v>
      </c>
      <c r="M534" s="42" t="s">
        <v>3550</v>
      </c>
    </row>
    <row r="535">
      <c r="A535" s="38" t="s">
        <v>2962</v>
      </c>
      <c r="B535" s="38" t="s">
        <v>3628</v>
      </c>
      <c r="C535" s="38" t="s">
        <v>1475</v>
      </c>
      <c r="D535" s="39" t="s">
        <v>1476</v>
      </c>
      <c r="E535" s="38" t="s">
        <v>3172</v>
      </c>
      <c r="F535" s="40"/>
      <c r="G535" s="40"/>
      <c r="H535" s="41" t="str">
        <f>VLOOKUP(C535,Stores!$A$200:$G$1118,3,0)</f>
        <v>Opened Stores</v>
      </c>
      <c r="I535" s="41" t="str">
        <f>VLOOKUP(C535,Stores!$A$200:$G$1118,4,0)</f>
        <v>Stage 7 - Installed</v>
      </c>
      <c r="J535" s="41" t="str">
        <f>VLOOKUP(C535,Stores!$A$200:$G$1118,5,0)</f>
        <v>ZKTECO</v>
      </c>
      <c r="K535" s="41" t="str">
        <f>VLOOKUP(C535,Stores!$A$200:$G$1118,6,0)</f>
        <v>AEYU082360290</v>
      </c>
      <c r="L535" s="41" t="str">
        <f>VLOOKUP(C535,Stores!$A$200:$G$1118,7,0)</f>
        <v>192.168.1.201</v>
      </c>
      <c r="M535" s="42" t="s">
        <v>3550</v>
      </c>
    </row>
    <row r="536">
      <c r="A536" s="38" t="s">
        <v>2962</v>
      </c>
      <c r="B536" s="38" t="s">
        <v>3629</v>
      </c>
      <c r="C536" s="38" t="s">
        <v>701</v>
      </c>
      <c r="D536" s="39" t="s">
        <v>702</v>
      </c>
      <c r="E536" s="38" t="s">
        <v>3177</v>
      </c>
      <c r="F536" s="40"/>
      <c r="G536" s="40"/>
      <c r="H536" s="41" t="str">
        <f>VLOOKUP(C536,Stores!$A$200:$G$1118,3,0)</f>
        <v>Opened Stores</v>
      </c>
      <c r="I536" s="41" t="str">
        <f>VLOOKUP(C536,Stores!$A$200:$G$1118,4,0)</f>
        <v>Stage 7 - Installed</v>
      </c>
      <c r="J536" s="41" t="str">
        <f>VLOOKUP(C536,Stores!$A$200:$G$1118,5,0)</f>
        <v>FINGERTEC</v>
      </c>
      <c r="K536" s="41">
        <f>VLOOKUP(C536,Stores!$A$200:$G$1118,6,0)</f>
        <v>7423450</v>
      </c>
      <c r="L536" s="41" t="str">
        <f>VLOOKUP(C536,Stores!$A$200:$G$1118,7,0)</f>
        <v>192.168.1.201</v>
      </c>
      <c r="M536" s="42" t="s">
        <v>3550</v>
      </c>
    </row>
    <row r="537">
      <c r="A537" s="38" t="s">
        <v>2962</v>
      </c>
      <c r="B537" s="38" t="s">
        <v>3630</v>
      </c>
      <c r="C537" s="38" t="s">
        <v>614</v>
      </c>
      <c r="D537" s="39" t="s">
        <v>615</v>
      </c>
      <c r="E537" s="38" t="s">
        <v>3177</v>
      </c>
      <c r="F537" s="40"/>
      <c r="G537" s="40"/>
      <c r="H537" s="41" t="str">
        <f>VLOOKUP(C537,Stores!$A$200:$G$1118,3,0)</f>
        <v>Opened Stores</v>
      </c>
      <c r="I537" s="41" t="str">
        <f>VLOOKUP(C537,Stores!$A$200:$G$1118,4,0)</f>
        <v>Stage 7 - Installed</v>
      </c>
      <c r="J537" s="41" t="str">
        <f>VLOOKUP(C537,Stores!$A$200:$G$1118,5,0)</f>
        <v>FINGERTEC</v>
      </c>
      <c r="K537" s="41">
        <f>VLOOKUP(C537,Stores!$A$200:$G$1118,6,0)</f>
        <v>7421812</v>
      </c>
      <c r="L537" s="41" t="str">
        <f>VLOOKUP(C537,Stores!$A$200:$G$1118,7,0)</f>
        <v>192.168.1.201</v>
      </c>
      <c r="M537" s="42" t="s">
        <v>3550</v>
      </c>
    </row>
    <row r="538">
      <c r="A538" s="38" t="s">
        <v>2962</v>
      </c>
      <c r="B538" s="38" t="s">
        <v>3631</v>
      </c>
      <c r="C538" s="38" t="s">
        <v>2661</v>
      </c>
      <c r="D538" s="39" t="s">
        <v>2662</v>
      </c>
      <c r="E538" s="38" t="s">
        <v>3177</v>
      </c>
      <c r="F538" s="40"/>
      <c r="G538" s="40"/>
      <c r="H538" s="41" t="str">
        <f>VLOOKUP(C538,Stores!$A$200:$G$1118,3,0)</f>
        <v>Opened Stores</v>
      </c>
      <c r="I538" s="41" t="str">
        <f>VLOOKUP(C538,Stores!$A$200:$G$1118,4,0)</f>
        <v>Stage 7 - Installed</v>
      </c>
      <c r="J538" s="41" t="str">
        <f>VLOOKUP(C538,Stores!$A$200:$G$1118,5,0)</f>
        <v>ZKTECO</v>
      </c>
      <c r="K538" s="41" t="str">
        <f>VLOOKUP(C538,Stores!$A$200:$G$1118,6,0)</f>
        <v>ZKM6251500095</v>
      </c>
      <c r="L538" s="41" t="str">
        <f>VLOOKUP(C538,Stores!$A$200:$G$1118,7,0)</f>
        <v>192.168.1.201</v>
      </c>
      <c r="M538" s="42" t="s">
        <v>3550</v>
      </c>
    </row>
    <row r="539">
      <c r="A539" s="38" t="s">
        <v>2962</v>
      </c>
      <c r="B539" s="38" t="s">
        <v>3632</v>
      </c>
      <c r="C539" s="38" t="s">
        <v>2351</v>
      </c>
      <c r="D539" s="39" t="s">
        <v>3633</v>
      </c>
      <c r="E539" s="38" t="s">
        <v>3177</v>
      </c>
      <c r="F539" s="40"/>
      <c r="G539" s="40"/>
      <c r="H539" s="41" t="str">
        <f>VLOOKUP(C539,Stores!$A$200:$G$1118,3,0)</f>
        <v>Opened Stores</v>
      </c>
      <c r="I539" s="41" t="str">
        <f>VLOOKUP(C539,Stores!$A$200:$G$1118,4,0)</f>
        <v>Stage 7 - Installed</v>
      </c>
      <c r="J539" s="41" t="str">
        <f>VLOOKUP(C539,Stores!$A$200:$G$1118,5,0)</f>
        <v>ZKTECO</v>
      </c>
      <c r="K539" s="41" t="str">
        <f>VLOOKUP(C539,Stores!$A$200:$G$1118,6,0)</f>
        <v>ZKM6245100276</v>
      </c>
      <c r="L539" s="41" t="str">
        <f>VLOOKUP(C539,Stores!$A$200:$G$1118,7,0)</f>
        <v>192.168.1.201</v>
      </c>
      <c r="M539" s="42" t="s">
        <v>3550</v>
      </c>
    </row>
    <row r="540">
      <c r="A540" s="38" t="s">
        <v>2962</v>
      </c>
      <c r="B540" s="38" t="s">
        <v>3634</v>
      </c>
      <c r="C540" s="38" t="s">
        <v>1845</v>
      </c>
      <c r="D540" s="39" t="s">
        <v>1846</v>
      </c>
      <c r="E540" s="38" t="s">
        <v>3177</v>
      </c>
      <c r="F540" s="40"/>
      <c r="G540" s="40"/>
      <c r="H540" s="41" t="str">
        <f>VLOOKUP(C540,Stores!$A$200:$G$1118,3,0)</f>
        <v>Opened Stores</v>
      </c>
      <c r="I540" s="41" t="str">
        <f>VLOOKUP(C540,Stores!$A$200:$G$1118,4,0)</f>
        <v>Stage 7 - Installed</v>
      </c>
      <c r="J540" s="41" t="str">
        <f>VLOOKUP(C540,Stores!$A$200:$G$1118,5,0)</f>
        <v>ZKTECO</v>
      </c>
      <c r="K540" s="41" t="str">
        <f>VLOOKUP(C540,Stores!$A$200:$G$1118,6,0)</f>
        <v>CQUJ233560280</v>
      </c>
      <c r="L540" s="41" t="str">
        <f>VLOOKUP(C540,Stores!$A$200:$G$1118,7,0)</f>
        <v>192.168.1.201</v>
      </c>
      <c r="M540" s="42" t="s">
        <v>3550</v>
      </c>
    </row>
    <row r="541">
      <c r="A541" s="38" t="s">
        <v>2962</v>
      </c>
      <c r="B541" s="38" t="s">
        <v>3635</v>
      </c>
      <c r="C541" s="38" t="s">
        <v>1084</v>
      </c>
      <c r="D541" s="39" t="s">
        <v>1085</v>
      </c>
      <c r="E541" s="38" t="s">
        <v>3177</v>
      </c>
      <c r="F541" s="40"/>
      <c r="G541" s="40"/>
      <c r="H541" s="41" t="str">
        <f>VLOOKUP(C541,Stores!$A$200:$G$1118,3,0)</f>
        <v>Opened Stores</v>
      </c>
      <c r="I541" s="41" t="str">
        <f>VLOOKUP(C541,Stores!$A$200:$G$1118,4,0)</f>
        <v>Stage 7 - Installed</v>
      </c>
      <c r="J541" s="41" t="str">
        <f>VLOOKUP(C541,Stores!$A$200:$G$1118,5,0)</f>
        <v>ZKTECO</v>
      </c>
      <c r="K541" s="41" t="str">
        <f>VLOOKUP(C541,Stores!$A$200:$G$1118,6,0)</f>
        <v>A8N5221960254</v>
      </c>
      <c r="L541" s="41" t="str">
        <f>VLOOKUP(C541,Stores!$A$200:$G$1118,7,0)</f>
        <v>192.168.1.201</v>
      </c>
      <c r="M541" s="42" t="s">
        <v>3550</v>
      </c>
    </row>
    <row r="542">
      <c r="A542" s="38" t="s">
        <v>2962</v>
      </c>
      <c r="B542" s="38" t="s">
        <v>3636</v>
      </c>
      <c r="C542" s="38" t="s">
        <v>845</v>
      </c>
      <c r="D542" s="39" t="s">
        <v>846</v>
      </c>
      <c r="E542" s="38" t="s">
        <v>3177</v>
      </c>
      <c r="F542" s="40"/>
      <c r="G542" s="40"/>
      <c r="H542" s="41" t="str">
        <f>VLOOKUP(C542,Stores!$A$200:$G$1118,3,0)</f>
        <v>Opened Stores</v>
      </c>
      <c r="I542" s="41" t="str">
        <f>VLOOKUP(C542,Stores!$A$200:$G$1118,4,0)</f>
        <v>Stage 7 - Installed</v>
      </c>
      <c r="J542" s="41" t="str">
        <f>VLOOKUP(C542,Stores!$A$200:$G$1118,5,0)</f>
        <v>FINGERTEC</v>
      </c>
      <c r="K542" s="41">
        <f>VLOOKUP(C542,Stores!$A$200:$G$1118,6,0)</f>
        <v>7425645</v>
      </c>
      <c r="L542" s="41" t="str">
        <f>VLOOKUP(C542,Stores!$A$200:$G$1118,7,0)</f>
        <v>192.168.1.201</v>
      </c>
      <c r="M542" s="42" t="s">
        <v>3550</v>
      </c>
    </row>
    <row r="543">
      <c r="A543" s="38" t="s">
        <v>2962</v>
      </c>
      <c r="B543" s="38" t="s">
        <v>3637</v>
      </c>
      <c r="C543" s="38" t="s">
        <v>1606</v>
      </c>
      <c r="D543" s="39" t="s">
        <v>1607</v>
      </c>
      <c r="E543" s="38" t="s">
        <v>3177</v>
      </c>
      <c r="F543" s="40"/>
      <c r="G543" s="40"/>
      <c r="H543" s="41" t="str">
        <f>VLOOKUP(C543,Stores!$A$200:$G$1118,3,0)</f>
        <v>Opened Stores</v>
      </c>
      <c r="I543" s="41" t="str">
        <f>VLOOKUP(C543,Stores!$A$200:$G$1118,4,0)</f>
        <v>Stage 7 - Installed</v>
      </c>
      <c r="J543" s="41" t="str">
        <f>VLOOKUP(C543,Stores!$A$200:$G$1118,5,0)</f>
        <v>ZKTECO</v>
      </c>
      <c r="K543" s="41" t="str">
        <f>VLOOKUP(C543,Stores!$A$200:$G$1118,6,0)</f>
        <v>AKDG012351689</v>
      </c>
      <c r="L543" s="41" t="str">
        <f>VLOOKUP(C543,Stores!$A$200:$G$1118,7,0)</f>
        <v>192.168.1.201</v>
      </c>
      <c r="M543" s="42" t="s">
        <v>3550</v>
      </c>
    </row>
    <row r="544">
      <c r="A544" s="38" t="s">
        <v>2962</v>
      </c>
      <c r="B544" s="38" t="s">
        <v>3638</v>
      </c>
      <c r="C544" s="38" t="s">
        <v>2715</v>
      </c>
      <c r="D544" s="39" t="s">
        <v>2716</v>
      </c>
      <c r="E544" s="38" t="s">
        <v>3177</v>
      </c>
      <c r="F544" s="40"/>
      <c r="G544" s="40"/>
      <c r="H544" s="41" t="str">
        <f>VLOOKUP(C544,Stores!$A$200:$G$1118,3,0)</f>
        <v>Opened Stores</v>
      </c>
      <c r="I544" s="41" t="str">
        <f>VLOOKUP(C544,Stores!$A$200:$G$1118,4,0)</f>
        <v>Stage 7 - Installed</v>
      </c>
      <c r="J544" s="41" t="str">
        <f>VLOOKUP(C544,Stores!$A$200:$G$1118,5,0)</f>
        <v>ZKTECO</v>
      </c>
      <c r="K544" s="41" t="str">
        <f>VLOOKUP(C544,Stores!$A$200:$G$1118,6,0)</f>
        <v>ZKM6251700324</v>
      </c>
      <c r="L544" s="41" t="str">
        <f>VLOOKUP(C544,Stores!$A$200:$G$1118,7,0)</f>
        <v>192.168.1.201</v>
      </c>
      <c r="M544" s="42" t="s">
        <v>3550</v>
      </c>
    </row>
    <row r="545">
      <c r="A545" s="38" t="s">
        <v>2962</v>
      </c>
      <c r="B545" s="38" t="s">
        <v>3639</v>
      </c>
      <c r="C545" s="38" t="s">
        <v>2919</v>
      </c>
      <c r="D545" s="39" t="s">
        <v>2920</v>
      </c>
      <c r="E545" s="38" t="s">
        <v>3177</v>
      </c>
      <c r="F545" s="40"/>
      <c r="G545" s="40"/>
      <c r="H545" s="41" t="str">
        <f>VLOOKUP(C545,Stores!$A$200:$G$1118,3,0)</f>
        <v>Opened Stores</v>
      </c>
      <c r="I545" s="41" t="str">
        <f>VLOOKUP(C545,Stores!$A$200:$G$1118,4,0)</f>
        <v>Stage 7 - Installed</v>
      </c>
      <c r="J545" s="41" t="str">
        <f>VLOOKUP(C545,Stores!$A$200:$G$1118,5,0)</f>
        <v>ZKTECO</v>
      </c>
      <c r="K545" s="41" t="str">
        <f>VLOOKUP(C545,Stores!$A$200:$G$1118,6,0)</f>
        <v>PAS4252900180</v>
      </c>
      <c r="L545" s="41" t="str">
        <f>VLOOKUP(C545,Stores!$A$200:$G$1118,7,0)</f>
        <v>192.168.1.201</v>
      </c>
      <c r="M545" s="42" t="s">
        <v>3550</v>
      </c>
    </row>
    <row r="546">
      <c r="A546" s="38" t="s">
        <v>2962</v>
      </c>
      <c r="B546" s="38" t="s">
        <v>3640</v>
      </c>
      <c r="C546" s="38" t="s">
        <v>1722</v>
      </c>
      <c r="D546" s="39" t="s">
        <v>1723</v>
      </c>
      <c r="E546" s="38" t="s">
        <v>3177</v>
      </c>
      <c r="F546" s="40"/>
      <c r="G546" s="40"/>
      <c r="H546" s="41" t="str">
        <f>VLOOKUP(C546,Stores!$A$200:$G$1118,3,0)</f>
        <v>Opened Stores</v>
      </c>
      <c r="I546" s="41" t="str">
        <f>VLOOKUP(C546,Stores!$A$200:$G$1118,4,0)</f>
        <v>Stage 7 - Installed</v>
      </c>
      <c r="J546" s="41" t="str">
        <f>VLOOKUP(C546,Stores!$A$200:$G$1118,5,0)</f>
        <v>ZKTECO</v>
      </c>
      <c r="K546" s="41" t="str">
        <f>VLOOKUP(C546,Stores!$A$200:$G$1118,6,0)</f>
        <v>AEYU082360207</v>
      </c>
      <c r="L546" s="41" t="str">
        <f>VLOOKUP(C546,Stores!$A$200:$G$1118,7,0)</f>
        <v>192.168.1.201</v>
      </c>
      <c r="M546" s="42" t="s">
        <v>3550</v>
      </c>
    </row>
    <row r="547">
      <c r="A547" s="38" t="s">
        <v>2962</v>
      </c>
      <c r="B547" s="38" t="s">
        <v>3641</v>
      </c>
      <c r="C547" s="38" t="s">
        <v>559</v>
      </c>
      <c r="D547" s="39" t="s">
        <v>560</v>
      </c>
      <c r="E547" s="38" t="s">
        <v>3177</v>
      </c>
      <c r="F547" s="40"/>
      <c r="G547" s="40"/>
      <c r="H547" s="41" t="str">
        <f>VLOOKUP(C547,Stores!$A$200:$G$1118,3,0)</f>
        <v>Opened Stores</v>
      </c>
      <c r="I547" s="41" t="str">
        <f>VLOOKUP(C547,Stores!$A$200:$G$1118,4,0)</f>
        <v>Stage 7 - Installed</v>
      </c>
      <c r="J547" s="41" t="str">
        <f>VLOOKUP(C547,Stores!$A$200:$G$1118,5,0)</f>
        <v>FINGERTEC</v>
      </c>
      <c r="K547" s="41">
        <f>VLOOKUP(C547,Stores!$A$200:$G$1118,6,0)</f>
        <v>7420095</v>
      </c>
      <c r="L547" s="41" t="str">
        <f>VLOOKUP(C547,Stores!$A$200:$G$1118,7,0)</f>
        <v>192.168.1.201</v>
      </c>
      <c r="M547" s="42" t="s">
        <v>3550</v>
      </c>
    </row>
    <row r="548">
      <c r="A548" s="38" t="s">
        <v>2962</v>
      </c>
      <c r="B548" s="38" t="s">
        <v>3642</v>
      </c>
      <c r="C548" s="38" t="s">
        <v>458</v>
      </c>
      <c r="D548" s="39" t="s">
        <v>459</v>
      </c>
      <c r="E548" s="38" t="s">
        <v>3177</v>
      </c>
      <c r="F548" s="40"/>
      <c r="G548" s="40"/>
      <c r="H548" s="41" t="str">
        <f>VLOOKUP(C548,Stores!$A$200:$G$1118,3,0)</f>
        <v>Opened Stores</v>
      </c>
      <c r="I548" s="41" t="str">
        <f>VLOOKUP(C548,Stores!$A$200:$G$1118,4,0)</f>
        <v>Stage 7 - Installed</v>
      </c>
      <c r="J548" s="41" t="str">
        <f>VLOOKUP(C548,Stores!$A$200:$G$1118,5,0)</f>
        <v>FINGERTEC</v>
      </c>
      <c r="K548" s="41">
        <f>VLOOKUP(C548,Stores!$A$200:$G$1118,6,0)</f>
        <v>7417212</v>
      </c>
      <c r="L548" s="41" t="str">
        <f>VLOOKUP(C548,Stores!$A$200:$G$1118,7,0)</f>
        <v>192.168.1.201</v>
      </c>
      <c r="M548" s="42" t="s">
        <v>3550</v>
      </c>
    </row>
    <row r="549">
      <c r="A549" s="38" t="s">
        <v>2962</v>
      </c>
      <c r="B549" s="38" t="s">
        <v>3643</v>
      </c>
      <c r="C549" s="38" t="s">
        <v>433</v>
      </c>
      <c r="D549" s="39" t="s">
        <v>434</v>
      </c>
      <c r="E549" s="38" t="s">
        <v>3177</v>
      </c>
      <c r="F549" s="40"/>
      <c r="G549" s="40"/>
      <c r="H549" s="41" t="str">
        <f>VLOOKUP(C549,Stores!$A$200:$G$1118,3,0)</f>
        <v>Opened Stores</v>
      </c>
      <c r="I549" s="41" t="str">
        <f>VLOOKUP(C549,Stores!$A$200:$G$1118,4,0)</f>
        <v>Stage 7 - Installed</v>
      </c>
      <c r="J549" s="41" t="str">
        <f>VLOOKUP(C549,Stores!$A$200:$G$1118,5,0)</f>
        <v>FINGERTEC</v>
      </c>
      <c r="K549" s="41">
        <f>VLOOKUP(C549,Stores!$A$200:$G$1118,6,0)</f>
        <v>7415912</v>
      </c>
      <c r="L549" s="41" t="str">
        <f>VLOOKUP(C549,Stores!$A$200:$G$1118,7,0)</f>
        <v>192.168.1.201</v>
      </c>
      <c r="M549" s="42" t="s">
        <v>3550</v>
      </c>
    </row>
    <row r="550">
      <c r="A550" s="38" t="s">
        <v>2962</v>
      </c>
      <c r="B550" s="38" t="s">
        <v>3644</v>
      </c>
      <c r="C550" s="38" t="s">
        <v>569</v>
      </c>
      <c r="D550" s="39" t="s">
        <v>570</v>
      </c>
      <c r="E550" s="38" t="s">
        <v>3177</v>
      </c>
      <c r="F550" s="40"/>
      <c r="G550" s="40"/>
      <c r="H550" s="41" t="str">
        <f>VLOOKUP(C550,Stores!$A$200:$G$1118,3,0)</f>
        <v>Opened Stores</v>
      </c>
      <c r="I550" s="41" t="str">
        <f>VLOOKUP(C550,Stores!$A$200:$G$1118,4,0)</f>
        <v>Stage 7 - Installed</v>
      </c>
      <c r="J550" s="41" t="str">
        <f>VLOOKUP(C550,Stores!$A$200:$G$1118,5,0)</f>
        <v>FINGERTEC</v>
      </c>
      <c r="K550" s="41">
        <f>VLOOKUP(C550,Stores!$A$200:$G$1118,6,0)</f>
        <v>7421292</v>
      </c>
      <c r="L550" s="41" t="str">
        <f>VLOOKUP(C550,Stores!$A$200:$G$1118,7,0)</f>
        <v>192.168.1.201</v>
      </c>
      <c r="M550" s="42" t="s">
        <v>3550</v>
      </c>
    </row>
    <row r="551">
      <c r="A551" s="38" t="s">
        <v>2962</v>
      </c>
      <c r="B551" s="38" t="s">
        <v>3645</v>
      </c>
      <c r="C551" s="38" t="s">
        <v>1636</v>
      </c>
      <c r="D551" s="39" t="s">
        <v>1637</v>
      </c>
      <c r="E551" s="38" t="s">
        <v>3177</v>
      </c>
      <c r="F551" s="40"/>
      <c r="G551" s="40"/>
      <c r="H551" s="41" t="str">
        <f>VLOOKUP(C551,Stores!$A$200:$G$1118,3,0)</f>
        <v>Opened Stores</v>
      </c>
      <c r="I551" s="41" t="str">
        <f>VLOOKUP(C551,Stores!$A$200:$G$1118,4,0)</f>
        <v>Stage 7 - Installed</v>
      </c>
      <c r="J551" s="41" t="str">
        <f>VLOOKUP(C551,Stores!$A$200:$G$1118,5,0)</f>
        <v>ZKTECO</v>
      </c>
      <c r="K551" s="41" t="str">
        <f>VLOOKUP(C551,Stores!$A$200:$G$1118,6,0)</f>
        <v>ZKM6245100271</v>
      </c>
      <c r="L551" s="41" t="str">
        <f>VLOOKUP(C551,Stores!$A$200:$G$1118,7,0)</f>
        <v>192.168.1.201</v>
      </c>
      <c r="M551" s="42" t="s">
        <v>3550</v>
      </c>
    </row>
    <row r="552">
      <c r="A552" s="38" t="s">
        <v>2962</v>
      </c>
      <c r="B552" s="38" t="s">
        <v>3646</v>
      </c>
      <c r="C552" s="38" t="s">
        <v>922</v>
      </c>
      <c r="D552" s="39" t="s">
        <v>923</v>
      </c>
      <c r="E552" s="38" t="s">
        <v>3177</v>
      </c>
      <c r="F552" s="40"/>
      <c r="G552" s="40"/>
      <c r="H552" s="41" t="str">
        <f>VLOOKUP(C552,Stores!$A$200:$G$1118,3,0)</f>
        <v>Opened Stores</v>
      </c>
      <c r="I552" s="41" t="str">
        <f>VLOOKUP(C552,Stores!$A$200:$G$1118,4,0)</f>
        <v>Stage 7 - Installed</v>
      </c>
      <c r="J552" s="41" t="str">
        <f>VLOOKUP(C552,Stores!$A$200:$G$1118,5,0)</f>
        <v>FINGERTEC</v>
      </c>
      <c r="K552" s="41">
        <f>VLOOKUP(C552,Stores!$A$200:$G$1118,6,0)</f>
        <v>7425672</v>
      </c>
      <c r="L552" s="41" t="str">
        <f>VLOOKUP(C552,Stores!$A$200:$G$1118,7,0)</f>
        <v>192.168.1.201</v>
      </c>
      <c r="M552" s="42" t="s">
        <v>3550</v>
      </c>
    </row>
    <row r="553">
      <c r="A553" s="38" t="s">
        <v>2962</v>
      </c>
      <c r="B553" s="38" t="s">
        <v>3647</v>
      </c>
      <c r="C553" s="38" t="s">
        <v>1128</v>
      </c>
      <c r="D553" s="39" t="s">
        <v>1129</v>
      </c>
      <c r="E553" s="38" t="s">
        <v>3177</v>
      </c>
      <c r="F553" s="40"/>
      <c r="G553" s="40"/>
      <c r="H553" s="41" t="str">
        <f>VLOOKUP(C553,Stores!$A$200:$G$1118,3,0)</f>
        <v>Opened Stores</v>
      </c>
      <c r="I553" s="41" t="str">
        <f>VLOOKUP(C553,Stores!$A$200:$G$1118,4,0)</f>
        <v>Stage 7 - Installed</v>
      </c>
      <c r="J553" s="41" t="str">
        <f>VLOOKUP(C553,Stores!$A$200:$G$1118,5,0)</f>
        <v>ZKTECO</v>
      </c>
      <c r="K553" s="41" t="str">
        <f>VLOOKUP(C553,Stores!$A$200:$G$1118,6,0)</f>
        <v>A8N5221960171</v>
      </c>
      <c r="L553" s="41" t="str">
        <f>VLOOKUP(C553,Stores!$A$200:$G$1118,7,0)</f>
        <v>192.168.1.201</v>
      </c>
      <c r="M553" s="42" t="s">
        <v>3550</v>
      </c>
    </row>
    <row r="554">
      <c r="A554" s="38" t="s">
        <v>2962</v>
      </c>
      <c r="B554" s="38" t="s">
        <v>3648</v>
      </c>
      <c r="C554" s="38" t="s">
        <v>1958</v>
      </c>
      <c r="D554" s="39" t="s">
        <v>1959</v>
      </c>
      <c r="E554" s="38" t="s">
        <v>3177</v>
      </c>
      <c r="F554" s="40"/>
      <c r="G554" s="40"/>
      <c r="H554" s="41" t="str">
        <f>VLOOKUP(C554,Stores!$A$200:$G$1118,3,0)</f>
        <v>Opened Stores</v>
      </c>
      <c r="I554" s="41" t="str">
        <f>VLOOKUP(C554,Stores!$A$200:$G$1118,4,0)</f>
        <v>Stage 7 - Installed</v>
      </c>
      <c r="J554" s="41" t="str">
        <f>VLOOKUP(C554,Stores!$A$200:$G$1118,5,0)</f>
        <v>ZKTECO</v>
      </c>
      <c r="K554" s="41" t="str">
        <f>VLOOKUP(C554,Stores!$A$200:$G$1118,6,0)</f>
        <v>CQUJ233560865</v>
      </c>
      <c r="L554" s="41" t="str">
        <f>VLOOKUP(C554,Stores!$A$200:$G$1118,7,0)</f>
        <v>192.168.1.201</v>
      </c>
      <c r="M554" s="42" t="s">
        <v>3550</v>
      </c>
    </row>
    <row r="555">
      <c r="A555" s="38" t="s">
        <v>2962</v>
      </c>
      <c r="B555" s="38" t="s">
        <v>3649</v>
      </c>
      <c r="C555" s="38" t="s">
        <v>1884</v>
      </c>
      <c r="D555" s="39" t="s">
        <v>1885</v>
      </c>
      <c r="E555" s="38" t="s">
        <v>3177</v>
      </c>
      <c r="F555" s="40"/>
      <c r="G555" s="40"/>
      <c r="H555" s="41" t="str">
        <f>VLOOKUP(C555,Stores!$A$200:$G$1118,3,0)</f>
        <v>Opened Stores</v>
      </c>
      <c r="I555" s="41" t="str">
        <f>VLOOKUP(C555,Stores!$A$200:$G$1118,4,0)</f>
        <v>Stage 7 - Installed</v>
      </c>
      <c r="J555" s="41" t="str">
        <f>VLOOKUP(C555,Stores!$A$200:$G$1118,5,0)</f>
        <v>ZKTECO</v>
      </c>
      <c r="K555" s="41" t="str">
        <f>VLOOKUP(C555,Stores!$A$200:$G$1118,6,0)</f>
        <v>CQUJ233561358</v>
      </c>
      <c r="L555" s="41" t="str">
        <f>VLOOKUP(C555,Stores!$A$200:$G$1118,7,0)</f>
        <v>192.168.1.201</v>
      </c>
      <c r="M555" s="42" t="s">
        <v>3550</v>
      </c>
    </row>
    <row r="556">
      <c r="A556" s="38" t="s">
        <v>2962</v>
      </c>
      <c r="B556" s="38" t="s">
        <v>3650</v>
      </c>
      <c r="C556" s="38" t="s">
        <v>1782</v>
      </c>
      <c r="D556" s="39" t="s">
        <v>1783</v>
      </c>
      <c r="E556" s="38" t="s">
        <v>3177</v>
      </c>
      <c r="F556" s="40"/>
      <c r="G556" s="40"/>
      <c r="H556" s="41" t="str">
        <f>VLOOKUP(C556,Stores!$A$200:$G$1118,3,0)</f>
        <v>Opened Stores</v>
      </c>
      <c r="I556" s="41" t="str">
        <f>VLOOKUP(C556,Stores!$A$200:$G$1118,4,0)</f>
        <v>Stage 7 - Installed</v>
      </c>
      <c r="J556" s="41" t="str">
        <f>VLOOKUP(C556,Stores!$A$200:$G$1118,5,0)</f>
        <v>ZKTECO</v>
      </c>
      <c r="K556" s="41" t="str">
        <f>VLOOKUP(C556,Stores!$A$200:$G$1118,6,0)</f>
        <v>CQUJ233560635</v>
      </c>
      <c r="L556" s="41" t="str">
        <f>VLOOKUP(C556,Stores!$A$200:$G$1118,7,0)</f>
        <v>192.168.1.201</v>
      </c>
      <c r="M556" s="42" t="s">
        <v>3550</v>
      </c>
    </row>
    <row r="557">
      <c r="A557" s="38" t="s">
        <v>2962</v>
      </c>
      <c r="B557" s="38" t="s">
        <v>3651</v>
      </c>
      <c r="C557" s="38" t="s">
        <v>2003</v>
      </c>
      <c r="D557" s="39" t="s">
        <v>2004</v>
      </c>
      <c r="E557" s="38" t="s">
        <v>3177</v>
      </c>
      <c r="F557" s="40"/>
      <c r="G557" s="40"/>
      <c r="H557" s="41" t="str">
        <f>VLOOKUP(C557,Stores!$A$200:$G$1118,3,0)</f>
        <v>Opened Stores</v>
      </c>
      <c r="I557" s="41" t="str">
        <f>VLOOKUP(C557,Stores!$A$200:$G$1118,4,0)</f>
        <v>Stage 7 - Installed</v>
      </c>
      <c r="J557" s="41" t="str">
        <f>VLOOKUP(C557,Stores!$A$200:$G$1118,5,0)</f>
        <v>ZKTECO</v>
      </c>
      <c r="K557" s="41" t="str">
        <f>VLOOKUP(C557,Stores!$A$200:$G$1118,6,0)</f>
        <v>CQUJ233560962</v>
      </c>
      <c r="L557" s="41" t="str">
        <f>VLOOKUP(C557,Stores!$A$200:$G$1118,7,0)</f>
        <v>192.168.1.201</v>
      </c>
      <c r="M557" s="42" t="s">
        <v>3550</v>
      </c>
    </row>
    <row r="558">
      <c r="A558" s="38" t="s">
        <v>2962</v>
      </c>
      <c r="B558" s="38" t="s">
        <v>3652</v>
      </c>
      <c r="C558" s="38" t="s">
        <v>497</v>
      </c>
      <c r="D558" s="39" t="s">
        <v>498</v>
      </c>
      <c r="E558" s="38" t="s">
        <v>3177</v>
      </c>
      <c r="F558" s="40"/>
      <c r="G558" s="40"/>
      <c r="H558" s="41" t="str">
        <f>VLOOKUP(C558,Stores!$A$200:$G$1118,3,0)</f>
        <v>Opened Stores</v>
      </c>
      <c r="I558" s="41" t="str">
        <f>VLOOKUP(C558,Stores!$A$200:$G$1118,4,0)</f>
        <v>Stage 7 - Installed</v>
      </c>
      <c r="J558" s="41" t="str">
        <f>VLOOKUP(C558,Stores!$A$200:$G$1118,5,0)</f>
        <v>ZKTECO</v>
      </c>
      <c r="K558" s="41" t="str">
        <f>VLOOKUP(C558,Stores!$A$200:$G$1118,6,0)</f>
        <v>PAS4252900181</v>
      </c>
      <c r="L558" s="41" t="str">
        <f>VLOOKUP(C558,Stores!$A$200:$G$1118,7,0)</f>
        <v>192.168.1.201</v>
      </c>
      <c r="M558" s="42" t="s">
        <v>3550</v>
      </c>
    </row>
    <row r="559">
      <c r="A559" s="38" t="s">
        <v>2962</v>
      </c>
      <c r="B559" s="38" t="s">
        <v>3653</v>
      </c>
      <c r="C559" s="38" t="s">
        <v>2150</v>
      </c>
      <c r="D559" s="39" t="s">
        <v>2151</v>
      </c>
      <c r="E559" s="38" t="s">
        <v>3177</v>
      </c>
      <c r="F559" s="40"/>
      <c r="G559" s="40"/>
      <c r="H559" s="41" t="str">
        <f>VLOOKUP(C559,Stores!$A$200:$G$1118,3,0)</f>
        <v>Opened Stores</v>
      </c>
      <c r="I559" s="41" t="str">
        <f>VLOOKUP(C559,Stores!$A$200:$G$1118,4,0)</f>
        <v>Stage 7 - Installed</v>
      </c>
      <c r="J559" s="41" t="str">
        <f>VLOOKUP(C559,Stores!$A$200:$G$1118,5,0)</f>
        <v>ZKTECO</v>
      </c>
      <c r="K559" s="41" t="str">
        <f>VLOOKUP(C559,Stores!$A$200:$G$1118,6,0)</f>
        <v>CQUJ233561174</v>
      </c>
      <c r="L559" s="41" t="str">
        <f>VLOOKUP(C559,Stores!$A$200:$G$1118,7,0)</f>
        <v>192.168.1.201</v>
      </c>
      <c r="M559" s="42" t="s">
        <v>3550</v>
      </c>
    </row>
    <row r="560">
      <c r="A560" s="38" t="s">
        <v>2962</v>
      </c>
      <c r="B560" s="38" t="s">
        <v>3654</v>
      </c>
      <c r="C560" s="38" t="s">
        <v>2263</v>
      </c>
      <c r="D560" s="39" t="s">
        <v>3655</v>
      </c>
      <c r="E560" s="38" t="s">
        <v>3177</v>
      </c>
      <c r="F560" s="40"/>
      <c r="G560" s="40"/>
      <c r="H560" s="41" t="str">
        <f>VLOOKUP(C560,Stores!$A$200:$G$1118,3,0)</f>
        <v>Opened Stores</v>
      </c>
      <c r="I560" s="41" t="str">
        <f>VLOOKUP(C560,Stores!$A$200:$G$1118,4,0)</f>
        <v>Stage 7 - Installed</v>
      </c>
      <c r="J560" s="41" t="str">
        <f>VLOOKUP(C560,Stores!$A$200:$G$1118,5,0)</f>
        <v>ZKTECO</v>
      </c>
      <c r="K560" s="41" t="str">
        <f>VLOOKUP(C560,Stores!$A$200:$G$1118,6,0)</f>
        <v>CQUJ233560058</v>
      </c>
      <c r="L560" s="41" t="str">
        <f>VLOOKUP(C560,Stores!$A$200:$G$1118,7,0)</f>
        <v>192.168.1.201</v>
      </c>
      <c r="M560" s="42" t="s">
        <v>3550</v>
      </c>
    </row>
    <row r="561">
      <c r="A561" s="38" t="s">
        <v>2962</v>
      </c>
      <c r="B561" s="38" t="s">
        <v>3656</v>
      </c>
      <c r="C561" s="38" t="s">
        <v>622</v>
      </c>
      <c r="D561" s="39" t="s">
        <v>623</v>
      </c>
      <c r="E561" s="38" t="s">
        <v>3177</v>
      </c>
      <c r="F561" s="40"/>
      <c r="G561" s="40"/>
      <c r="H561" s="41" t="str">
        <f>VLOOKUP(C561,Stores!$A$200:$G$1118,3,0)</f>
        <v>Opened Stores</v>
      </c>
      <c r="I561" s="41" t="str">
        <f>VLOOKUP(C561,Stores!$A$200:$G$1118,4,0)</f>
        <v>Stage 7 - Installed</v>
      </c>
      <c r="J561" s="41" t="str">
        <f>VLOOKUP(C561,Stores!$A$200:$G$1118,5,0)</f>
        <v>FINGERTEC</v>
      </c>
      <c r="K561" s="41">
        <f>VLOOKUP(C561,Stores!$A$200:$G$1118,6,0)</f>
        <v>7421810</v>
      </c>
      <c r="L561" s="41" t="str">
        <f>VLOOKUP(C561,Stores!$A$200:$G$1118,7,0)</f>
        <v>192.168.1.201</v>
      </c>
      <c r="M561" s="42" t="s">
        <v>3550</v>
      </c>
    </row>
    <row r="562">
      <c r="A562" s="38" t="s">
        <v>2962</v>
      </c>
      <c r="B562" s="38" t="s">
        <v>3657</v>
      </c>
      <c r="C562" s="38" t="s">
        <v>647</v>
      </c>
      <c r="D562" s="39" t="s">
        <v>648</v>
      </c>
      <c r="E562" s="38" t="s">
        <v>3177</v>
      </c>
      <c r="F562" s="40"/>
      <c r="G562" s="40"/>
      <c r="H562" s="41" t="str">
        <f>VLOOKUP(C562,Stores!$A$200:$G$1118,3,0)</f>
        <v>Opened Stores</v>
      </c>
      <c r="I562" s="41" t="str">
        <f>VLOOKUP(C562,Stores!$A$200:$G$1118,4,0)</f>
        <v>Stage 7 - Installed</v>
      </c>
      <c r="J562" s="41" t="str">
        <f>VLOOKUP(C562,Stores!$A$200:$G$1118,5,0)</f>
        <v>FINGERTEC</v>
      </c>
      <c r="K562" s="41">
        <f>VLOOKUP(C562,Stores!$A$200:$G$1118,6,0)</f>
        <v>7421967</v>
      </c>
      <c r="L562" s="41" t="str">
        <f>VLOOKUP(C562,Stores!$A$200:$G$1118,7,0)</f>
        <v>192.168.1.201</v>
      </c>
      <c r="M562" s="42" t="s">
        <v>3550</v>
      </c>
    </row>
    <row r="563">
      <c r="A563" s="38" t="s">
        <v>2962</v>
      </c>
      <c r="B563" s="38" t="s">
        <v>3658</v>
      </c>
      <c r="C563" s="38" t="s">
        <v>535</v>
      </c>
      <c r="D563" s="39" t="s">
        <v>536</v>
      </c>
      <c r="E563" s="38" t="s">
        <v>3177</v>
      </c>
      <c r="F563" s="40"/>
      <c r="G563" s="40"/>
      <c r="H563" s="41" t="str">
        <f>VLOOKUP(C563,Stores!$A$200:$G$1118,3,0)</f>
        <v>Opened Stores</v>
      </c>
      <c r="I563" s="41" t="str">
        <f>VLOOKUP(C563,Stores!$A$200:$G$1118,4,0)</f>
        <v>Stage 7 - Installed</v>
      </c>
      <c r="J563" s="41" t="str">
        <f>VLOOKUP(C563,Stores!$A$200:$G$1118,5,0)</f>
        <v>FINGERTEC</v>
      </c>
      <c r="K563" s="41">
        <f>VLOOKUP(C563,Stores!$A$200:$G$1118,6,0)</f>
        <v>7419193</v>
      </c>
      <c r="L563" s="41" t="str">
        <f>VLOOKUP(C563,Stores!$A$200:$G$1118,7,0)</f>
        <v>192.168.1.201</v>
      </c>
      <c r="M563" s="42" t="s">
        <v>3550</v>
      </c>
    </row>
    <row r="564">
      <c r="A564" s="38" t="s">
        <v>2962</v>
      </c>
      <c r="B564" s="38" t="s">
        <v>3659</v>
      </c>
      <c r="C564" s="38" t="s">
        <v>2590</v>
      </c>
      <c r="D564" s="39" t="s">
        <v>2591</v>
      </c>
      <c r="E564" s="38" t="s">
        <v>3177</v>
      </c>
      <c r="F564" s="40"/>
      <c r="G564" s="40"/>
      <c r="H564" s="41" t="str">
        <f>VLOOKUP(C564,Stores!$A$200:$G$1118,3,0)</f>
        <v>Opened Stores</v>
      </c>
      <c r="I564" s="41" t="str">
        <f>VLOOKUP(C564,Stores!$A$200:$G$1118,4,0)</f>
        <v>Stage 7 - Installed</v>
      </c>
      <c r="J564" s="41" t="str">
        <f>VLOOKUP(C564,Stores!$A$200:$G$1118,5,0)</f>
        <v>ZKTECO</v>
      </c>
      <c r="K564" s="41" t="str">
        <f>VLOOKUP(C564,Stores!$A$200:$G$1118,6,0)</f>
        <v>ZKM62517000046</v>
      </c>
      <c r="L564" s="41" t="str">
        <f>VLOOKUP(C564,Stores!$A$200:$G$1118,7,0)</f>
        <v>192.168.1.201</v>
      </c>
      <c r="M564" s="42" t="s">
        <v>3550</v>
      </c>
    </row>
    <row r="565">
      <c r="A565" s="38" t="s">
        <v>2962</v>
      </c>
      <c r="B565" s="38" t="s">
        <v>3660</v>
      </c>
      <c r="C565" s="38" t="s">
        <v>531</v>
      </c>
      <c r="D565" s="39" t="s">
        <v>532</v>
      </c>
      <c r="E565" s="38" t="s">
        <v>3177</v>
      </c>
      <c r="F565" s="40"/>
      <c r="G565" s="40"/>
      <c r="H565" s="41" t="str">
        <f>VLOOKUP(C565,Stores!$A$200:$G$1118,3,0)</f>
        <v>Opened Stores</v>
      </c>
      <c r="I565" s="41" t="str">
        <f>VLOOKUP(C565,Stores!$A$200:$G$1118,4,0)</f>
        <v>Stage 7 - Installed</v>
      </c>
      <c r="J565" s="41" t="str">
        <f>VLOOKUP(C565,Stores!$A$200:$G$1118,5,0)</f>
        <v>FINGERTEC</v>
      </c>
      <c r="K565" s="41">
        <f>VLOOKUP(C565,Stores!$A$200:$G$1118,6,0)</f>
        <v>7419190</v>
      </c>
      <c r="L565" s="41" t="str">
        <f>VLOOKUP(C565,Stores!$A$200:$G$1118,7,0)</f>
        <v>192.168.1.201</v>
      </c>
      <c r="M565" s="42" t="s">
        <v>3550</v>
      </c>
    </row>
    <row r="566">
      <c r="A566" s="38" t="s">
        <v>2962</v>
      </c>
      <c r="B566" s="38" t="s">
        <v>3661</v>
      </c>
      <c r="C566" s="38" t="s">
        <v>2514</v>
      </c>
      <c r="D566" s="39" t="s">
        <v>2515</v>
      </c>
      <c r="E566" s="38" t="s">
        <v>3177</v>
      </c>
      <c r="F566" s="40"/>
      <c r="G566" s="40"/>
      <c r="H566" s="41" t="str">
        <f>VLOOKUP(C566,Stores!$A$200:$G$1118,3,0)</f>
        <v>Opened Stores</v>
      </c>
      <c r="I566" s="41" t="str">
        <f>VLOOKUP(C566,Stores!$A$200:$G$1118,4,0)</f>
        <v>Stage 7 - Installed</v>
      </c>
      <c r="J566" s="41" t="str">
        <f>VLOOKUP(C566,Stores!$A$200:$G$1118,5,0)</f>
        <v>ZKTECO</v>
      </c>
      <c r="K566" s="41" t="str">
        <f>VLOOKUP(C566,Stores!$A$200:$G$1118,6,0)</f>
        <v>ZKM6251500174</v>
      </c>
      <c r="L566" s="41" t="str">
        <f>VLOOKUP(C566,Stores!$A$200:$G$1118,7,0)</f>
        <v>192.168.1.201</v>
      </c>
      <c r="M566" s="42" t="s">
        <v>3550</v>
      </c>
    </row>
    <row r="567">
      <c r="A567" s="38" t="s">
        <v>2962</v>
      </c>
      <c r="B567" s="38" t="s">
        <v>3662</v>
      </c>
      <c r="C567" s="38" t="s">
        <v>1970</v>
      </c>
      <c r="D567" s="39" t="s">
        <v>1971</v>
      </c>
      <c r="E567" s="38" t="s">
        <v>3177</v>
      </c>
      <c r="F567" s="40"/>
      <c r="G567" s="40"/>
      <c r="H567" s="41" t="str">
        <f>VLOOKUP(C567,Stores!$A$200:$G$1118,3,0)</f>
        <v>Opened Stores</v>
      </c>
      <c r="I567" s="41" t="str">
        <f>VLOOKUP(C567,Stores!$A$200:$G$1118,4,0)</f>
        <v>Stage 7 - Installed</v>
      </c>
      <c r="J567" s="41" t="str">
        <f>VLOOKUP(C567,Stores!$A$200:$G$1118,5,0)</f>
        <v>ZKTECO</v>
      </c>
      <c r="K567" s="41" t="str">
        <f>VLOOKUP(C567,Stores!$A$200:$G$1118,6,0)</f>
        <v>CQUJ233560867</v>
      </c>
      <c r="L567" s="41" t="str">
        <f>VLOOKUP(C567,Stores!$A$200:$G$1118,7,0)</f>
        <v>192.168.1.201</v>
      </c>
      <c r="M567" s="42" t="s">
        <v>3550</v>
      </c>
    </row>
    <row r="568">
      <c r="A568" s="38" t="s">
        <v>2962</v>
      </c>
      <c r="B568" s="38" t="s">
        <v>3663</v>
      </c>
      <c r="C568" s="38" t="s">
        <v>1051</v>
      </c>
      <c r="D568" s="39" t="s">
        <v>1052</v>
      </c>
      <c r="E568" s="38" t="s">
        <v>3177</v>
      </c>
      <c r="F568" s="40"/>
      <c r="G568" s="40"/>
      <c r="H568" s="41" t="str">
        <f>VLOOKUP(C568,Stores!$A$200:$G$1118,3,0)</f>
        <v>Opened Stores</v>
      </c>
      <c r="I568" s="41" t="str">
        <f>VLOOKUP(C568,Stores!$A$200:$G$1118,4,0)</f>
        <v>Stage 7 - Installed</v>
      </c>
      <c r="J568" s="41" t="str">
        <f>VLOOKUP(C568,Stores!$A$200:$G$1118,5,0)</f>
        <v>ZKTECO</v>
      </c>
      <c r="K568" s="41" t="str">
        <f>VLOOKUP(C568,Stores!$A$200:$G$1118,6,0)</f>
        <v>PAS4252500082</v>
      </c>
      <c r="L568" s="41" t="str">
        <f>VLOOKUP(C568,Stores!$A$200:$G$1118,7,0)</f>
        <v>192.168.1.201</v>
      </c>
      <c r="M568" s="42" t="s">
        <v>3664</v>
      </c>
    </row>
    <row r="569">
      <c r="A569" s="38" t="s">
        <v>2962</v>
      </c>
      <c r="B569" s="38" t="s">
        <v>3665</v>
      </c>
      <c r="C569" s="38" t="s">
        <v>504</v>
      </c>
      <c r="D569" s="39" t="s">
        <v>505</v>
      </c>
      <c r="E569" s="38" t="s">
        <v>3177</v>
      </c>
      <c r="F569" s="40"/>
      <c r="G569" s="40"/>
      <c r="H569" s="41" t="str">
        <f>VLOOKUP(C569,Stores!$A$200:$G$1118,3,0)</f>
        <v>Opened Stores</v>
      </c>
      <c r="I569" s="41" t="str">
        <f>VLOOKUP(C569,Stores!$A$200:$G$1118,4,0)</f>
        <v>Stage 7 - Installed</v>
      </c>
      <c r="J569" s="41" t="str">
        <f>VLOOKUP(C569,Stores!$A$200:$G$1118,5,0)</f>
        <v>ZKTECO</v>
      </c>
      <c r="K569" s="41" t="str">
        <f>VLOOKUP(C569,Stores!$A$200:$G$1118,6,0)</f>
        <v>ZKM6251500007</v>
      </c>
      <c r="L569" s="41" t="str">
        <f>VLOOKUP(C569,Stores!$A$200:$G$1118,7,0)</f>
        <v>192.168.1.201</v>
      </c>
      <c r="M569" s="42" t="s">
        <v>3664</v>
      </c>
    </row>
    <row r="570">
      <c r="A570" s="38" t="s">
        <v>2962</v>
      </c>
      <c r="B570" s="38" t="s">
        <v>3666</v>
      </c>
      <c r="C570" s="38" t="s">
        <v>1228</v>
      </c>
      <c r="D570" s="39" t="s">
        <v>1229</v>
      </c>
      <c r="E570" s="38" t="s">
        <v>3177</v>
      </c>
      <c r="F570" s="40"/>
      <c r="G570" s="40"/>
      <c r="H570" s="41" t="str">
        <f>VLOOKUP(C570,Stores!$A$200:$G$1118,3,0)</f>
        <v>Opened Stores</v>
      </c>
      <c r="I570" s="41" t="str">
        <f>VLOOKUP(C570,Stores!$A$200:$G$1118,4,0)</f>
        <v>Stage 7 - Installed</v>
      </c>
      <c r="J570" s="41" t="str">
        <f>VLOOKUP(C570,Stores!$A$200:$G$1118,5,0)</f>
        <v>ZKTECO</v>
      </c>
      <c r="K570" s="41" t="str">
        <f>VLOOKUP(C570,Stores!$A$200:$G$1118,6,0)</f>
        <v>ZKM6245100221</v>
      </c>
      <c r="L570" s="41" t="str">
        <f>VLOOKUP(C570,Stores!$A$200:$G$1118,7,0)</f>
        <v>192.168.1.201</v>
      </c>
      <c r="M570" s="42" t="s">
        <v>3664</v>
      </c>
    </row>
    <row r="571">
      <c r="A571" s="38" t="s">
        <v>2962</v>
      </c>
      <c r="B571" s="38" t="s">
        <v>3667</v>
      </c>
      <c r="C571" s="38" t="s">
        <v>426</v>
      </c>
      <c r="D571" s="39" t="s">
        <v>427</v>
      </c>
      <c r="E571" s="38" t="s">
        <v>3177</v>
      </c>
      <c r="F571" s="40"/>
      <c r="G571" s="40"/>
      <c r="H571" s="41" t="str">
        <f>VLOOKUP(C571,Stores!$A$200:$G$1118,3,0)</f>
        <v>Opened Stores</v>
      </c>
      <c r="I571" s="41" t="str">
        <f>VLOOKUP(C571,Stores!$A$200:$G$1118,4,0)</f>
        <v>Stage 7 - Installed</v>
      </c>
      <c r="J571" s="41" t="str">
        <f>VLOOKUP(C571,Stores!$A$200:$G$1118,5,0)</f>
        <v>FINGERTEC</v>
      </c>
      <c r="K571" s="41">
        <f>VLOOKUP(C571,Stores!$A$200:$G$1118,6,0)</f>
        <v>7415909</v>
      </c>
      <c r="L571" s="41" t="str">
        <f>VLOOKUP(C571,Stores!$A$200:$G$1118,7,0)</f>
        <v>192.168.1.201</v>
      </c>
      <c r="M571" s="42" t="s">
        <v>3664</v>
      </c>
    </row>
    <row r="572">
      <c r="A572" s="38" t="s">
        <v>2962</v>
      </c>
      <c r="B572" s="38" t="s">
        <v>3668</v>
      </c>
      <c r="C572" s="38" t="s">
        <v>2826</v>
      </c>
      <c r="D572" s="39" t="s">
        <v>2827</v>
      </c>
      <c r="E572" s="38" t="s">
        <v>3177</v>
      </c>
      <c r="F572" s="40"/>
      <c r="G572" s="40"/>
      <c r="H572" s="41" t="str">
        <f>VLOOKUP(C572,Stores!$A$200:$G$1118,3,0)</f>
        <v>Opened Stores</v>
      </c>
      <c r="I572" s="41" t="str">
        <f>VLOOKUP(C572,Stores!$A$200:$G$1118,4,0)</f>
        <v>Stage 7 - Installed</v>
      </c>
      <c r="J572" s="41" t="str">
        <f>VLOOKUP(C572,Stores!$A$200:$G$1118,5,0)</f>
        <v>ZKTECO</v>
      </c>
      <c r="K572" s="41" t="str">
        <f>VLOOKUP(C572,Stores!$A$200:$G$1118,6,0)</f>
        <v>PAS4252900244</v>
      </c>
      <c r="L572" s="41" t="str">
        <f>VLOOKUP(C572,Stores!$A$200:$G$1118,7,0)</f>
        <v>192.168.1.201</v>
      </c>
      <c r="M572" s="42" t="s">
        <v>3664</v>
      </c>
    </row>
    <row r="573">
      <c r="A573" s="38" t="s">
        <v>2962</v>
      </c>
      <c r="B573" s="38" t="s">
        <v>3669</v>
      </c>
      <c r="C573" s="38" t="s">
        <v>2578</v>
      </c>
      <c r="D573" s="39" t="s">
        <v>3670</v>
      </c>
      <c r="E573" s="38" t="s">
        <v>3177</v>
      </c>
      <c r="F573" s="40"/>
      <c r="G573" s="40"/>
      <c r="H573" s="41" t="str">
        <f>VLOOKUP(C573,Stores!$A$200:$G$1118,3,0)</f>
        <v>Opened Stores</v>
      </c>
      <c r="I573" s="41" t="str">
        <f>VLOOKUP(C573,Stores!$A$200:$G$1118,4,0)</f>
        <v>Stage 7 - Installed</v>
      </c>
      <c r="J573" s="41" t="str">
        <f>VLOOKUP(C573,Stores!$A$200:$G$1118,5,0)</f>
        <v>ZKTECO</v>
      </c>
      <c r="K573" s="41" t="str">
        <f>VLOOKUP(C573,Stores!$A$200:$G$1118,6,0)</f>
        <v>ZKM6251400073</v>
      </c>
      <c r="L573" s="41" t="str">
        <f>VLOOKUP(C573,Stores!$A$200:$G$1118,7,0)</f>
        <v>192.168.1.201</v>
      </c>
      <c r="M573" s="42" t="s">
        <v>3664</v>
      </c>
    </row>
    <row r="574">
      <c r="A574" s="38" t="s">
        <v>2962</v>
      </c>
      <c r="B574" s="38" t="s">
        <v>3671</v>
      </c>
      <c r="C574" s="38" t="s">
        <v>2372</v>
      </c>
      <c r="D574" s="39" t="s">
        <v>2373</v>
      </c>
      <c r="E574" s="38" t="s">
        <v>3177</v>
      </c>
      <c r="F574" s="40"/>
      <c r="G574" s="40"/>
      <c r="H574" s="41" t="str">
        <f>VLOOKUP(C574,Stores!$A$200:$G$1118,3,0)</f>
        <v>Opened Stores</v>
      </c>
      <c r="I574" s="41" t="str">
        <f>VLOOKUP(C574,Stores!$A$200:$G$1118,4,0)</f>
        <v>Stage 7 - Installed</v>
      </c>
      <c r="J574" s="41" t="str">
        <f>VLOOKUP(C574,Stores!$A$200:$G$1118,5,0)</f>
        <v>ZKTECO</v>
      </c>
      <c r="K574" s="41" t="str">
        <f>VLOOKUP(C574,Stores!$A$200:$G$1118,6,0)</f>
        <v>ZKM6245100239</v>
      </c>
      <c r="L574" s="41" t="str">
        <f>VLOOKUP(C574,Stores!$A$200:$G$1118,7,0)</f>
        <v>192.168.1.201</v>
      </c>
      <c r="M574" s="42" t="s">
        <v>3664</v>
      </c>
    </row>
    <row r="575">
      <c r="A575" s="38" t="s">
        <v>2962</v>
      </c>
      <c r="B575" s="38" t="s">
        <v>3672</v>
      </c>
      <c r="C575" s="38" t="s">
        <v>539</v>
      </c>
      <c r="D575" s="39" t="s">
        <v>540</v>
      </c>
      <c r="E575" s="38" t="s">
        <v>3177</v>
      </c>
      <c r="F575" s="40"/>
      <c r="G575" s="40"/>
      <c r="H575" s="41" t="str">
        <f>VLOOKUP(C575,Stores!$A$200:$G$1118,3,0)</f>
        <v>Opened Stores</v>
      </c>
      <c r="I575" s="41" t="str">
        <f>VLOOKUP(C575,Stores!$A$200:$G$1118,4,0)</f>
        <v>Stage 7 - Installed</v>
      </c>
      <c r="J575" s="41" t="str">
        <f>VLOOKUP(C575,Stores!$A$200:$G$1118,5,0)</f>
        <v>FINGERTEC</v>
      </c>
      <c r="K575" s="41">
        <f>VLOOKUP(C575,Stores!$A$200:$G$1118,6,0)</f>
        <v>7420083</v>
      </c>
      <c r="L575" s="41" t="str">
        <f>VLOOKUP(C575,Stores!$A$200:$G$1118,7,0)</f>
        <v>192.168.1.201</v>
      </c>
      <c r="M575" s="42" t="s">
        <v>3664</v>
      </c>
    </row>
    <row r="576">
      <c r="A576" s="38" t="s">
        <v>2962</v>
      </c>
      <c r="B576" s="38" t="s">
        <v>3673</v>
      </c>
      <c r="C576" s="38" t="s">
        <v>2898</v>
      </c>
      <c r="D576" s="39" t="s">
        <v>2899</v>
      </c>
      <c r="E576" s="38" t="s">
        <v>3177</v>
      </c>
      <c r="F576" s="40"/>
      <c r="G576" s="40"/>
      <c r="H576" s="41" t="str">
        <f>VLOOKUP(C576,Stores!$A$200:$G$1118,3,0)</f>
        <v>Opened Stores</v>
      </c>
      <c r="I576" s="41" t="str">
        <f>VLOOKUP(C576,Stores!$A$200:$G$1118,4,0)</f>
        <v>Stage 7 - Installed</v>
      </c>
      <c r="J576" s="41" t="str">
        <f>VLOOKUP(C576,Stores!$A$200:$G$1118,5,0)</f>
        <v>ZKTECO</v>
      </c>
      <c r="K576" s="41" t="str">
        <f>VLOOKUP(C576,Stores!$A$200:$G$1118,6,0)</f>
        <v>PAS4252900287</v>
      </c>
      <c r="L576" s="41" t="str">
        <f>VLOOKUP(C576,Stores!$A$200:$G$1118,7,0)</f>
        <v>192.168.1.201</v>
      </c>
      <c r="M576" s="42" t="s">
        <v>3664</v>
      </c>
    </row>
    <row r="577">
      <c r="A577" s="38" t="s">
        <v>2962</v>
      </c>
      <c r="B577" s="38" t="s">
        <v>3674</v>
      </c>
      <c r="C577" s="38" t="s">
        <v>548</v>
      </c>
      <c r="D577" s="39" t="s">
        <v>549</v>
      </c>
      <c r="E577" s="38" t="s">
        <v>3177</v>
      </c>
      <c r="F577" s="40"/>
      <c r="G577" s="40"/>
      <c r="H577" s="41" t="str">
        <f>VLOOKUP(C577,Stores!$A$200:$G$1118,3,0)</f>
        <v>Opened Stores</v>
      </c>
      <c r="I577" s="41" t="str">
        <f>VLOOKUP(C577,Stores!$A$200:$G$1118,4,0)</f>
        <v>Stage 7 - Installed</v>
      </c>
      <c r="J577" s="41" t="str">
        <f>VLOOKUP(C577,Stores!$A$200:$G$1118,5,0)</f>
        <v>FINGERTEC</v>
      </c>
      <c r="K577" s="41">
        <f>VLOOKUP(C577,Stores!$A$200:$G$1118,6,0)</f>
        <v>7420086</v>
      </c>
      <c r="L577" s="41" t="str">
        <f>VLOOKUP(C577,Stores!$A$200:$G$1118,7,0)</f>
        <v>192.168.1.201</v>
      </c>
      <c r="M577" s="42" t="s">
        <v>3664</v>
      </c>
    </row>
    <row r="578">
      <c r="A578" s="38" t="s">
        <v>2962</v>
      </c>
      <c r="B578" s="38" t="s">
        <v>3675</v>
      </c>
      <c r="C578" s="38" t="s">
        <v>699</v>
      </c>
      <c r="D578" s="39" t="e">
        <v>#N/A</v>
      </c>
      <c r="E578" s="38" t="s">
        <v>3177</v>
      </c>
      <c r="F578" s="40"/>
      <c r="G578" s="40"/>
      <c r="H578" s="41" t="str">
        <f>VLOOKUP(C578,Stores!$A$200:$G$1118,3,0)</f>
        <v>Opened Stores</v>
      </c>
      <c r="I578" s="41" t="str">
        <f>VLOOKUP(C578,Stores!$A$200:$G$1118,4,0)</f>
        <v>Stage 7 - Installed</v>
      </c>
      <c r="J578" s="41" t="str">
        <f>VLOOKUP(C578,Stores!$A$200:$G$1118,5,0)</f>
        <v>FINGERTEC</v>
      </c>
      <c r="K578" s="41">
        <f>VLOOKUP(C578,Stores!$A$200:$G$1118,6,0)</f>
        <v>7423458</v>
      </c>
      <c r="L578" s="41" t="str">
        <f>VLOOKUP(C578,Stores!$A$200:$G$1118,7,0)</f>
        <v>192.168.1.201</v>
      </c>
      <c r="M578" s="42" t="s">
        <v>3664</v>
      </c>
    </row>
    <row r="579">
      <c r="A579" s="38" t="s">
        <v>2962</v>
      </c>
      <c r="B579" s="38" t="s">
        <v>3676</v>
      </c>
      <c r="C579" s="38" t="s">
        <v>588</v>
      </c>
      <c r="D579" s="39" t="s">
        <v>589</v>
      </c>
      <c r="E579" s="38" t="s">
        <v>3177</v>
      </c>
      <c r="F579" s="40"/>
      <c r="G579" s="40"/>
      <c r="H579" s="41" t="str">
        <f>VLOOKUP(C579,Stores!$A$200:$G$1118,3,0)</f>
        <v>Opened Stores</v>
      </c>
      <c r="I579" s="41" t="str">
        <f>VLOOKUP(C579,Stores!$A$200:$G$1118,4,0)</f>
        <v>Stage 7 - Installed</v>
      </c>
      <c r="J579" s="41" t="str">
        <f>VLOOKUP(C579,Stores!$A$200:$G$1118,5,0)</f>
        <v>FINGERTEC</v>
      </c>
      <c r="K579" s="41">
        <f>VLOOKUP(C579,Stores!$A$200:$G$1118,6,0)</f>
        <v>7423449</v>
      </c>
      <c r="L579" s="41" t="str">
        <f>VLOOKUP(C579,Stores!$A$200:$G$1118,7,0)</f>
        <v>192.168.1.201</v>
      </c>
      <c r="M579" s="42" t="s">
        <v>3664</v>
      </c>
    </row>
    <row r="580">
      <c r="A580" s="38" t="s">
        <v>2962</v>
      </c>
      <c r="B580" s="38" t="s">
        <v>3677</v>
      </c>
      <c r="C580" s="38" t="s">
        <v>2215</v>
      </c>
      <c r="D580" s="39" t="s">
        <v>2216</v>
      </c>
      <c r="E580" s="38" t="s">
        <v>3177</v>
      </c>
      <c r="F580" s="40"/>
      <c r="G580" s="40"/>
      <c r="H580" s="41" t="str">
        <f>VLOOKUP(C580,Stores!$A$200:$G$1118,3,0)</f>
        <v>Opened Stores</v>
      </c>
      <c r="I580" s="41" t="str">
        <f>VLOOKUP(C580,Stores!$A$200:$G$1118,4,0)</f>
        <v>Stage 7 - Installed</v>
      </c>
      <c r="J580" s="41" t="str">
        <f>VLOOKUP(C580,Stores!$A$200:$G$1118,5,0)</f>
        <v>ZKTECO</v>
      </c>
      <c r="K580" s="41" t="str">
        <f>VLOOKUP(C580,Stores!$A$200:$G$1118,6,0)</f>
        <v>CQUJ233560040</v>
      </c>
      <c r="L580" s="41" t="str">
        <f>VLOOKUP(C580,Stores!$A$200:$G$1118,7,0)</f>
        <v>192.168.1.201</v>
      </c>
      <c r="M580" s="42" t="s">
        <v>3664</v>
      </c>
    </row>
    <row r="581">
      <c r="A581" s="38" t="s">
        <v>2962</v>
      </c>
      <c r="B581" s="38" t="s">
        <v>3678</v>
      </c>
      <c r="C581" s="38" t="s">
        <v>2769</v>
      </c>
      <c r="D581" s="39" t="s">
        <v>2770</v>
      </c>
      <c r="E581" s="38" t="s">
        <v>3177</v>
      </c>
      <c r="F581" s="40"/>
      <c r="G581" s="40"/>
      <c r="H581" s="41" t="str">
        <f>VLOOKUP(C581,Stores!$A$200:$G$1118,3,0)</f>
        <v>Opened Stores</v>
      </c>
      <c r="I581" s="41" t="str">
        <f>VLOOKUP(C581,Stores!$A$200:$G$1118,4,0)</f>
        <v>Stage 7 - Installed</v>
      </c>
      <c r="J581" s="41" t="str">
        <f>VLOOKUP(C581,Stores!$A$200:$G$1118,5,0)</f>
        <v>ZKTECO</v>
      </c>
      <c r="K581" s="41" t="str">
        <f>VLOOKUP(C581,Stores!$A$200:$G$1118,6,0)</f>
        <v>PAS4252900289</v>
      </c>
      <c r="L581" s="41" t="str">
        <f>VLOOKUP(C581,Stores!$A$200:$G$1118,7,0)</f>
        <v>192.168.1.201</v>
      </c>
      <c r="M581" s="42" t="s">
        <v>3664</v>
      </c>
    </row>
    <row r="582">
      <c r="A582" s="38" t="s">
        <v>2962</v>
      </c>
      <c r="B582" s="38" t="s">
        <v>3679</v>
      </c>
      <c r="C582" s="38" t="s">
        <v>817</v>
      </c>
      <c r="D582" s="39" t="s">
        <v>818</v>
      </c>
      <c r="E582" s="38" t="s">
        <v>3177</v>
      </c>
      <c r="F582" s="40"/>
      <c r="G582" s="40"/>
      <c r="H582" s="41" t="str">
        <f>VLOOKUP(C582,Stores!$A$200:$G$1118,3,0)</f>
        <v>Opened Stores</v>
      </c>
      <c r="I582" s="41" t="str">
        <f>VLOOKUP(C582,Stores!$A$200:$G$1118,4,0)</f>
        <v>Stage 7 - Installed</v>
      </c>
      <c r="J582" s="41" t="str">
        <f>VLOOKUP(C582,Stores!$A$200:$G$1118,5,0)</f>
        <v>FINGERTEC</v>
      </c>
      <c r="K582" s="41">
        <f>VLOOKUP(C582,Stores!$A$200:$G$1118,6,0)</f>
        <v>7425415</v>
      </c>
      <c r="L582" s="41" t="str">
        <f>VLOOKUP(C582,Stores!$A$200:$G$1118,7,0)</f>
        <v>192.168.1.201</v>
      </c>
      <c r="M582" s="42" t="s">
        <v>3664</v>
      </c>
    </row>
    <row r="583">
      <c r="A583" s="38" t="s">
        <v>2962</v>
      </c>
      <c r="B583" s="38" t="s">
        <v>3680</v>
      </c>
      <c r="C583" s="38" t="s">
        <v>2793</v>
      </c>
      <c r="D583" s="39" t="s">
        <v>2794</v>
      </c>
      <c r="E583" s="38" t="s">
        <v>3177</v>
      </c>
      <c r="F583" s="40"/>
      <c r="G583" s="40"/>
      <c r="H583" s="41" t="str">
        <f>VLOOKUP(C583,Stores!$A$200:$G$1118,3,0)</f>
        <v>Opened Stores</v>
      </c>
      <c r="I583" s="41" t="str">
        <f>VLOOKUP(C583,Stores!$A$200:$G$1118,4,0)</f>
        <v>Stage 7 - Installed</v>
      </c>
      <c r="J583" s="41" t="str">
        <f>VLOOKUP(C583,Stores!$A$200:$G$1118,5,0)</f>
        <v>ZKTECO</v>
      </c>
      <c r="K583" s="41" t="str">
        <f>VLOOKUP(C583,Stores!$A$200:$G$1118,6,0)</f>
        <v>ZKM6251700025</v>
      </c>
      <c r="L583" s="41" t="str">
        <f>VLOOKUP(C583,Stores!$A$200:$G$1118,7,0)</f>
        <v>192.168.1.201</v>
      </c>
      <c r="M583" s="42" t="s">
        <v>3664</v>
      </c>
    </row>
    <row r="584">
      <c r="A584" s="38" t="s">
        <v>2962</v>
      </c>
      <c r="B584" s="38" t="s">
        <v>3681</v>
      </c>
      <c r="C584" s="38" t="s">
        <v>1913</v>
      </c>
      <c r="D584" s="39" t="s">
        <v>1914</v>
      </c>
      <c r="E584" s="38" t="s">
        <v>3177</v>
      </c>
      <c r="F584" s="40"/>
      <c r="G584" s="40"/>
      <c r="H584" s="41" t="str">
        <f>VLOOKUP(C584,Stores!$A$200:$G$1118,3,0)</f>
        <v>Opened Stores</v>
      </c>
      <c r="I584" s="41" t="str">
        <f>VLOOKUP(C584,Stores!$A$200:$G$1118,4,0)</f>
        <v>Stage 7 - Installed</v>
      </c>
      <c r="J584" s="41" t="str">
        <f>VLOOKUP(C584,Stores!$A$200:$G$1118,5,0)</f>
        <v>ZKTECO</v>
      </c>
      <c r="K584" s="41" t="str">
        <f>VLOOKUP(C584,Stores!$A$200:$G$1118,6,0)</f>
        <v>CQUJ233561090</v>
      </c>
      <c r="L584" s="41" t="str">
        <f>VLOOKUP(C584,Stores!$A$200:$G$1118,7,0)</f>
        <v>192.168.1.201</v>
      </c>
      <c r="M584" s="42" t="s">
        <v>3664</v>
      </c>
    </row>
    <row r="585">
      <c r="A585" s="38" t="s">
        <v>2962</v>
      </c>
      <c r="B585" s="38" t="s">
        <v>3682</v>
      </c>
      <c r="C585" s="38" t="s">
        <v>2051</v>
      </c>
      <c r="D585" s="39" t="s">
        <v>2052</v>
      </c>
      <c r="E585" s="38" t="s">
        <v>3177</v>
      </c>
      <c r="F585" s="40"/>
      <c r="G585" s="40"/>
      <c r="H585" s="41" t="str">
        <f>VLOOKUP(C585,Stores!$A$200:$G$1118,3,0)</f>
        <v>Opened Stores</v>
      </c>
      <c r="I585" s="41" t="str">
        <f>VLOOKUP(C585,Stores!$A$200:$G$1118,4,0)</f>
        <v>Stage 7 - Installed</v>
      </c>
      <c r="J585" s="41" t="str">
        <f>VLOOKUP(C585,Stores!$A$200:$G$1118,5,0)</f>
        <v>ZKTECO</v>
      </c>
      <c r="K585" s="41" t="str">
        <f>VLOOKUP(C585,Stores!$A$200:$G$1118,6,0)</f>
        <v>CQUJ232260332</v>
      </c>
      <c r="L585" s="41" t="str">
        <f>VLOOKUP(C585,Stores!$A$200:$G$1118,7,0)</f>
        <v>192.168.1.201</v>
      </c>
      <c r="M585" s="42" t="s">
        <v>3664</v>
      </c>
    </row>
    <row r="586">
      <c r="A586" s="38" t="s">
        <v>2962</v>
      </c>
      <c r="B586" s="38" t="s">
        <v>3683</v>
      </c>
      <c r="C586" s="38" t="s">
        <v>2944</v>
      </c>
      <c r="D586" s="39" t="s">
        <v>2945</v>
      </c>
      <c r="E586" s="38" t="s">
        <v>3177</v>
      </c>
      <c r="F586" s="40"/>
      <c r="G586" s="40"/>
      <c r="H586" s="41" t="str">
        <f>VLOOKUP(C586,Stores!$A$200:$G$1118,3,0)</f>
        <v>Opened Stores</v>
      </c>
      <c r="I586" s="41" t="str">
        <f>VLOOKUP(C586,Stores!$A$200:$G$1118,4,0)</f>
        <v>Stage 7 - Installed</v>
      </c>
      <c r="J586" s="41" t="str">
        <f>VLOOKUP(C586,Stores!$A$200:$G$1118,5,0)</f>
        <v>ZKTECO</v>
      </c>
      <c r="K586" s="41" t="str">
        <f>VLOOKUP(C586,Stores!$A$200:$G$1118,6,0)</f>
        <v>PAS4252900008</v>
      </c>
      <c r="L586" s="41" t="str">
        <f>VLOOKUP(C586,Stores!$A$200:$G$1118,7,0)</f>
        <v>192.168.1.201</v>
      </c>
      <c r="M586" s="42" t="s">
        <v>3664</v>
      </c>
    </row>
    <row r="587">
      <c r="A587" s="38" t="s">
        <v>2962</v>
      </c>
      <c r="B587" s="38" t="s">
        <v>3684</v>
      </c>
      <c r="C587" s="38" t="s">
        <v>1710</v>
      </c>
      <c r="D587" s="39" t="s">
        <v>1711</v>
      </c>
      <c r="E587" s="38" t="s">
        <v>3177</v>
      </c>
      <c r="F587" s="40"/>
      <c r="G587" s="40"/>
      <c r="H587" s="41" t="str">
        <f>VLOOKUP(C587,Stores!$A$200:$G$1118,3,0)</f>
        <v>Opened Stores</v>
      </c>
      <c r="I587" s="41" t="str">
        <f>VLOOKUP(C587,Stores!$A$200:$G$1118,4,0)</f>
        <v>Stage 7 - Installed</v>
      </c>
      <c r="J587" s="41" t="str">
        <f>VLOOKUP(C587,Stores!$A$200:$G$1118,5,0)</f>
        <v>ZKTECO</v>
      </c>
      <c r="K587" s="41" t="str">
        <f>VLOOKUP(C587,Stores!$A$200:$G$1118,6,0)</f>
        <v>AEYU082360198</v>
      </c>
      <c r="L587" s="41" t="str">
        <f>VLOOKUP(C587,Stores!$A$200:$G$1118,7,0)</f>
        <v>192.168.1.201</v>
      </c>
      <c r="M587" s="42" t="s">
        <v>3664</v>
      </c>
    </row>
    <row r="588">
      <c r="A588" s="38" t="s">
        <v>2962</v>
      </c>
      <c r="B588" s="38" t="s">
        <v>3685</v>
      </c>
      <c r="C588" s="38" t="s">
        <v>637</v>
      </c>
      <c r="D588" s="39" t="s">
        <v>638</v>
      </c>
      <c r="E588" s="38" t="s">
        <v>3177</v>
      </c>
      <c r="F588" s="40"/>
      <c r="G588" s="40"/>
      <c r="H588" s="41" t="str">
        <f>VLOOKUP(C588,Stores!$A$200:$G$1118,3,0)</f>
        <v>Opened Stores</v>
      </c>
      <c r="I588" s="41" t="str">
        <f>VLOOKUP(C588,Stores!$A$200:$G$1118,4,0)</f>
        <v>Stage 7 - Installed</v>
      </c>
      <c r="J588" s="41" t="str">
        <f>VLOOKUP(C588,Stores!$A$200:$G$1118,5,0)</f>
        <v>FINGERTEC</v>
      </c>
      <c r="K588" s="41">
        <f>VLOOKUP(C588,Stores!$A$200:$G$1118,6,0)</f>
        <v>7421972</v>
      </c>
      <c r="L588" s="41" t="str">
        <f>VLOOKUP(C588,Stores!$A$200:$G$1118,7,0)</f>
        <v>192.168.1.201</v>
      </c>
      <c r="M588" s="42" t="s">
        <v>3664</v>
      </c>
    </row>
    <row r="589">
      <c r="A589" s="38" t="s">
        <v>2962</v>
      </c>
      <c r="B589" s="38" t="s">
        <v>3686</v>
      </c>
      <c r="C589" s="38" t="s">
        <v>2390</v>
      </c>
      <c r="D589" s="39" t="s">
        <v>2391</v>
      </c>
      <c r="E589" s="38" t="s">
        <v>3177</v>
      </c>
      <c r="F589" s="40"/>
      <c r="G589" s="40"/>
      <c r="H589" s="41" t="str">
        <f>VLOOKUP(C589,Stores!$A$200:$G$1118,3,0)</f>
        <v>Opened Stores</v>
      </c>
      <c r="I589" s="41" t="str">
        <f>VLOOKUP(C589,Stores!$A$200:$G$1118,4,0)</f>
        <v>Stage 7 - Installed</v>
      </c>
      <c r="J589" s="41" t="str">
        <f>VLOOKUP(C589,Stores!$A$200:$G$1118,5,0)</f>
        <v>ZKTECO</v>
      </c>
      <c r="K589" s="41" t="str">
        <f>VLOOKUP(C589,Stores!$A$200:$G$1118,6,0)</f>
        <v>ZKM6245100265</v>
      </c>
      <c r="L589" s="41" t="str">
        <f>VLOOKUP(C589,Stores!$A$200:$G$1118,7,0)</f>
        <v>192.168.1.201</v>
      </c>
      <c r="M589" s="42" t="s">
        <v>3664</v>
      </c>
    </row>
    <row r="590">
      <c r="A590" s="38" t="s">
        <v>2962</v>
      </c>
      <c r="B590" s="38" t="s">
        <v>3687</v>
      </c>
      <c r="C590" s="38" t="s">
        <v>1412</v>
      </c>
      <c r="D590" s="39" t="s">
        <v>1413</v>
      </c>
      <c r="E590" s="38" t="s">
        <v>3177</v>
      </c>
      <c r="F590" s="40"/>
      <c r="G590" s="40"/>
      <c r="H590" s="41" t="str">
        <f>VLOOKUP(C590,Stores!$A$200:$G$1118,3,0)</f>
        <v>Opened Stores</v>
      </c>
      <c r="I590" s="41" t="str">
        <f>VLOOKUP(C590,Stores!$A$200:$G$1118,4,0)</f>
        <v>Stage 7 - Installed</v>
      </c>
      <c r="J590" s="41" t="str">
        <f>VLOOKUP(C590,Stores!$A$200:$G$1118,5,0)</f>
        <v>ZKTECO</v>
      </c>
      <c r="K590" s="41" t="str">
        <f>VLOOKUP(C590,Stores!$A$200:$G$1118,6,0)</f>
        <v>CQUJ233560674</v>
      </c>
      <c r="L590" s="41" t="str">
        <f>VLOOKUP(C590,Stores!$A$200:$G$1118,7,0)</f>
        <v>192.168.1.201</v>
      </c>
      <c r="M590" s="42" t="s">
        <v>3664</v>
      </c>
    </row>
    <row r="591">
      <c r="A591" s="38" t="s">
        <v>2962</v>
      </c>
      <c r="B591" s="38" t="s">
        <v>3688</v>
      </c>
      <c r="C591" s="38" t="s">
        <v>2257</v>
      </c>
      <c r="D591" s="39" t="s">
        <v>3689</v>
      </c>
      <c r="E591" s="38" t="s">
        <v>3177</v>
      </c>
      <c r="F591" s="40"/>
      <c r="G591" s="40"/>
      <c r="H591" s="41" t="str">
        <f>VLOOKUP(C591,Stores!$A$200:$G$1118,3,0)</f>
        <v>Opened Stores</v>
      </c>
      <c r="I591" s="41" t="str">
        <f>VLOOKUP(C591,Stores!$A$200:$G$1118,4,0)</f>
        <v>Stage 7 - Installed</v>
      </c>
      <c r="J591" s="41" t="str">
        <f>VLOOKUP(C591,Stores!$A$200:$G$1118,5,0)</f>
        <v>ZKTECO</v>
      </c>
      <c r="K591" s="41" t="str">
        <f>VLOOKUP(C591,Stores!$A$200:$G$1118,6,0)</f>
        <v>CQUJ233560137</v>
      </c>
      <c r="L591" s="41" t="str">
        <f>VLOOKUP(C591,Stores!$A$200:$G$1118,7,0)</f>
        <v>192.168.1.201</v>
      </c>
      <c r="M591" s="42" t="s">
        <v>3664</v>
      </c>
    </row>
    <row r="592">
      <c r="A592" s="38" t="s">
        <v>2962</v>
      </c>
      <c r="B592" s="38" t="s">
        <v>3690</v>
      </c>
      <c r="C592" s="38" t="s">
        <v>1122</v>
      </c>
      <c r="D592" s="39" t="s">
        <v>1123</v>
      </c>
      <c r="E592" s="38" t="s">
        <v>3177</v>
      </c>
      <c r="F592" s="40"/>
      <c r="G592" s="40"/>
      <c r="H592" s="41" t="str">
        <f>VLOOKUP(C592,Stores!$A$200:$G$1118,3,0)</f>
        <v>Opened Stores</v>
      </c>
      <c r="I592" s="41" t="str">
        <f>VLOOKUP(C592,Stores!$A$200:$G$1118,4,0)</f>
        <v>Stage 7 - Installed</v>
      </c>
      <c r="J592" s="41" t="str">
        <f>VLOOKUP(C592,Stores!$A$200:$G$1118,5,0)</f>
        <v>ZKTECO</v>
      </c>
      <c r="K592" s="41" t="str">
        <f>VLOOKUP(C592,Stores!$A$200:$G$1118,6,0)</f>
        <v>ZKM6245100039</v>
      </c>
      <c r="L592" s="41" t="str">
        <f>VLOOKUP(C592,Stores!$A$200:$G$1118,7,0)</f>
        <v>192.168.1.202</v>
      </c>
      <c r="M592" s="42" t="s">
        <v>3664</v>
      </c>
    </row>
    <row r="593">
      <c r="A593" s="38" t="s">
        <v>2962</v>
      </c>
      <c r="B593" s="38" t="s">
        <v>3691</v>
      </c>
      <c r="C593" s="38" t="s">
        <v>1994</v>
      </c>
      <c r="D593" s="39" t="s">
        <v>1995</v>
      </c>
      <c r="E593" s="38" t="s">
        <v>3177</v>
      </c>
      <c r="F593" s="40"/>
      <c r="G593" s="40"/>
      <c r="H593" s="41" t="str">
        <f>VLOOKUP(C593,Stores!$A$200:$G$1118,3,0)</f>
        <v>Opened Stores</v>
      </c>
      <c r="I593" s="41" t="str">
        <f>VLOOKUP(C593,Stores!$A$200:$G$1118,4,0)</f>
        <v>Stage 7 - Installed</v>
      </c>
      <c r="J593" s="41" t="str">
        <f>VLOOKUP(C593,Stores!$A$200:$G$1118,5,0)</f>
        <v>ZKTECO</v>
      </c>
      <c r="K593" s="41" t="str">
        <f>VLOOKUP(C593,Stores!$A$200:$G$1118,6,0)</f>
        <v>CQUJ233560862</v>
      </c>
      <c r="L593" s="41" t="str">
        <f>VLOOKUP(C593,Stores!$A$200:$G$1118,7,0)</f>
        <v>192.168.1.201</v>
      </c>
      <c r="M593" s="42" t="s">
        <v>3664</v>
      </c>
    </row>
    <row r="594">
      <c r="A594" s="38" t="s">
        <v>2962</v>
      </c>
      <c r="B594" s="38" t="s">
        <v>3692</v>
      </c>
      <c r="C594" s="38" t="s">
        <v>1910</v>
      </c>
      <c r="D594" s="39" t="s">
        <v>1911</v>
      </c>
      <c r="E594" s="38" t="s">
        <v>3177</v>
      </c>
      <c r="F594" s="40"/>
      <c r="G594" s="40"/>
      <c r="H594" s="41" t="str">
        <f>VLOOKUP(C594,Stores!$A$200:$G$1118,3,0)</f>
        <v>Opened Stores</v>
      </c>
      <c r="I594" s="41" t="str">
        <f>VLOOKUP(C594,Stores!$A$200:$G$1118,4,0)</f>
        <v>Stage 7 - Installed</v>
      </c>
      <c r="J594" s="41" t="str">
        <f>VLOOKUP(C594,Stores!$A$200:$G$1118,5,0)</f>
        <v>ZKTECO</v>
      </c>
      <c r="K594" s="41" t="str">
        <f>VLOOKUP(C594,Stores!$A$200:$G$1118,6,0)</f>
        <v>CQUJ233561162</v>
      </c>
      <c r="L594" s="41" t="str">
        <f>VLOOKUP(C594,Stores!$A$200:$G$1118,7,0)</f>
        <v>192.168.1.201</v>
      </c>
      <c r="M594" s="42" t="s">
        <v>3664</v>
      </c>
    </row>
    <row r="595">
      <c r="A595" s="38" t="s">
        <v>2962</v>
      </c>
      <c r="B595" s="38" t="s">
        <v>3693</v>
      </c>
      <c r="C595" s="38" t="s">
        <v>2108</v>
      </c>
      <c r="D595" s="39" t="s">
        <v>3694</v>
      </c>
      <c r="E595" s="38" t="s">
        <v>3177</v>
      </c>
      <c r="F595" s="40"/>
      <c r="G595" s="40"/>
      <c r="H595" s="41" t="str">
        <f>VLOOKUP(C595,Stores!$A$200:$G$1118,3,0)</f>
        <v>Opened Stores</v>
      </c>
      <c r="I595" s="41" t="str">
        <f>VLOOKUP(C595,Stores!$A$200:$G$1118,4,0)</f>
        <v>Stage 7 - Installed</v>
      </c>
      <c r="J595" s="41" t="str">
        <f>VLOOKUP(C595,Stores!$A$200:$G$1118,5,0)</f>
        <v>ZKTECO</v>
      </c>
      <c r="K595" s="41" t="str">
        <f>VLOOKUP(C595,Stores!$A$200:$G$1118,6,0)</f>
        <v>CQUJ233560051</v>
      </c>
      <c r="L595" s="41" t="str">
        <f>VLOOKUP(C595,Stores!$A$200:$G$1118,7,0)</f>
        <v>192.168.1.201</v>
      </c>
      <c r="M595" s="42" t="s">
        <v>3664</v>
      </c>
    </row>
    <row r="596">
      <c r="A596" s="38" t="s">
        <v>2962</v>
      </c>
      <c r="B596" s="38" t="s">
        <v>3695</v>
      </c>
      <c r="C596" s="38" t="s">
        <v>2275</v>
      </c>
      <c r="D596" s="39" t="s">
        <v>3696</v>
      </c>
      <c r="E596" s="38" t="s">
        <v>3177</v>
      </c>
      <c r="F596" s="40"/>
      <c r="G596" s="40"/>
      <c r="H596" s="41" t="str">
        <f>VLOOKUP(C596,Stores!$A$200:$G$1118,3,0)</f>
        <v>Opened Stores</v>
      </c>
      <c r="I596" s="41" t="str">
        <f>VLOOKUP(C596,Stores!$A$200:$G$1118,4,0)</f>
        <v>Stage 7 - Installed</v>
      </c>
      <c r="J596" s="41" t="str">
        <f>VLOOKUP(C596,Stores!$A$200:$G$1118,5,0)</f>
        <v>ZKTECO</v>
      </c>
      <c r="K596" s="41" t="str">
        <f>VLOOKUP(C596,Stores!$A$200:$G$1118,6,0)</f>
        <v>CQUJ233560105</v>
      </c>
      <c r="L596" s="41" t="str">
        <f>VLOOKUP(C596,Stores!$A$200:$G$1118,7,0)</f>
        <v>192.168.1.201</v>
      </c>
      <c r="M596" s="42" t="s">
        <v>3664</v>
      </c>
    </row>
    <row r="597">
      <c r="A597" s="38" t="s">
        <v>2962</v>
      </c>
      <c r="B597" s="38" t="s">
        <v>3697</v>
      </c>
      <c r="C597" s="38" t="s">
        <v>2605</v>
      </c>
      <c r="D597" s="39" t="s">
        <v>2606</v>
      </c>
      <c r="E597" s="38" t="s">
        <v>3177</v>
      </c>
      <c r="F597" s="40"/>
      <c r="G597" s="40"/>
      <c r="H597" s="41" t="str">
        <f>VLOOKUP(C597,Stores!$A$200:$G$1118,3,0)</f>
        <v>Opened Stores</v>
      </c>
      <c r="I597" s="41" t="str">
        <f>VLOOKUP(C597,Stores!$A$200:$G$1118,4,0)</f>
        <v>Stage 7 - Installed</v>
      </c>
      <c r="J597" s="41" t="str">
        <f>VLOOKUP(C597,Stores!$A$200:$G$1118,5,0)</f>
        <v>ZKTECO</v>
      </c>
      <c r="K597" s="41" t="str">
        <f>VLOOKUP(C597,Stores!$A$200:$G$1118,6,0)</f>
        <v>ZKM6251500096</v>
      </c>
      <c r="L597" s="41" t="str">
        <f>VLOOKUP(C597,Stores!$A$200:$G$1118,7,0)</f>
        <v>192.168.1.201</v>
      </c>
      <c r="M597" s="42" t="s">
        <v>3664</v>
      </c>
    </row>
    <row r="598">
      <c r="A598" s="38" t="s">
        <v>2962</v>
      </c>
      <c r="B598" s="38" t="s">
        <v>3698</v>
      </c>
      <c r="C598" s="38" t="s">
        <v>1394</v>
      </c>
      <c r="D598" s="39" t="s">
        <v>1395</v>
      </c>
      <c r="E598" s="38" t="s">
        <v>3177</v>
      </c>
      <c r="F598" s="40"/>
      <c r="G598" s="40"/>
      <c r="H598" s="41" t="str">
        <f>VLOOKUP(C598,Stores!$A$200:$G$1118,3,0)</f>
        <v>Opened Stores</v>
      </c>
      <c r="I598" s="41" t="str">
        <f>VLOOKUP(C598,Stores!$A$200:$G$1118,4,0)</f>
        <v>Stage 7 - Installed</v>
      </c>
      <c r="J598" s="41" t="str">
        <f>VLOOKUP(C598,Stores!$A$200:$G$1118,5,0)</f>
        <v>ZKTECO</v>
      </c>
      <c r="K598" s="41" t="str">
        <f>VLOOKUP(C598,Stores!$A$200:$G$1118,6,0)</f>
        <v>AKDG012350202</v>
      </c>
      <c r="L598" s="41" t="str">
        <f>VLOOKUP(C598,Stores!$A$200:$G$1118,7,0)</f>
        <v>192.168.1.201</v>
      </c>
      <c r="M598" s="42" t="s">
        <v>3664</v>
      </c>
    </row>
    <row r="599">
      <c r="A599" s="38" t="s">
        <v>2962</v>
      </c>
      <c r="B599" s="38" t="s">
        <v>3699</v>
      </c>
      <c r="C599" s="38" t="s">
        <v>1651</v>
      </c>
      <c r="D599" s="39" t="s">
        <v>1652</v>
      </c>
      <c r="E599" s="38" t="s">
        <v>3177</v>
      </c>
      <c r="F599" s="40"/>
      <c r="G599" s="40"/>
      <c r="H599" s="41" t="str">
        <f>VLOOKUP(C599,Stores!$A$200:$G$1118,3,0)</f>
        <v>Opened Stores</v>
      </c>
      <c r="I599" s="41" t="str">
        <f>VLOOKUP(C599,Stores!$A$200:$G$1118,4,0)</f>
        <v>Stage 7 - Installed</v>
      </c>
      <c r="J599" s="41" t="str">
        <f>VLOOKUP(C599,Stores!$A$200:$G$1118,5,0)</f>
        <v>ZKTECO</v>
      </c>
      <c r="K599" s="41" t="str">
        <f>VLOOKUP(C599,Stores!$A$200:$G$1118,6,0)</f>
        <v>AEYU082360276</v>
      </c>
      <c r="L599" s="41" t="str">
        <f>VLOOKUP(C599,Stores!$A$200:$G$1118,7,0)</f>
        <v>192.168.1.201</v>
      </c>
      <c r="M599" s="42" t="s">
        <v>3664</v>
      </c>
    </row>
    <row r="600">
      <c r="A600" s="38" t="s">
        <v>2962</v>
      </c>
      <c r="B600" s="38" t="s">
        <v>3700</v>
      </c>
      <c r="C600" s="38" t="s">
        <v>566</v>
      </c>
      <c r="D600" s="39" t="s">
        <v>567</v>
      </c>
      <c r="E600" s="38" t="s">
        <v>3177</v>
      </c>
      <c r="F600" s="40"/>
      <c r="G600" s="40"/>
      <c r="H600" s="41" t="str">
        <f>VLOOKUP(C600,Stores!$A$200:$G$1118,3,0)</f>
        <v>Opened Stores</v>
      </c>
      <c r="I600" s="41" t="str">
        <f>VLOOKUP(C600,Stores!$A$200:$G$1118,4,0)</f>
        <v>Stage 7 - Installed</v>
      </c>
      <c r="J600" s="41" t="str">
        <f>VLOOKUP(C600,Stores!$A$200:$G$1118,5,0)</f>
        <v>FINGERTEC</v>
      </c>
      <c r="K600" s="41">
        <f>VLOOKUP(C600,Stores!$A$200:$G$1118,6,0)</f>
        <v>7421293</v>
      </c>
      <c r="L600" s="41" t="str">
        <f>VLOOKUP(C600,Stores!$A$200:$G$1118,7,0)</f>
        <v>192.168.1.237</v>
      </c>
      <c r="M600" s="42" t="s">
        <v>3664</v>
      </c>
    </row>
    <row r="601">
      <c r="A601" s="38" t="s">
        <v>2962</v>
      </c>
      <c r="B601" s="38" t="s">
        <v>3701</v>
      </c>
      <c r="C601" s="38" t="s">
        <v>1385</v>
      </c>
      <c r="D601" s="39" t="s">
        <v>1386</v>
      </c>
      <c r="E601" s="38" t="s">
        <v>3177</v>
      </c>
      <c r="F601" s="40"/>
      <c r="G601" s="40"/>
      <c r="H601" s="41" t="str">
        <f>VLOOKUP(C601,Stores!$A$200:$G$1118,3,0)</f>
        <v>Opened Stores</v>
      </c>
      <c r="I601" s="41" t="str">
        <f>VLOOKUP(C601,Stores!$A$200:$G$1118,4,0)</f>
        <v>Stage 7 - Installed</v>
      </c>
      <c r="J601" s="41" t="str">
        <f>VLOOKUP(C601,Stores!$A$200:$G$1118,5,0)</f>
        <v>ZKTECO</v>
      </c>
      <c r="K601" s="41" t="str">
        <f>VLOOKUP(C601,Stores!$A$200:$G$1118,6,0)</f>
        <v>PAS4254500174</v>
      </c>
      <c r="L601" s="41" t="str">
        <f>VLOOKUP(C601,Stores!$A$200:$G$1118,7,0)</f>
        <v>192.168.1.201</v>
      </c>
      <c r="M601" s="42" t="s">
        <v>3664</v>
      </c>
    </row>
    <row r="602">
      <c r="A602" s="38" t="s">
        <v>2962</v>
      </c>
      <c r="B602" s="38" t="s">
        <v>3702</v>
      </c>
      <c r="C602" s="38" t="s">
        <v>2345</v>
      </c>
      <c r="D602" s="39" t="s">
        <v>3703</v>
      </c>
      <c r="E602" s="38" t="s">
        <v>3177</v>
      </c>
      <c r="F602" s="40"/>
      <c r="G602" s="40"/>
      <c r="H602" s="41" t="str">
        <f>VLOOKUP(C602,Stores!$A$200:$G$1118,3,0)</f>
        <v>Opened Stores</v>
      </c>
      <c r="I602" s="41" t="str">
        <f>VLOOKUP(C602,Stores!$A$200:$G$1118,4,0)</f>
        <v>Stage 7 - Installed</v>
      </c>
      <c r="J602" s="41" t="str">
        <f>VLOOKUP(C602,Stores!$A$200:$G$1118,5,0)</f>
        <v>ZKTECO</v>
      </c>
      <c r="K602" s="41" t="str">
        <f>VLOOKUP(C602,Stores!$A$200:$G$1118,6,0)</f>
        <v>ZKM6245100267</v>
      </c>
      <c r="L602" s="41" t="str">
        <f>VLOOKUP(C602,Stores!$A$200:$G$1118,7,0)</f>
        <v>192.168.1.201</v>
      </c>
      <c r="M602" s="42" t="s">
        <v>3664</v>
      </c>
    </row>
    <row r="603">
      <c r="A603" s="38" t="s">
        <v>2962</v>
      </c>
      <c r="B603" s="38" t="s">
        <v>3704</v>
      </c>
      <c r="C603" s="38" t="s">
        <v>2185</v>
      </c>
      <c r="D603" s="39" t="s">
        <v>3705</v>
      </c>
      <c r="E603" s="38" t="s">
        <v>3177</v>
      </c>
      <c r="F603" s="40"/>
      <c r="G603" s="40"/>
      <c r="H603" s="41" t="str">
        <f>VLOOKUP(C603,Stores!$A$200:$G$1118,3,0)</f>
        <v>Opened Stores</v>
      </c>
      <c r="I603" s="41" t="str">
        <f>VLOOKUP(C603,Stores!$A$200:$G$1118,4,0)</f>
        <v>Stage 7 - Installed</v>
      </c>
      <c r="J603" s="41" t="str">
        <f>VLOOKUP(C603,Stores!$A$200:$G$1118,5,0)</f>
        <v>ZKTECO</v>
      </c>
      <c r="K603" s="41" t="str">
        <f>VLOOKUP(C603,Stores!$A$200:$G$1118,6,0)</f>
        <v>CQUJ233560131</v>
      </c>
      <c r="L603" s="41" t="str">
        <f>VLOOKUP(C603,Stores!$A$200:$G$1118,7,0)</f>
        <v>192.168.1.201</v>
      </c>
      <c r="M603" s="42" t="s">
        <v>3664</v>
      </c>
    </row>
    <row r="604">
      <c r="A604" s="38" t="s">
        <v>2962</v>
      </c>
      <c r="B604" s="38" t="s">
        <v>3706</v>
      </c>
      <c r="C604" s="38" t="s">
        <v>1878</v>
      </c>
      <c r="D604" s="39" t="s">
        <v>1879</v>
      </c>
      <c r="E604" s="38" t="s">
        <v>3177</v>
      </c>
      <c r="F604" s="40"/>
      <c r="G604" s="40"/>
      <c r="H604" s="41" t="str">
        <f>VLOOKUP(C604,Stores!$A$200:$G$1118,3,0)</f>
        <v>Opened Stores</v>
      </c>
      <c r="I604" s="41" t="str">
        <f>VLOOKUP(C604,Stores!$A$200:$G$1118,4,0)</f>
        <v>Stage 7 - Installed</v>
      </c>
      <c r="J604" s="41" t="str">
        <f>VLOOKUP(C604,Stores!$A$200:$G$1118,5,0)</f>
        <v>ZKTECO</v>
      </c>
      <c r="K604" s="41" t="str">
        <f>VLOOKUP(C604,Stores!$A$200:$G$1118,6,0)</f>
        <v>CQUJ233561253</v>
      </c>
      <c r="L604" s="41" t="str">
        <f>VLOOKUP(C604,Stores!$A$200:$G$1118,7,0)</f>
        <v>192.168.1.201</v>
      </c>
      <c r="M604" s="42" t="s">
        <v>3664</v>
      </c>
    </row>
    <row r="605">
      <c r="A605" s="38" t="s">
        <v>2962</v>
      </c>
      <c r="B605" s="38" t="s">
        <v>3707</v>
      </c>
      <c r="C605" s="38" t="s">
        <v>2111</v>
      </c>
      <c r="D605" s="39" t="s">
        <v>3708</v>
      </c>
      <c r="E605" s="38" t="s">
        <v>3177</v>
      </c>
      <c r="F605" s="40"/>
      <c r="G605" s="40"/>
      <c r="H605" s="41" t="str">
        <f>VLOOKUP(C605,Stores!$A$200:$G$1118,3,0)</f>
        <v>Opened Stores</v>
      </c>
      <c r="I605" s="41" t="str">
        <f>VLOOKUP(C605,Stores!$A$200:$G$1118,4,0)</f>
        <v>Stage 7 - Installed</v>
      </c>
      <c r="J605" s="41" t="str">
        <f>VLOOKUP(C605,Stores!$A$200:$G$1118,5,0)</f>
        <v>ZKTECO</v>
      </c>
      <c r="K605" s="41" t="str">
        <f>VLOOKUP(C605,Stores!$A$200:$G$1118,6,0)</f>
        <v>CQUJ233560076</v>
      </c>
      <c r="L605" s="41" t="str">
        <f>VLOOKUP(C605,Stores!$A$200:$G$1118,7,0)</f>
        <v>192.168.1.201</v>
      </c>
      <c r="M605" s="42" t="s">
        <v>3664</v>
      </c>
    </row>
    <row r="606">
      <c r="A606" s="38" t="s">
        <v>2962</v>
      </c>
      <c r="B606" s="38" t="s">
        <v>3709</v>
      </c>
      <c r="C606" s="38" t="s">
        <v>2901</v>
      </c>
      <c r="D606" s="39" t="s">
        <v>2902</v>
      </c>
      <c r="E606" s="38" t="s">
        <v>3177</v>
      </c>
      <c r="F606" s="40"/>
      <c r="G606" s="40"/>
      <c r="H606" s="41" t="str">
        <f>VLOOKUP(C606,Stores!$A$200:$G$1118,3,0)</f>
        <v>Opened Stores</v>
      </c>
      <c r="I606" s="41" t="str">
        <f>VLOOKUP(C606,Stores!$A$200:$G$1118,4,0)</f>
        <v>Stage 7 - Installed</v>
      </c>
      <c r="J606" s="41" t="str">
        <f>VLOOKUP(C606,Stores!$A$200:$G$1118,5,0)</f>
        <v>ZKTECO</v>
      </c>
      <c r="K606" s="41" t="str">
        <f>VLOOKUP(C606,Stores!$A$200:$G$1118,6,0)</f>
        <v>PAS4252500201</v>
      </c>
      <c r="L606" s="41" t="str">
        <f>VLOOKUP(C606,Stores!$A$200:$G$1118,7,0)</f>
        <v>192.168.1.201</v>
      </c>
      <c r="M606" s="42" t="s">
        <v>3664</v>
      </c>
    </row>
    <row r="607">
      <c r="A607" s="38" t="s">
        <v>2962</v>
      </c>
      <c r="B607" s="38" t="s">
        <v>3710</v>
      </c>
      <c r="C607" s="38" t="s">
        <v>1164</v>
      </c>
      <c r="D607" s="39" t="s">
        <v>1165</v>
      </c>
      <c r="E607" s="38" t="s">
        <v>3177</v>
      </c>
      <c r="F607" s="40"/>
      <c r="G607" s="40"/>
      <c r="H607" s="41" t="str">
        <f>VLOOKUP(C607,Stores!$A$200:$G$1118,3,0)</f>
        <v>Opened Stores</v>
      </c>
      <c r="I607" s="41" t="str">
        <f>VLOOKUP(C607,Stores!$A$200:$G$1118,4,0)</f>
        <v>Stage 7 - Installed</v>
      </c>
      <c r="J607" s="41" t="str">
        <f>VLOOKUP(C607,Stores!$A$200:$G$1118,5,0)</f>
        <v>ZKTECO</v>
      </c>
      <c r="K607" s="41" t="str">
        <f>VLOOKUP(C607,Stores!$A$200:$G$1118,6,0)</f>
        <v>ZKM6251500285</v>
      </c>
      <c r="L607" s="41" t="str">
        <f>VLOOKUP(C607,Stores!$A$200:$G$1118,7,0)</f>
        <v>192.168.1.201</v>
      </c>
      <c r="M607" s="42" t="s">
        <v>3664</v>
      </c>
    </row>
    <row r="608">
      <c r="A608" s="38" t="s">
        <v>2962</v>
      </c>
      <c r="B608" s="38" t="s">
        <v>3711</v>
      </c>
      <c r="C608" s="38" t="s">
        <v>2123</v>
      </c>
      <c r="D608" s="39" t="s">
        <v>3712</v>
      </c>
      <c r="E608" s="38" t="s">
        <v>3177</v>
      </c>
      <c r="F608" s="40"/>
      <c r="G608" s="40"/>
      <c r="H608" s="41" t="str">
        <f>VLOOKUP(C608,Stores!$A$200:$G$1118,3,0)</f>
        <v>Opened Stores</v>
      </c>
      <c r="I608" s="41" t="str">
        <f>VLOOKUP(C608,Stores!$A$200:$G$1118,4,0)</f>
        <v>Stage 7 - Installed</v>
      </c>
      <c r="J608" s="41" t="str">
        <f>VLOOKUP(C608,Stores!$A$200:$G$1118,5,0)</f>
        <v>ZKTECO</v>
      </c>
      <c r="K608" s="41" t="str">
        <f>VLOOKUP(C608,Stores!$A$200:$G$1118,6,0)</f>
        <v>CQUJ233560061</v>
      </c>
      <c r="L608" s="41" t="str">
        <f>VLOOKUP(C608,Stores!$A$200:$G$1118,7,0)</f>
        <v>192.168.1.201</v>
      </c>
      <c r="M608" s="42" t="s">
        <v>3664</v>
      </c>
    </row>
    <row r="609">
      <c r="A609" s="38" t="s">
        <v>2962</v>
      </c>
      <c r="B609" s="38" t="s">
        <v>3713</v>
      </c>
      <c r="C609" s="38" t="s">
        <v>1734</v>
      </c>
      <c r="D609" s="39" t="s">
        <v>1735</v>
      </c>
      <c r="E609" s="38" t="s">
        <v>3177</v>
      </c>
      <c r="F609" s="40"/>
      <c r="G609" s="40"/>
      <c r="H609" s="41" t="str">
        <f>VLOOKUP(C609,Stores!$A$200:$G$1118,3,0)</f>
        <v>Opened Stores</v>
      </c>
      <c r="I609" s="41" t="str">
        <f>VLOOKUP(C609,Stores!$A$200:$G$1118,4,0)</f>
        <v>Stage 7 - Installed</v>
      </c>
      <c r="J609" s="41" t="str">
        <f>VLOOKUP(C609,Stores!$A$200:$G$1118,5,0)</f>
        <v>ZKTECO</v>
      </c>
      <c r="K609" s="41" t="str">
        <f>VLOOKUP(C609,Stores!$A$200:$G$1118,6,0)</f>
        <v>CQUJ233560808</v>
      </c>
      <c r="L609" s="41" t="str">
        <f>VLOOKUP(C609,Stores!$A$200:$G$1118,7,0)</f>
        <v>192.168.1.201</v>
      </c>
      <c r="M609" s="42" t="s">
        <v>3664</v>
      </c>
    </row>
    <row r="610">
      <c r="A610" s="38" t="s">
        <v>2962</v>
      </c>
      <c r="B610" s="38" t="s">
        <v>3714</v>
      </c>
      <c r="C610" s="38" t="s">
        <v>1803</v>
      </c>
      <c r="D610" s="39" t="s">
        <v>1804</v>
      </c>
      <c r="E610" s="38" t="s">
        <v>3177</v>
      </c>
      <c r="F610" s="40"/>
      <c r="G610" s="40"/>
      <c r="H610" s="41" t="str">
        <f>VLOOKUP(C610,Stores!$A$200:$G$1118,3,0)</f>
        <v>Opened Stores</v>
      </c>
      <c r="I610" s="41" t="str">
        <f>VLOOKUP(C610,Stores!$A$200:$G$1118,4,0)</f>
        <v>Stage 7 - Installed</v>
      </c>
      <c r="J610" s="41" t="str">
        <f>VLOOKUP(C610,Stores!$A$200:$G$1118,5,0)</f>
        <v>ZKTECO</v>
      </c>
      <c r="K610" s="41" t="str">
        <f>VLOOKUP(C610,Stores!$A$200:$G$1118,6,0)</f>
        <v>CQUJ233560409</v>
      </c>
      <c r="L610" s="41" t="str">
        <f>VLOOKUP(C610,Stores!$A$200:$G$1118,7,0)</f>
        <v>192.168.1.201</v>
      </c>
      <c r="M610" s="42" t="s">
        <v>3664</v>
      </c>
    </row>
    <row r="611">
      <c r="A611" s="38" t="s">
        <v>2962</v>
      </c>
      <c r="B611" s="38" t="s">
        <v>3715</v>
      </c>
      <c r="C611" s="38" t="s">
        <v>991</v>
      </c>
      <c r="D611" s="39" t="s">
        <v>992</v>
      </c>
      <c r="E611" s="38" t="s">
        <v>3177</v>
      </c>
      <c r="F611" s="40"/>
      <c r="G611" s="40"/>
      <c r="H611" s="41" t="str">
        <f>VLOOKUP(C611,Stores!$A$200:$G$1118,3,0)</f>
        <v>Opened Stores</v>
      </c>
      <c r="I611" s="41" t="str">
        <f>VLOOKUP(C611,Stores!$A$200:$G$1118,4,0)</f>
        <v>Stage 7 - Installed</v>
      </c>
      <c r="J611" s="41" t="str">
        <f>VLOOKUP(C611,Stores!$A$200:$G$1118,5,0)</f>
        <v>ZKTECO</v>
      </c>
      <c r="K611" s="41" t="str">
        <f>VLOOKUP(C611,Stores!$A$200:$G$1118,6,0)</f>
        <v>A8N5221960311</v>
      </c>
      <c r="L611" s="41" t="str">
        <f>VLOOKUP(C611,Stores!$A$200:$G$1118,7,0)</f>
        <v>192.168.1.201</v>
      </c>
      <c r="M611" s="42" t="s">
        <v>3664</v>
      </c>
    </row>
    <row r="612">
      <c r="A612" s="38" t="s">
        <v>2962</v>
      </c>
      <c r="B612" s="38" t="s">
        <v>3716</v>
      </c>
      <c r="C612" s="38" t="s">
        <v>2904</v>
      </c>
      <c r="D612" s="39" t="s">
        <v>2905</v>
      </c>
      <c r="E612" s="38" t="s">
        <v>3177</v>
      </c>
      <c r="F612" s="40"/>
      <c r="G612" s="40"/>
      <c r="H612" s="41" t="str">
        <f>VLOOKUP(C612,Stores!$A$200:$G$1118,3,0)</f>
        <v>Opened Stores</v>
      </c>
      <c r="I612" s="41" t="str">
        <f>VLOOKUP(C612,Stores!$A$200:$G$1118,4,0)</f>
        <v>Stage 7 - Installed</v>
      </c>
      <c r="J612" s="41" t="str">
        <f>VLOOKUP(C612,Stores!$A$200:$G$1118,5,0)</f>
        <v>ZKTECO</v>
      </c>
      <c r="K612" s="41" t="str">
        <f>VLOOKUP(C612,Stores!$A$200:$G$1118,6,0)</f>
        <v>ZKM6251700181</v>
      </c>
      <c r="L612" s="41" t="str">
        <f>VLOOKUP(C612,Stores!$A$200:$G$1118,7,0)</f>
        <v>192.168.1.201</v>
      </c>
      <c r="M612" s="42" t="s">
        <v>3664</v>
      </c>
    </row>
    <row r="613">
      <c r="A613" s="38" t="s">
        <v>2962</v>
      </c>
      <c r="B613" s="38" t="s">
        <v>3717</v>
      </c>
      <c r="C613" s="38" t="s">
        <v>2649</v>
      </c>
      <c r="D613" s="39" t="s">
        <v>2650</v>
      </c>
      <c r="E613" s="38" t="s">
        <v>3177</v>
      </c>
      <c r="F613" s="40"/>
      <c r="G613" s="40"/>
      <c r="H613" s="41" t="str">
        <f>VLOOKUP(C613,Stores!$A$200:$G$1118,3,0)</f>
        <v>Opened Stores</v>
      </c>
      <c r="I613" s="41" t="str">
        <f>VLOOKUP(C613,Stores!$A$200:$G$1118,4,0)</f>
        <v>Stage 7 - Installed</v>
      </c>
      <c r="J613" s="41" t="str">
        <f>VLOOKUP(C613,Stores!$A$200:$G$1118,5,0)</f>
        <v>ZKTECO</v>
      </c>
      <c r="K613" s="41" t="str">
        <f>VLOOKUP(C613,Stores!$A$200:$G$1118,6,0)</f>
        <v>ZKM6251500100</v>
      </c>
      <c r="L613" s="41" t="str">
        <f>VLOOKUP(C613,Stores!$A$200:$G$1118,7,0)</f>
        <v>192.168.1.201</v>
      </c>
      <c r="M613" s="42" t="s">
        <v>3664</v>
      </c>
    </row>
    <row r="614">
      <c r="A614" s="38" t="s">
        <v>2962</v>
      </c>
      <c r="B614" s="38" t="s">
        <v>3718</v>
      </c>
      <c r="C614" s="38" t="s">
        <v>573</v>
      </c>
      <c r="D614" s="39" t="s">
        <v>574</v>
      </c>
      <c r="E614" s="38" t="s">
        <v>3177</v>
      </c>
      <c r="F614" s="40"/>
      <c r="G614" s="40"/>
      <c r="H614" s="41" t="str">
        <f>VLOOKUP(C614,Stores!$A$200:$G$1118,3,0)</f>
        <v>Opened Stores</v>
      </c>
      <c r="I614" s="41" t="str">
        <f>VLOOKUP(C614,Stores!$A$200:$G$1118,4,0)</f>
        <v>Stage 7 - Installed</v>
      </c>
      <c r="J614" s="41" t="str">
        <f>VLOOKUP(C614,Stores!$A$200:$G$1118,5,0)</f>
        <v>FINGERTEC</v>
      </c>
      <c r="K614" s="41">
        <f>VLOOKUP(C614,Stores!$A$200:$G$1118,6,0)</f>
        <v>7421297</v>
      </c>
      <c r="L614" s="41" t="str">
        <f>VLOOKUP(C614,Stores!$A$200:$G$1118,7,0)</f>
        <v>192.168.1.201</v>
      </c>
      <c r="M614" s="42" t="s">
        <v>3664</v>
      </c>
    </row>
    <row r="615">
      <c r="A615" s="38" t="s">
        <v>2962</v>
      </c>
      <c r="B615" s="38" t="s">
        <v>3719</v>
      </c>
      <c r="C615" s="38" t="s">
        <v>1048</v>
      </c>
      <c r="D615" s="39" t="s">
        <v>1049</v>
      </c>
      <c r="E615" s="38" t="s">
        <v>3177</v>
      </c>
      <c r="F615" s="40"/>
      <c r="G615" s="40"/>
      <c r="H615" s="41" t="str">
        <f>VLOOKUP(C615,Stores!$A$200:$G$1118,3,0)</f>
        <v>Opened Stores</v>
      </c>
      <c r="I615" s="41" t="str">
        <f>VLOOKUP(C615,Stores!$A$200:$G$1118,4,0)</f>
        <v>Stage 7 - Installed</v>
      </c>
      <c r="J615" s="41" t="str">
        <f>VLOOKUP(C615,Stores!$A$200:$G$1118,5,0)</f>
        <v>ZKTECO</v>
      </c>
      <c r="K615" s="41" t="str">
        <f>VLOOKUP(C615,Stores!$A$200:$G$1118,6,0)</f>
        <v>A8N5221860494</v>
      </c>
      <c r="L615" s="41" t="str">
        <f>VLOOKUP(C615,Stores!$A$200:$G$1118,7,0)</f>
        <v>192.168.1.201</v>
      </c>
      <c r="M615" s="42" t="s">
        <v>3664</v>
      </c>
    </row>
    <row r="616">
      <c r="A616" s="38" t="s">
        <v>2962</v>
      </c>
      <c r="B616" s="38" t="s">
        <v>3720</v>
      </c>
      <c r="C616" s="38" t="s">
        <v>2453</v>
      </c>
      <c r="D616" s="39" t="s">
        <v>3721</v>
      </c>
      <c r="E616" s="38" t="s">
        <v>3177</v>
      </c>
      <c r="F616" s="40"/>
      <c r="G616" s="40"/>
      <c r="H616" s="41" t="str">
        <f>VLOOKUP(C616,Stores!$A$200:$G$1118,3,0)</f>
        <v>Opened Stores</v>
      </c>
      <c r="I616" s="41" t="str">
        <f>VLOOKUP(C616,Stores!$A$200:$G$1118,4,0)</f>
        <v>Stage 7 - Installed</v>
      </c>
      <c r="J616" s="41" t="str">
        <f>VLOOKUP(C616,Stores!$A$200:$G$1118,5,0)</f>
        <v>ZKTECO</v>
      </c>
      <c r="K616" s="41" t="str">
        <f>VLOOKUP(C616,Stores!$A$200:$G$1118,6,0)</f>
        <v>ZKM6245100173</v>
      </c>
      <c r="L616" s="41" t="str">
        <f>VLOOKUP(C616,Stores!$A$200:$G$1118,7,0)</f>
        <v>192.168.1.201</v>
      </c>
      <c r="M616" s="42" t="s">
        <v>3664</v>
      </c>
    </row>
    <row r="617">
      <c r="A617" s="38" t="s">
        <v>2962</v>
      </c>
      <c r="B617" s="38" t="s">
        <v>3722</v>
      </c>
      <c r="C617" s="38" t="s">
        <v>1698</v>
      </c>
      <c r="D617" s="39" t="s">
        <v>1699</v>
      </c>
      <c r="E617" s="38" t="s">
        <v>3177</v>
      </c>
      <c r="F617" s="40"/>
      <c r="G617" s="40"/>
      <c r="H617" s="41" t="str">
        <f>VLOOKUP(C617,Stores!$A$200:$G$1118,3,0)</f>
        <v>Opened Stores</v>
      </c>
      <c r="I617" s="41" t="str">
        <f>VLOOKUP(C617,Stores!$A$200:$G$1118,4,0)</f>
        <v>Stage 7 - Installed</v>
      </c>
      <c r="J617" s="41" t="str">
        <f>VLOOKUP(C617,Stores!$A$200:$G$1118,5,0)</f>
        <v>ZKTECO</v>
      </c>
      <c r="K617" s="41" t="str">
        <f>VLOOKUP(C617,Stores!$A$200:$G$1118,6,0)</f>
        <v>AEYU082360232</v>
      </c>
      <c r="L617" s="41" t="str">
        <f>VLOOKUP(C617,Stores!$A$200:$G$1118,7,0)</f>
        <v>192.168.1.201</v>
      </c>
      <c r="M617" s="42" t="s">
        <v>3664</v>
      </c>
    </row>
    <row r="618">
      <c r="A618" s="38" t="s">
        <v>2962</v>
      </c>
      <c r="B618" s="38" t="s">
        <v>3723</v>
      </c>
      <c r="C618" s="38" t="s">
        <v>1549</v>
      </c>
      <c r="D618" s="39" t="s">
        <v>1550</v>
      </c>
      <c r="E618" s="38" t="s">
        <v>3177</v>
      </c>
      <c r="F618" s="40"/>
      <c r="G618" s="40"/>
      <c r="H618" s="41" t="str">
        <f>VLOOKUP(C618,Stores!$A$200:$G$1118,3,0)</f>
        <v>Opened Stores</v>
      </c>
      <c r="I618" s="41" t="str">
        <f>VLOOKUP(C618,Stores!$A$200:$G$1118,4,0)</f>
        <v>Stage 7 - Installed</v>
      </c>
      <c r="J618" s="41" t="str">
        <f>VLOOKUP(C618,Stores!$A$200:$G$1118,5,0)</f>
        <v>ZKTECO</v>
      </c>
      <c r="K618" s="41" t="str">
        <f>VLOOKUP(C618,Stores!$A$200:$G$1118,6,0)</f>
        <v>AEYU082360212</v>
      </c>
      <c r="L618" s="41" t="str">
        <f>VLOOKUP(C618,Stores!$A$200:$G$1118,7,0)</f>
        <v>192.168.1.201</v>
      </c>
      <c r="M618" s="42" t="s">
        <v>3664</v>
      </c>
    </row>
    <row r="619">
      <c r="A619" s="38" t="s">
        <v>2962</v>
      </c>
      <c r="B619" s="38" t="s">
        <v>3724</v>
      </c>
      <c r="C619" s="38" t="s">
        <v>1857</v>
      </c>
      <c r="D619" s="39" t="s">
        <v>1858</v>
      </c>
      <c r="E619" s="38" t="s">
        <v>3177</v>
      </c>
      <c r="F619" s="40"/>
      <c r="G619" s="40"/>
      <c r="H619" s="41" t="str">
        <f>VLOOKUP(C619,Stores!$A$200:$G$1118,3,0)</f>
        <v>Opened Stores</v>
      </c>
      <c r="I619" s="41" t="str">
        <f>VLOOKUP(C619,Stores!$A$200:$G$1118,4,0)</f>
        <v>Stage 7 - Installed</v>
      </c>
      <c r="J619" s="41" t="str">
        <f>VLOOKUP(C619,Stores!$A$200:$G$1118,5,0)</f>
        <v>ZKTECO</v>
      </c>
      <c r="K619" s="41" t="str">
        <f>VLOOKUP(C619,Stores!$A$200:$G$1118,6,0)</f>
        <v>CQUJ233561168</v>
      </c>
      <c r="L619" s="41" t="str">
        <f>VLOOKUP(C619,Stores!$A$200:$G$1118,7,0)</f>
        <v>192.168.1.201</v>
      </c>
      <c r="M619" s="42" t="s">
        <v>3664</v>
      </c>
    </row>
    <row r="620">
      <c r="A620" s="38" t="s">
        <v>2962</v>
      </c>
      <c r="B620" s="38" t="s">
        <v>3725</v>
      </c>
      <c r="C620" s="38" t="s">
        <v>2563</v>
      </c>
      <c r="D620" s="39" t="s">
        <v>2564</v>
      </c>
      <c r="E620" s="38" t="s">
        <v>3177</v>
      </c>
      <c r="F620" s="40"/>
      <c r="G620" s="40"/>
      <c r="H620" s="41" t="str">
        <f>VLOOKUP(C620,Stores!$A$200:$G$1118,3,0)</f>
        <v>Opened Stores</v>
      </c>
      <c r="I620" s="41" t="str">
        <f>VLOOKUP(C620,Stores!$A$200:$G$1118,4,0)</f>
        <v>Stage 7 - Installed</v>
      </c>
      <c r="J620" s="41" t="str">
        <f>VLOOKUP(C620,Stores!$A$200:$G$1118,5,0)</f>
        <v>ZKTECO</v>
      </c>
      <c r="K620" s="41" t="str">
        <f>VLOOKUP(C620,Stores!$A$200:$G$1118,6,0)</f>
        <v>ZKM6251700414</v>
      </c>
      <c r="L620" s="41" t="str">
        <f>VLOOKUP(C620,Stores!$A$200:$G$1118,7,0)</f>
        <v>192.168.1.201</v>
      </c>
      <c r="M620" s="42" t="s">
        <v>3664</v>
      </c>
    </row>
    <row r="621">
      <c r="A621" s="38" t="s">
        <v>2962</v>
      </c>
      <c r="B621" s="38" t="s">
        <v>3726</v>
      </c>
      <c r="C621" s="38" t="s">
        <v>2709</v>
      </c>
      <c r="D621" s="39" t="s">
        <v>2710</v>
      </c>
      <c r="E621" s="38" t="s">
        <v>3177</v>
      </c>
      <c r="F621" s="40"/>
      <c r="G621" s="40"/>
      <c r="H621" s="41" t="str">
        <f>VLOOKUP(C621,Stores!$A$200:$G$1118,3,0)</f>
        <v>Opened Stores</v>
      </c>
      <c r="I621" s="41" t="str">
        <f>VLOOKUP(C621,Stores!$A$200:$G$1118,4,0)</f>
        <v>Stage 7 - Installed</v>
      </c>
      <c r="J621" s="41" t="str">
        <f>VLOOKUP(C621,Stores!$A$200:$G$1118,5,0)</f>
        <v>ZKTECO</v>
      </c>
      <c r="K621" s="41" t="str">
        <f>VLOOKUP(C621,Stores!$A$200:$G$1118,6,0)</f>
        <v>ZKM6251700109</v>
      </c>
      <c r="L621" s="41" t="str">
        <f>VLOOKUP(C621,Stores!$A$200:$G$1118,7,0)</f>
        <v>192.168.1.201</v>
      </c>
      <c r="M621" s="42" t="s">
        <v>3664</v>
      </c>
    </row>
    <row r="622">
      <c r="A622" s="38" t="s">
        <v>2962</v>
      </c>
      <c r="B622" s="38" t="s">
        <v>3727</v>
      </c>
      <c r="C622" s="38" t="s">
        <v>1991</v>
      </c>
      <c r="D622" s="39" t="s">
        <v>3728</v>
      </c>
      <c r="E622" s="38" t="s">
        <v>3177</v>
      </c>
      <c r="F622" s="40"/>
      <c r="G622" s="40"/>
      <c r="H622" s="41" t="str">
        <f>VLOOKUP(C622,Stores!$A$200:$G$1118,3,0)</f>
        <v>Opened Stores</v>
      </c>
      <c r="I622" s="41" t="str">
        <f>VLOOKUP(C622,Stores!$A$200:$G$1118,4,0)</f>
        <v>Stage 7 - Installed</v>
      </c>
      <c r="J622" s="41" t="str">
        <f>VLOOKUP(C622,Stores!$A$200:$G$1118,5,0)</f>
        <v>ZKTECO</v>
      </c>
      <c r="K622" s="41" t="str">
        <f>VLOOKUP(C622,Stores!$A$200:$G$1118,6,0)</f>
        <v>CQUJ233560866</v>
      </c>
      <c r="L622" s="41" t="str">
        <f>VLOOKUP(C622,Stores!$A$200:$G$1118,7,0)</f>
        <v>192.168.1.201</v>
      </c>
      <c r="M622" s="42" t="s">
        <v>3664</v>
      </c>
    </row>
    <row r="623">
      <c r="A623" s="38" t="s">
        <v>2962</v>
      </c>
      <c r="B623" s="38" t="s">
        <v>3729</v>
      </c>
      <c r="C623" s="38" t="s">
        <v>2324</v>
      </c>
      <c r="D623" s="39" t="s">
        <v>3730</v>
      </c>
      <c r="E623" s="38" t="s">
        <v>3177</v>
      </c>
      <c r="F623" s="40"/>
      <c r="G623" s="40"/>
      <c r="H623" s="41" t="str">
        <f>VLOOKUP(C623,Stores!$A$200:$G$1118,3,0)</f>
        <v>Opened Stores</v>
      </c>
      <c r="I623" s="41" t="str">
        <f>VLOOKUP(C623,Stores!$A$200:$G$1118,4,0)</f>
        <v>Stage 7 - Installed</v>
      </c>
      <c r="J623" s="41" t="str">
        <f>VLOOKUP(C623,Stores!$A$200:$G$1118,5,0)</f>
        <v>ZKTECO</v>
      </c>
      <c r="K623" s="41" t="str">
        <f>VLOOKUP(C623,Stores!$A$200:$G$1118,6,0)</f>
        <v>CQUJ233560433</v>
      </c>
      <c r="L623" s="41" t="str">
        <f>VLOOKUP(C623,Stores!$A$200:$G$1118,7,0)</f>
        <v>192.168.1.201</v>
      </c>
      <c r="M623" s="42" t="s">
        <v>3664</v>
      </c>
    </row>
    <row r="624">
      <c r="A624" s="38" t="s">
        <v>2962</v>
      </c>
      <c r="B624" s="38" t="s">
        <v>3731</v>
      </c>
      <c r="C624" s="38" t="s">
        <v>2266</v>
      </c>
      <c r="D624" s="39" t="s">
        <v>3732</v>
      </c>
      <c r="E624" s="38" t="s">
        <v>3177</v>
      </c>
      <c r="F624" s="40"/>
      <c r="G624" s="40"/>
      <c r="H624" s="41" t="str">
        <f>VLOOKUP(C624,Stores!$A$200:$G$1118,3,0)</f>
        <v>Opened Stores</v>
      </c>
      <c r="I624" s="41" t="str">
        <f>VLOOKUP(C624,Stores!$A$200:$G$1118,4,0)</f>
        <v>Stage 7 - Installed</v>
      </c>
      <c r="J624" s="41" t="str">
        <f>VLOOKUP(C624,Stores!$A$200:$G$1118,5,0)</f>
        <v>ZKTECO</v>
      </c>
      <c r="K624" s="41" t="str">
        <f>VLOOKUP(C624,Stores!$A$200:$G$1118,6,0)</f>
        <v>CQUJ232260140</v>
      </c>
      <c r="L624" s="41" t="str">
        <f>VLOOKUP(C624,Stores!$A$200:$G$1118,7,0)</f>
        <v>192.168.1.201</v>
      </c>
      <c r="M624" s="42" t="s">
        <v>3664</v>
      </c>
    </row>
    <row r="625">
      <c r="A625" s="38" t="s">
        <v>2962</v>
      </c>
      <c r="B625" s="38" t="s">
        <v>3733</v>
      </c>
      <c r="C625" s="38" t="s">
        <v>2045</v>
      </c>
      <c r="D625" s="39" t="s">
        <v>2046</v>
      </c>
      <c r="E625" s="38" t="s">
        <v>3177</v>
      </c>
      <c r="F625" s="40"/>
      <c r="G625" s="40"/>
      <c r="H625" s="41" t="str">
        <f>VLOOKUP(C625,Stores!$A$200:$G$1118,3,0)</f>
        <v>Opened Stores</v>
      </c>
      <c r="I625" s="41" t="str">
        <f>VLOOKUP(C625,Stores!$A$200:$G$1118,4,0)</f>
        <v>Stage 7 - Installed</v>
      </c>
      <c r="J625" s="41" t="str">
        <f>VLOOKUP(C625,Stores!$A$200:$G$1118,5,0)</f>
        <v>ZKTECO</v>
      </c>
      <c r="K625" s="41" t="str">
        <f>VLOOKUP(C625,Stores!$A$200:$G$1118,6,0)</f>
        <v>CQUJ233560968</v>
      </c>
      <c r="L625" s="41" t="str">
        <f>VLOOKUP(C625,Stores!$A$200:$G$1118,7,0)</f>
        <v>192.168.1.201</v>
      </c>
      <c r="M625" s="42" t="s">
        <v>3664</v>
      </c>
    </row>
    <row r="626">
      <c r="A626" s="38" t="s">
        <v>2962</v>
      </c>
      <c r="B626" s="38" t="s">
        <v>3734</v>
      </c>
      <c r="C626" s="38" t="s">
        <v>890</v>
      </c>
      <c r="D626" s="39" t="s">
        <v>891</v>
      </c>
      <c r="E626" s="38" t="s">
        <v>3177</v>
      </c>
      <c r="F626" s="40"/>
      <c r="G626" s="40"/>
      <c r="H626" s="41" t="str">
        <f>VLOOKUP(C626,Stores!$A$200:$G$1118,3,0)</f>
        <v>Opened Stores</v>
      </c>
      <c r="I626" s="41" t="str">
        <f>VLOOKUP(C626,Stores!$A$200:$G$1118,4,0)</f>
        <v>Stage 7 - Installed</v>
      </c>
      <c r="J626" s="41" t="str">
        <f>VLOOKUP(C626,Stores!$A$200:$G$1118,5,0)</f>
        <v>FINGERTEC</v>
      </c>
      <c r="K626" s="41">
        <f>VLOOKUP(C626,Stores!$A$200:$G$1118,6,0)</f>
        <v>7425683</v>
      </c>
      <c r="L626" s="41" t="str">
        <f>VLOOKUP(C626,Stores!$A$200:$G$1118,7,0)</f>
        <v>192.168.1.201</v>
      </c>
      <c r="M626" s="42" t="s">
        <v>3664</v>
      </c>
    </row>
    <row r="627">
      <c r="A627" s="38" t="s">
        <v>2962</v>
      </c>
      <c r="B627" s="38" t="s">
        <v>3735</v>
      </c>
      <c r="C627" s="38" t="s">
        <v>2321</v>
      </c>
      <c r="D627" s="39" t="s">
        <v>3736</v>
      </c>
      <c r="E627" s="38" t="s">
        <v>3177</v>
      </c>
      <c r="F627" s="40"/>
      <c r="G627" s="40"/>
      <c r="H627" s="41" t="str">
        <f>VLOOKUP(C627,Stores!$A$200:$G$1118,3,0)</f>
        <v>Opened Stores</v>
      </c>
      <c r="I627" s="41" t="str">
        <f>VLOOKUP(C627,Stores!$A$200:$G$1118,4,0)</f>
        <v>Stage 7 - Installed</v>
      </c>
      <c r="J627" s="41" t="str">
        <f>VLOOKUP(C627,Stores!$A$200:$G$1118,5,0)</f>
        <v>ZKTECO</v>
      </c>
      <c r="K627" s="41" t="str">
        <f>VLOOKUP(C627,Stores!$A$200:$G$1118,6,0)</f>
        <v>CQUJ233560267</v>
      </c>
      <c r="L627" s="41" t="str">
        <f>VLOOKUP(C627,Stores!$A$200:$G$1118,7,0)</f>
        <v>192.168.1.201</v>
      </c>
      <c r="M627" s="42" t="s">
        <v>3664</v>
      </c>
    </row>
    <row r="628">
      <c r="A628" s="38" t="s">
        <v>2962</v>
      </c>
      <c r="B628" s="38" t="s">
        <v>3737</v>
      </c>
      <c r="C628" s="38" t="s">
        <v>2560</v>
      </c>
      <c r="D628" s="39" t="s">
        <v>2561</v>
      </c>
      <c r="E628" s="38" t="s">
        <v>3177</v>
      </c>
      <c r="F628" s="40"/>
      <c r="G628" s="40"/>
      <c r="H628" s="41" t="str">
        <f>VLOOKUP(C628,Stores!$A$200:$G$1118,3,0)</f>
        <v>Opened Stores</v>
      </c>
      <c r="I628" s="41" t="str">
        <f>VLOOKUP(C628,Stores!$A$200:$G$1118,4,0)</f>
        <v>Stage 7 - Installed</v>
      </c>
      <c r="J628" s="41" t="str">
        <f>VLOOKUP(C628,Stores!$A$200:$G$1118,5,0)</f>
        <v>ZKTECO</v>
      </c>
      <c r="K628" s="41" t="str">
        <f>VLOOKUP(C628,Stores!$A$200:$G$1118,6,0)</f>
        <v>ZKM6251700418</v>
      </c>
      <c r="L628" s="41" t="str">
        <f>VLOOKUP(C628,Stores!$A$200:$G$1118,7,0)</f>
        <v>192.168.1.201</v>
      </c>
      <c r="M628" s="42" t="s">
        <v>3664</v>
      </c>
    </row>
    <row r="629">
      <c r="A629" s="38" t="s">
        <v>2962</v>
      </c>
      <c r="B629" s="38" t="s">
        <v>3738</v>
      </c>
      <c r="C629" s="38" t="s">
        <v>1415</v>
      </c>
      <c r="D629" s="39" t="s">
        <v>1416</v>
      </c>
      <c r="E629" s="38" t="s">
        <v>3177</v>
      </c>
      <c r="F629" s="40"/>
      <c r="G629" s="40"/>
      <c r="H629" s="41" t="str">
        <f>VLOOKUP(C629,Stores!$A$200:$G$1118,3,0)</f>
        <v>Opened Stores</v>
      </c>
      <c r="I629" s="41" t="str">
        <f>VLOOKUP(C629,Stores!$A$200:$G$1118,4,0)</f>
        <v>Stage 7 - Installed</v>
      </c>
      <c r="J629" s="41" t="str">
        <f>VLOOKUP(C629,Stores!$A$200:$G$1118,5,0)</f>
        <v>ZKTECO</v>
      </c>
      <c r="K629" s="41" t="str">
        <f>VLOOKUP(C629,Stores!$A$200:$G$1118,6,0)</f>
        <v>PAS4254500176</v>
      </c>
      <c r="L629" s="41" t="str">
        <f>VLOOKUP(C629,Stores!$A$200:$G$1118,7,0)</f>
        <v>192.168.1.201</v>
      </c>
      <c r="M629" s="42" t="s">
        <v>3664</v>
      </c>
    </row>
    <row r="630">
      <c r="A630" s="38" t="s">
        <v>2962</v>
      </c>
      <c r="B630" s="38" t="s">
        <v>3739</v>
      </c>
      <c r="C630" s="38" t="s">
        <v>2444</v>
      </c>
      <c r="D630" s="39" t="s">
        <v>3740</v>
      </c>
      <c r="E630" s="38" t="s">
        <v>3177</v>
      </c>
      <c r="F630" s="40"/>
      <c r="G630" s="40"/>
      <c r="H630" s="41" t="str">
        <f>VLOOKUP(C630,Stores!$A$200:$G$1118,3,0)</f>
        <v>Opened Stores</v>
      </c>
      <c r="I630" s="41" t="str">
        <f>VLOOKUP(C630,Stores!$A$200:$G$1118,4,0)</f>
        <v>Stage 7 - Installed</v>
      </c>
      <c r="J630" s="41" t="str">
        <f>VLOOKUP(C630,Stores!$A$200:$G$1118,5,0)</f>
        <v>ZKTECO</v>
      </c>
      <c r="K630" s="41" t="str">
        <f>VLOOKUP(C630,Stores!$A$200:$G$1118,6,0)</f>
        <v>ZKM6245100129</v>
      </c>
      <c r="L630" s="41" t="str">
        <f>VLOOKUP(C630,Stores!$A$200:$G$1118,7,0)</f>
        <v>192.168.1.201</v>
      </c>
      <c r="M630" s="42" t="s">
        <v>3664</v>
      </c>
    </row>
    <row r="631">
      <c r="A631" s="38" t="s">
        <v>2962</v>
      </c>
      <c r="B631" s="38" t="s">
        <v>3741</v>
      </c>
      <c r="C631" s="38" t="s">
        <v>1725</v>
      </c>
      <c r="D631" s="39" t="s">
        <v>1726</v>
      </c>
      <c r="E631" s="38" t="s">
        <v>3177</v>
      </c>
      <c r="F631" s="40"/>
      <c r="G631" s="40"/>
      <c r="H631" s="41" t="str">
        <f>VLOOKUP(C631,Stores!$A$200:$G$1118,3,0)</f>
        <v>Opened Stores</v>
      </c>
      <c r="I631" s="41" t="str">
        <f>VLOOKUP(C631,Stores!$A$200:$G$1118,4,0)</f>
        <v>Stage 7 - Installed</v>
      </c>
      <c r="J631" s="41" t="str">
        <f>VLOOKUP(C631,Stores!$A$200:$G$1118,5,0)</f>
        <v>ZKTECO</v>
      </c>
      <c r="K631" s="41" t="str">
        <f>VLOOKUP(C631,Stores!$A$200:$G$1118,6,0)</f>
        <v>CQUJ233560462</v>
      </c>
      <c r="L631" s="41" t="str">
        <f>VLOOKUP(C631,Stores!$A$200:$G$1118,7,0)</f>
        <v>192.168.1.201</v>
      </c>
      <c r="M631" s="42" t="s">
        <v>3664</v>
      </c>
    </row>
    <row r="632">
      <c r="A632" s="38" t="s">
        <v>2962</v>
      </c>
      <c r="B632" s="38" t="s">
        <v>3742</v>
      </c>
      <c r="C632" s="38" t="s">
        <v>2802</v>
      </c>
      <c r="D632" s="39" t="s">
        <v>2803</v>
      </c>
      <c r="E632" s="38" t="s">
        <v>3177</v>
      </c>
      <c r="F632" s="40"/>
      <c r="G632" s="40"/>
      <c r="H632" s="41" t="str">
        <f>VLOOKUP(C632,Stores!$A$200:$G$1118,3,0)</f>
        <v>Opened Stores</v>
      </c>
      <c r="I632" s="41" t="str">
        <f>VLOOKUP(C632,Stores!$A$200:$G$1118,4,0)</f>
        <v>Stage 7 - Installed</v>
      </c>
      <c r="J632" s="41" t="str">
        <f>VLOOKUP(C632,Stores!$A$200:$G$1118,5,0)</f>
        <v>ZKTECO</v>
      </c>
      <c r="K632" s="41" t="str">
        <f>VLOOKUP(C632,Stores!$A$200:$G$1118,6,0)</f>
        <v>ZKM6251400031</v>
      </c>
      <c r="L632" s="41" t="str">
        <f>VLOOKUP(C632,Stores!$A$200:$G$1118,7,0)</f>
        <v>192.168.1.201</v>
      </c>
      <c r="M632" s="42" t="s">
        <v>3664</v>
      </c>
    </row>
    <row r="633">
      <c r="A633" s="38" t="s">
        <v>2962</v>
      </c>
      <c r="B633" s="38" t="s">
        <v>3743</v>
      </c>
      <c r="C633" s="38" t="s">
        <v>2907</v>
      </c>
      <c r="D633" s="39" t="s">
        <v>2908</v>
      </c>
      <c r="E633" s="38" t="s">
        <v>3177</v>
      </c>
      <c r="F633" s="40"/>
      <c r="G633" s="40"/>
      <c r="H633" s="41" t="str">
        <f>VLOOKUP(C633,Stores!$A$200:$G$1118,3,0)</f>
        <v>Opened Stores</v>
      </c>
      <c r="I633" s="41" t="str">
        <f>VLOOKUP(C633,Stores!$A$200:$G$1118,4,0)</f>
        <v>Stage 7 - Installed</v>
      </c>
      <c r="J633" s="41" t="str">
        <f>VLOOKUP(C633,Stores!$A$200:$G$1118,5,0)</f>
        <v>ZKTECO</v>
      </c>
      <c r="K633" s="41" t="str">
        <f>VLOOKUP(C633,Stores!$A$200:$G$1118,6,0)</f>
        <v>PAS4252900286</v>
      </c>
      <c r="L633" s="41" t="str">
        <f>VLOOKUP(C633,Stores!$A$200:$G$1118,7,0)</f>
        <v>192.168.1.201</v>
      </c>
      <c r="M633" s="42" t="s">
        <v>3664</v>
      </c>
    </row>
    <row r="634">
      <c r="A634" s="38" t="s">
        <v>2962</v>
      </c>
      <c r="B634" s="38" t="s">
        <v>3744</v>
      </c>
      <c r="C634" s="38" t="s">
        <v>1630</v>
      </c>
      <c r="D634" s="39" t="s">
        <v>1631</v>
      </c>
      <c r="E634" s="38" t="s">
        <v>3177</v>
      </c>
      <c r="F634" s="40"/>
      <c r="G634" s="40"/>
      <c r="H634" s="41" t="str">
        <f>VLOOKUP(C634,Stores!$A$200:$G$1118,3,0)</f>
        <v>Opened Stores</v>
      </c>
      <c r="I634" s="41" t="str">
        <f>VLOOKUP(C634,Stores!$A$200:$G$1118,4,0)</f>
        <v>Stage 7 - Installed</v>
      </c>
      <c r="J634" s="41" t="str">
        <f>VLOOKUP(C634,Stores!$A$200:$G$1118,5,0)</f>
        <v>ZKTECO</v>
      </c>
      <c r="K634" s="41" t="str">
        <f>VLOOKUP(C634,Stores!$A$200:$G$1118,6,0)</f>
        <v>AEYU082360225</v>
      </c>
      <c r="L634" s="41" t="str">
        <f>VLOOKUP(C634,Stores!$A$200:$G$1118,7,0)</f>
        <v>192.168.1.201</v>
      </c>
      <c r="M634" s="42" t="s">
        <v>3664</v>
      </c>
    </row>
    <row r="635">
      <c r="A635" s="38" t="s">
        <v>2962</v>
      </c>
      <c r="B635" s="38" t="s">
        <v>3745</v>
      </c>
      <c r="C635" s="38" t="s">
        <v>2676</v>
      </c>
      <c r="D635" s="39" t="s">
        <v>3746</v>
      </c>
      <c r="E635" s="38" t="s">
        <v>3177</v>
      </c>
      <c r="F635" s="40"/>
      <c r="G635" s="40"/>
      <c r="H635" s="41" t="str">
        <f>VLOOKUP(C635,Stores!$A$200:$G$1118,3,0)</f>
        <v>Opened Stores</v>
      </c>
      <c r="I635" s="41" t="str">
        <f>VLOOKUP(C635,Stores!$A$200:$G$1118,4,0)</f>
        <v>Stage 7 - Installed</v>
      </c>
      <c r="J635" s="41" t="str">
        <f>VLOOKUP(C635,Stores!$A$200:$G$1118,5,0)</f>
        <v>ZKTECO</v>
      </c>
      <c r="K635" s="41" t="str">
        <f>VLOOKUP(C635,Stores!$A$200:$G$1118,6,0)</f>
        <v>ZKM6251700038</v>
      </c>
      <c r="L635" s="41" t="str">
        <f>VLOOKUP(C635,Stores!$A$200:$G$1118,7,0)</f>
        <v>192.168.1.201</v>
      </c>
      <c r="M635" s="42" t="s">
        <v>3664</v>
      </c>
    </row>
    <row r="636">
      <c r="A636" s="38" t="s">
        <v>2962</v>
      </c>
      <c r="B636" s="38" t="s">
        <v>3747</v>
      </c>
      <c r="C636" s="38" t="s">
        <v>2700</v>
      </c>
      <c r="D636" s="39" t="s">
        <v>2701</v>
      </c>
      <c r="E636" s="38" t="s">
        <v>3177</v>
      </c>
      <c r="F636" s="40"/>
      <c r="G636" s="40"/>
      <c r="H636" s="41" t="str">
        <f>VLOOKUP(C636,Stores!$A$200:$G$1118,3,0)</f>
        <v>Opened Stores</v>
      </c>
      <c r="I636" s="41" t="str">
        <f>VLOOKUP(C636,Stores!$A$200:$G$1118,4,0)</f>
        <v>Stage 7 - Installed</v>
      </c>
      <c r="J636" s="41" t="str">
        <f>VLOOKUP(C636,Stores!$A$200:$G$1118,5,0)</f>
        <v>ZKTECO</v>
      </c>
      <c r="K636" s="41" t="str">
        <f>VLOOKUP(C636,Stores!$A$200:$G$1118,6,0)</f>
        <v>ZKM6251700141</v>
      </c>
      <c r="L636" s="41" t="str">
        <f>VLOOKUP(C636,Stores!$A$200:$G$1118,7,0)</f>
        <v>192.168.1.201</v>
      </c>
      <c r="M636" s="42" t="s">
        <v>3664</v>
      </c>
    </row>
    <row r="637">
      <c r="A637" s="38" t="s">
        <v>2962</v>
      </c>
      <c r="B637" s="38" t="s">
        <v>3748</v>
      </c>
      <c r="C637" s="38" t="s">
        <v>892</v>
      </c>
      <c r="D637" s="39" t="s">
        <v>893</v>
      </c>
      <c r="E637" s="38" t="s">
        <v>3177</v>
      </c>
      <c r="F637" s="40"/>
      <c r="G637" s="40"/>
      <c r="H637" s="41" t="str">
        <f>VLOOKUP(C637,Stores!$A$200:$G$1118,3,0)</f>
        <v>Opened Stores</v>
      </c>
      <c r="I637" s="41" t="str">
        <f>VLOOKUP(C637,Stores!$A$200:$G$1118,4,0)</f>
        <v>Stage 7 - Installed</v>
      </c>
      <c r="J637" s="41" t="str">
        <f>VLOOKUP(C637,Stores!$A$200:$G$1118,5,0)</f>
        <v>FINGERTEC</v>
      </c>
      <c r="K637" s="41">
        <f>VLOOKUP(C637,Stores!$A$200:$G$1118,6,0)</f>
        <v>7425686</v>
      </c>
      <c r="L637" s="41" t="str">
        <f>VLOOKUP(C637,Stores!$A$200:$G$1118,7,0)</f>
        <v>192.168.1.201</v>
      </c>
      <c r="M637" s="42" t="s">
        <v>3664</v>
      </c>
    </row>
    <row r="638">
      <c r="A638" s="38" t="s">
        <v>2962</v>
      </c>
      <c r="B638" s="38" t="s">
        <v>3749</v>
      </c>
      <c r="C638" s="38" t="s">
        <v>916</v>
      </c>
      <c r="D638" s="39" t="s">
        <v>3750</v>
      </c>
      <c r="E638" s="38" t="s">
        <v>3177</v>
      </c>
      <c r="F638" s="40"/>
      <c r="G638" s="40"/>
      <c r="H638" s="41" t="str">
        <f>VLOOKUP(C638,Stores!$A$200:$G$1118,3,0)</f>
        <v>Opened Stores</v>
      </c>
      <c r="I638" s="41" t="str">
        <f>VLOOKUP(C638,Stores!$A$200:$G$1118,4,0)</f>
        <v>Stage 7 - Installed</v>
      </c>
      <c r="J638" s="41" t="str">
        <f>VLOOKUP(C638,Stores!$A$200:$G$1118,5,0)</f>
        <v>FINGERTEC</v>
      </c>
      <c r="K638" s="41">
        <f>VLOOKUP(C638,Stores!$A$200:$G$1118,6,0)</f>
        <v>7425668</v>
      </c>
      <c r="L638" s="41" t="str">
        <f>VLOOKUP(C638,Stores!$A$200:$G$1118,7,0)</f>
        <v>192.168.1.201</v>
      </c>
      <c r="M638" s="42" t="s">
        <v>3664</v>
      </c>
    </row>
    <row r="639">
      <c r="A639" s="38" t="s">
        <v>2962</v>
      </c>
      <c r="B639" s="38" t="s">
        <v>3751</v>
      </c>
      <c r="C639" s="38" t="s">
        <v>2487</v>
      </c>
      <c r="D639" s="39" t="s">
        <v>3752</v>
      </c>
      <c r="E639" s="38" t="s">
        <v>3177</v>
      </c>
      <c r="F639" s="40"/>
      <c r="G639" s="40"/>
      <c r="H639" s="41" t="str">
        <f>VLOOKUP(C639,Stores!$A$200:$G$1118,3,0)</f>
        <v>Opened Stores</v>
      </c>
      <c r="I639" s="41" t="str">
        <f>VLOOKUP(C639,Stores!$A$200:$G$1118,4,0)</f>
        <v>Stage 7 - Installed</v>
      </c>
      <c r="J639" s="41" t="str">
        <f>VLOOKUP(C639,Stores!$A$200:$G$1118,5,0)</f>
        <v>ZKTECO</v>
      </c>
      <c r="K639" s="41" t="str">
        <f>VLOOKUP(C639,Stores!$A$200:$G$1118,6,0)</f>
        <v>ZKM6245100032</v>
      </c>
      <c r="L639" s="41" t="str">
        <f>VLOOKUP(C639,Stores!$A$200:$G$1118,7,0)</f>
        <v>192.168.1.201</v>
      </c>
      <c r="M639" s="42" t="s">
        <v>3664</v>
      </c>
    </row>
    <row r="640">
      <c r="A640" s="38" t="s">
        <v>2962</v>
      </c>
      <c r="B640" s="38" t="s">
        <v>3753</v>
      </c>
      <c r="C640" s="38" t="s">
        <v>2929</v>
      </c>
      <c r="D640" s="39" t="s">
        <v>3754</v>
      </c>
      <c r="E640" s="38" t="s">
        <v>3177</v>
      </c>
      <c r="F640" s="40"/>
      <c r="G640" s="40"/>
      <c r="H640" s="41" t="str">
        <f>VLOOKUP(C640,Stores!$A$200:$G$1118,3,0)</f>
        <v>Opened Stores</v>
      </c>
      <c r="I640" s="41" t="str">
        <f>VLOOKUP(C640,Stores!$A$200:$G$1118,4,0)</f>
        <v>Stage 7 - Installed</v>
      </c>
      <c r="J640" s="41" t="str">
        <f>VLOOKUP(C640,Stores!$A$200:$G$1118,5,0)</f>
        <v>ZKTECO</v>
      </c>
      <c r="K640" s="41" t="str">
        <f>VLOOKUP(C640,Stores!$A$200:$G$1118,6,0)</f>
        <v>PAS4253000125</v>
      </c>
      <c r="L640" s="41" t="str">
        <f>VLOOKUP(C640,Stores!$A$200:$G$1118,7,0)</f>
        <v>192.168.1.201</v>
      </c>
      <c r="M640" s="42" t="s">
        <v>3664</v>
      </c>
    </row>
    <row r="641">
      <c r="A641" s="38" t="s">
        <v>2962</v>
      </c>
      <c r="B641" s="38" t="s">
        <v>3755</v>
      </c>
      <c r="C641" s="38" t="s">
        <v>2844</v>
      </c>
      <c r="D641" s="39" t="s">
        <v>2845</v>
      </c>
      <c r="E641" s="38" t="s">
        <v>3177</v>
      </c>
      <c r="F641" s="40"/>
      <c r="G641" s="40"/>
      <c r="H641" s="41" t="str">
        <f>VLOOKUP(C641,Stores!$A$200:$G$1118,3,0)</f>
        <v>Opened Stores</v>
      </c>
      <c r="I641" s="41" t="str">
        <f>VLOOKUP(C641,Stores!$A$200:$G$1118,4,0)</f>
        <v>Stage 7 - Installed</v>
      </c>
      <c r="J641" s="41" t="str">
        <f>VLOOKUP(C641,Stores!$A$200:$G$1118,5,0)</f>
        <v>ZKTECO</v>
      </c>
      <c r="K641" s="41" t="str">
        <f>VLOOKUP(C641,Stores!$A$200:$G$1118,6,0)</f>
        <v>PAS4252900281</v>
      </c>
      <c r="L641" s="41" t="str">
        <f>VLOOKUP(C641,Stores!$A$200:$G$1118,7,0)</f>
        <v>192.168.1.201</v>
      </c>
      <c r="M641" s="42" t="s">
        <v>3664</v>
      </c>
    </row>
    <row r="642">
      <c r="A642" s="38" t="s">
        <v>2962</v>
      </c>
      <c r="B642" s="38" t="s">
        <v>3756</v>
      </c>
      <c r="C642" s="38" t="s">
        <v>1546</v>
      </c>
      <c r="D642" s="39" t="s">
        <v>1547</v>
      </c>
      <c r="E642" s="38" t="s">
        <v>3177</v>
      </c>
      <c r="F642" s="40"/>
      <c r="G642" s="40"/>
      <c r="H642" s="41" t="str">
        <f>VLOOKUP(C642,Stores!$A$200:$G$1118,3,0)</f>
        <v>Opened Stores</v>
      </c>
      <c r="I642" s="41" t="str">
        <f>VLOOKUP(C642,Stores!$A$200:$G$1118,4,0)</f>
        <v>Stage 7 - Installed</v>
      </c>
      <c r="J642" s="41" t="str">
        <f>VLOOKUP(C642,Stores!$A$200:$G$1118,5,0)</f>
        <v>ZKTECO</v>
      </c>
      <c r="K642" s="41" t="str">
        <f>VLOOKUP(C642,Stores!$A$200:$G$1118,6,0)</f>
        <v>AEYU082360223</v>
      </c>
      <c r="L642" s="41" t="str">
        <f>VLOOKUP(C642,Stores!$A$200:$G$1118,7,0)</f>
        <v>192.168.1.201</v>
      </c>
      <c r="M642" s="42" t="s">
        <v>3664</v>
      </c>
    </row>
    <row r="643">
      <c r="A643" s="38" t="s">
        <v>2962</v>
      </c>
      <c r="B643" s="38" t="s">
        <v>3757</v>
      </c>
      <c r="C643" s="38" t="s">
        <v>1191</v>
      </c>
      <c r="D643" s="39" t="s">
        <v>1192</v>
      </c>
      <c r="E643" s="38" t="s">
        <v>3177</v>
      </c>
      <c r="F643" s="40"/>
      <c r="G643" s="40"/>
      <c r="H643" s="41" t="str">
        <f>VLOOKUP(C643,Stores!$A$200:$G$1118,3,0)</f>
        <v>Opened Stores</v>
      </c>
      <c r="I643" s="41" t="str">
        <f>VLOOKUP(C643,Stores!$A$200:$G$1118,4,0)</f>
        <v>Stage 7 - Installed</v>
      </c>
      <c r="J643" s="41" t="str">
        <f>VLOOKUP(C643,Stores!$A$200:$G$1118,5,0)</f>
        <v>ZKTECO</v>
      </c>
      <c r="K643" s="41" t="str">
        <f>VLOOKUP(C643,Stores!$A$200:$G$1118,6,0)</f>
        <v>ZKM6251700312</v>
      </c>
      <c r="L643" s="41" t="str">
        <f>VLOOKUP(C643,Stores!$A$200:$G$1118,7,0)</f>
        <v>192.168.1.201</v>
      </c>
      <c r="M643" s="42" t="s">
        <v>3664</v>
      </c>
    </row>
    <row r="644">
      <c r="A644" s="38" t="s">
        <v>2962</v>
      </c>
      <c r="B644" s="38" t="s">
        <v>3758</v>
      </c>
      <c r="C644" s="38" t="s">
        <v>2808</v>
      </c>
      <c r="D644" s="39" t="s">
        <v>2809</v>
      </c>
      <c r="E644" s="38" t="s">
        <v>3177</v>
      </c>
      <c r="F644" s="40"/>
      <c r="G644" s="40"/>
      <c r="H644" s="41" t="str">
        <f>VLOOKUP(C644,Stores!$A$200:$G$1118,3,0)</f>
        <v>Opened Stores</v>
      </c>
      <c r="I644" s="41" t="str">
        <f>VLOOKUP(C644,Stores!$A$200:$G$1118,4,0)</f>
        <v>Stage 7 - Installed</v>
      </c>
      <c r="J644" s="41" t="str">
        <f>VLOOKUP(C644,Stores!$A$200:$G$1118,5,0)</f>
        <v>ZKTECO</v>
      </c>
      <c r="K644" s="41" t="str">
        <f>VLOOKUP(C644,Stores!$A$200:$G$1118,6,0)</f>
        <v>ZKM6251400023</v>
      </c>
      <c r="L644" s="41" t="str">
        <f>VLOOKUP(C644,Stores!$A$200:$G$1118,7,0)</f>
        <v>192.168.1.201</v>
      </c>
      <c r="M644" s="42" t="s">
        <v>3664</v>
      </c>
    </row>
    <row r="645">
      <c r="A645" s="38" t="s">
        <v>2962</v>
      </c>
      <c r="B645" s="38" t="s">
        <v>3759</v>
      </c>
      <c r="C645" s="38" t="s">
        <v>2429</v>
      </c>
      <c r="D645" s="39" t="s">
        <v>2430</v>
      </c>
      <c r="E645" s="38" t="s">
        <v>3177</v>
      </c>
      <c r="F645" s="40"/>
      <c r="G645" s="40"/>
      <c r="H645" s="41" t="str">
        <f>VLOOKUP(C645,Stores!$A$200:$G$1118,3,0)</f>
        <v>Opened Stores</v>
      </c>
      <c r="I645" s="41" t="str">
        <f>VLOOKUP(C645,Stores!$A$200:$G$1118,4,0)</f>
        <v>Stage 7 - Installed</v>
      </c>
      <c r="J645" s="41" t="str">
        <f>VLOOKUP(C645,Stores!$A$200:$G$1118,5,0)</f>
        <v>ZKTECO</v>
      </c>
      <c r="K645" s="41" t="str">
        <f>VLOOKUP(C645,Stores!$A$200:$G$1118,6,0)</f>
        <v>ZKM6245100124</v>
      </c>
      <c r="L645" s="41" t="str">
        <f>VLOOKUP(C645,Stores!$A$200:$G$1118,7,0)</f>
        <v>192.168.1.201</v>
      </c>
      <c r="M645" s="42" t="s">
        <v>3664</v>
      </c>
    </row>
    <row r="646">
      <c r="A646" s="38" t="s">
        <v>2962</v>
      </c>
      <c r="B646" s="38" t="s">
        <v>3760</v>
      </c>
      <c r="C646" s="38" t="s">
        <v>1848</v>
      </c>
      <c r="D646" s="39" t="s">
        <v>1849</v>
      </c>
      <c r="E646" s="38" t="s">
        <v>3177</v>
      </c>
      <c r="F646" s="40"/>
      <c r="G646" s="40"/>
      <c r="H646" s="41" t="str">
        <f>VLOOKUP(C646,Stores!$A$200:$G$1118,3,0)</f>
        <v>Opened Stores</v>
      </c>
      <c r="I646" s="41" t="str">
        <f>VLOOKUP(C646,Stores!$A$200:$G$1118,4,0)</f>
        <v>Stage 7 - Installed</v>
      </c>
      <c r="J646" s="41" t="str">
        <f>VLOOKUP(C646,Stores!$A$200:$G$1118,5,0)</f>
        <v>ZKTECO</v>
      </c>
      <c r="K646" s="41" t="str">
        <f>VLOOKUP(C646,Stores!$A$200:$G$1118,6,0)</f>
        <v>CQUJ233560398</v>
      </c>
      <c r="L646" s="41" t="str">
        <f>VLOOKUP(C646,Stores!$A$200:$G$1118,7,0)</f>
        <v>192.168.1.201</v>
      </c>
      <c r="M646" s="42" t="s">
        <v>3664</v>
      </c>
    </row>
    <row r="647">
      <c r="A647" s="38" t="s">
        <v>2962</v>
      </c>
      <c r="B647" s="38" t="s">
        <v>3761</v>
      </c>
      <c r="C647" s="38" t="s">
        <v>561</v>
      </c>
      <c r="D647" s="39" t="s">
        <v>562</v>
      </c>
      <c r="E647" s="38" t="s">
        <v>3177</v>
      </c>
      <c r="F647" s="40"/>
      <c r="G647" s="40"/>
      <c r="H647" s="41" t="str">
        <f>VLOOKUP(C647,Stores!$A$200:$G$1118,3,0)</f>
        <v>Opened Stores</v>
      </c>
      <c r="I647" s="41" t="str">
        <f>VLOOKUP(C647,Stores!$A$200:$G$1118,4,0)</f>
        <v>Stage 7 - Installed</v>
      </c>
      <c r="J647" s="41" t="str">
        <f>VLOOKUP(C647,Stores!$A$200:$G$1118,5,0)</f>
        <v>ZKTECO</v>
      </c>
      <c r="K647" s="41" t="str">
        <f>VLOOKUP(C647,Stores!$A$200:$G$1118,6,0)</f>
        <v>CQUJ233561107</v>
      </c>
      <c r="L647" s="41" t="str">
        <f>VLOOKUP(C647,Stores!$A$200:$G$1118,7,0)</f>
        <v>192.168.1.201</v>
      </c>
      <c r="M647" s="42" t="s">
        <v>3664</v>
      </c>
    </row>
    <row r="648">
      <c r="A648" s="38" t="s">
        <v>2962</v>
      </c>
      <c r="B648" s="38" t="s">
        <v>3762</v>
      </c>
      <c r="C648" s="38" t="s">
        <v>1707</v>
      </c>
      <c r="D648" s="39" t="s">
        <v>1708</v>
      </c>
      <c r="E648" s="38" t="s">
        <v>3177</v>
      </c>
      <c r="F648" s="40"/>
      <c r="G648" s="40"/>
      <c r="H648" s="41" t="str">
        <f>VLOOKUP(C648,Stores!$A$200:$G$1118,3,0)</f>
        <v>Opened Stores</v>
      </c>
      <c r="I648" s="41" t="str">
        <f>VLOOKUP(C648,Stores!$A$200:$G$1118,4,0)</f>
        <v>Stage 7 - Installed</v>
      </c>
      <c r="J648" s="41" t="str">
        <f>VLOOKUP(C648,Stores!$A$200:$G$1118,5,0)</f>
        <v>ZKTECO</v>
      </c>
      <c r="K648" s="41" t="str">
        <f>VLOOKUP(C648,Stores!$A$200:$G$1118,6,0)</f>
        <v>AEYU082360200</v>
      </c>
      <c r="L648" s="41" t="str">
        <f>VLOOKUP(C648,Stores!$A$200:$G$1118,7,0)</f>
        <v>192.168.1.201</v>
      </c>
      <c r="M648" s="42" t="s">
        <v>3664</v>
      </c>
    </row>
    <row r="649">
      <c r="A649" s="38" t="s">
        <v>2962</v>
      </c>
      <c r="B649" s="38" t="s">
        <v>3763</v>
      </c>
      <c r="C649" s="38" t="s">
        <v>1276</v>
      </c>
      <c r="D649" s="39" t="s">
        <v>1277</v>
      </c>
      <c r="E649" s="38" t="s">
        <v>3177</v>
      </c>
      <c r="F649" s="40"/>
      <c r="G649" s="40"/>
      <c r="H649" s="41" t="str">
        <f>VLOOKUP(C649,Stores!$A$200:$G$1118,3,0)</f>
        <v>Opened Stores</v>
      </c>
      <c r="I649" s="41" t="str">
        <f>VLOOKUP(C649,Stores!$A$200:$G$1118,4,0)</f>
        <v>Stage 7 - Installed</v>
      </c>
      <c r="J649" s="41" t="str">
        <f>VLOOKUP(C649,Stores!$A$200:$G$1118,5,0)</f>
        <v>ZKTECO</v>
      </c>
      <c r="K649" s="41" t="str">
        <f>VLOOKUP(C649,Stores!$A$200:$G$1118,6,0)</f>
        <v>ZKM6245100289</v>
      </c>
      <c r="L649" s="41" t="str">
        <f>VLOOKUP(C649,Stores!$A$200:$G$1118,7,0)</f>
        <v>192.168.1.201</v>
      </c>
      <c r="M649" s="42" t="s">
        <v>3664</v>
      </c>
    </row>
    <row r="650">
      <c r="A650" s="38" t="s">
        <v>2962</v>
      </c>
      <c r="B650" s="38" t="s">
        <v>3764</v>
      </c>
      <c r="C650" s="38" t="s">
        <v>1042</v>
      </c>
      <c r="D650" s="39" t="s">
        <v>1043</v>
      </c>
      <c r="E650" s="38" t="s">
        <v>3177</v>
      </c>
      <c r="F650" s="40"/>
      <c r="G650" s="40"/>
      <c r="H650" s="41" t="str">
        <f>VLOOKUP(C650,Stores!$A$200:$G$1118,3,0)</f>
        <v>Opened Stores</v>
      </c>
      <c r="I650" s="41" t="str">
        <f>VLOOKUP(C650,Stores!$A$200:$G$1118,4,0)</f>
        <v>Stage 7 - Installed</v>
      </c>
      <c r="J650" s="41" t="str">
        <f>VLOOKUP(C650,Stores!$A$200:$G$1118,5,0)</f>
        <v>ZKTECO</v>
      </c>
      <c r="K650" s="41" t="str">
        <f>VLOOKUP(C650,Stores!$A$200:$G$1118,6,0)</f>
        <v>A8N5221860529</v>
      </c>
      <c r="L650" s="41" t="str">
        <f>VLOOKUP(C650,Stores!$A$200:$G$1118,7,0)</f>
        <v>192.168.1.201</v>
      </c>
      <c r="M650" s="42" t="s">
        <v>3664</v>
      </c>
    </row>
    <row r="651">
      <c r="A651" s="38" t="s">
        <v>2962</v>
      </c>
      <c r="B651" s="38" t="s">
        <v>3765</v>
      </c>
      <c r="C651" s="38" t="s">
        <v>2553</v>
      </c>
      <c r="D651" s="39" t="s">
        <v>3766</v>
      </c>
      <c r="E651" s="38" t="s">
        <v>3177</v>
      </c>
      <c r="F651" s="40"/>
      <c r="G651" s="40"/>
      <c r="H651" s="41" t="str">
        <f>VLOOKUP(C651,Stores!$A$200:$G$1118,3,0)</f>
        <v>Opened Stores</v>
      </c>
      <c r="I651" s="41" t="str">
        <f>VLOOKUP(C651,Stores!$A$200:$G$1118,4,0)</f>
        <v>Stage 7 - Installed</v>
      </c>
      <c r="J651" s="41" t="str">
        <f>VLOOKUP(C651,Stores!$A$200:$G$1118,5,0)</f>
        <v>ZKTECO</v>
      </c>
      <c r="K651" s="41" t="str">
        <f>VLOOKUP(C651,Stores!$A$200:$G$1118,6,0)</f>
        <v>ZKM6251500102</v>
      </c>
      <c r="L651" s="41" t="str">
        <f>VLOOKUP(C651,Stores!$A$200:$G$1118,7,0)</f>
        <v>192.168.1.201</v>
      </c>
      <c r="M651" s="42" t="s">
        <v>3664</v>
      </c>
    </row>
    <row r="652">
      <c r="A652" s="38" t="s">
        <v>2962</v>
      </c>
      <c r="B652" s="38" t="s">
        <v>3767</v>
      </c>
      <c r="C652" s="38" t="s">
        <v>1078</v>
      </c>
      <c r="D652" s="39" t="s">
        <v>1079</v>
      </c>
      <c r="E652" s="38" t="s">
        <v>3177</v>
      </c>
      <c r="F652" s="40"/>
      <c r="G652" s="40"/>
      <c r="H652" s="41" t="str">
        <f>VLOOKUP(C652,Stores!$A$200:$G$1118,3,0)</f>
        <v>Opened Stores</v>
      </c>
      <c r="I652" s="41" t="str">
        <f>VLOOKUP(C652,Stores!$A$200:$G$1118,4,0)</f>
        <v>Stage 7 - Installed</v>
      </c>
      <c r="J652" s="41" t="str">
        <f>VLOOKUP(C652,Stores!$A$200:$G$1118,5,0)</f>
        <v>ZKTECO</v>
      </c>
      <c r="K652" s="41" t="str">
        <f>VLOOKUP(C652,Stores!$A$200:$G$1118,6,0)</f>
        <v>A8N5221960255</v>
      </c>
      <c r="L652" s="41" t="str">
        <f>VLOOKUP(C652,Stores!$A$200:$G$1118,7,0)</f>
        <v>192.168.1.201</v>
      </c>
      <c r="M652" s="42" t="s">
        <v>3664</v>
      </c>
    </row>
    <row r="653">
      <c r="A653" s="38" t="s">
        <v>2962</v>
      </c>
      <c r="B653" s="38" t="s">
        <v>3768</v>
      </c>
      <c r="C653" s="38" t="s">
        <v>1261</v>
      </c>
      <c r="D653" s="39" t="s">
        <v>1262</v>
      </c>
      <c r="E653" s="38" t="s">
        <v>3177</v>
      </c>
      <c r="F653" s="40"/>
      <c r="G653" s="40"/>
      <c r="H653" s="41" t="str">
        <f>VLOOKUP(C653,Stores!$A$200:$G$1118,3,0)</f>
        <v>Opened Stores</v>
      </c>
      <c r="I653" s="41" t="str">
        <f>VLOOKUP(C653,Stores!$A$200:$G$1118,4,0)</f>
        <v>Stage 7 - Installed</v>
      </c>
      <c r="J653" s="41" t="str">
        <f>VLOOKUP(C653,Stores!$A$200:$G$1118,5,0)</f>
        <v>ZKTECO</v>
      </c>
      <c r="K653" s="41" t="str">
        <f>VLOOKUP(C653,Stores!$A$200:$G$1118,6,0)</f>
        <v>ZKM6251700411</v>
      </c>
      <c r="L653" s="41" t="str">
        <f>VLOOKUP(C653,Stores!$A$200:$G$1118,7,0)</f>
        <v>192.168.1.201</v>
      </c>
      <c r="M653" s="42" t="s">
        <v>3664</v>
      </c>
    </row>
    <row r="654">
      <c r="A654" s="38" t="s">
        <v>2962</v>
      </c>
      <c r="B654" s="38" t="s">
        <v>3769</v>
      </c>
      <c r="C654" s="38" t="s">
        <v>1451</v>
      </c>
      <c r="D654" s="39" t="s">
        <v>1452</v>
      </c>
      <c r="E654" s="38" t="s">
        <v>3177</v>
      </c>
      <c r="F654" s="40"/>
      <c r="G654" s="40"/>
      <c r="H654" s="41" t="str">
        <f>VLOOKUP(C654,Stores!$A$200:$G$1118,3,0)</f>
        <v>Opened Stores</v>
      </c>
      <c r="I654" s="41" t="str">
        <f>VLOOKUP(C654,Stores!$A$200:$G$1118,4,0)</f>
        <v>Stage 7 - Installed</v>
      </c>
      <c r="J654" s="41" t="str">
        <f>VLOOKUP(C654,Stores!$A$200:$G$1118,5,0)</f>
        <v>ZKTECO</v>
      </c>
      <c r="K654" s="41" t="str">
        <f>VLOOKUP(C654,Stores!$A$200:$G$1118,6,0)</f>
        <v>PAS4252900189</v>
      </c>
      <c r="L654" s="41" t="str">
        <f>VLOOKUP(C654,Stores!$A$200:$G$1118,7,0)</f>
        <v>192.168.1.201</v>
      </c>
      <c r="M654" s="42" t="s">
        <v>3664</v>
      </c>
    </row>
    <row r="655">
      <c r="A655" s="38" t="s">
        <v>2962</v>
      </c>
      <c r="B655" s="38" t="s">
        <v>3770</v>
      </c>
      <c r="C655" s="38" t="s">
        <v>1779</v>
      </c>
      <c r="D655" s="39" t="s">
        <v>1780</v>
      </c>
      <c r="E655" s="38" t="s">
        <v>3177</v>
      </c>
      <c r="F655" s="40"/>
      <c r="G655" s="40"/>
      <c r="H655" s="41" t="str">
        <f>VLOOKUP(C655,Stores!$A$200:$G$1118,3,0)</f>
        <v>Opened Stores</v>
      </c>
      <c r="I655" s="41" t="str">
        <f>VLOOKUP(C655,Stores!$A$200:$G$1118,4,0)</f>
        <v>Stage 7 - Installed</v>
      </c>
      <c r="J655" s="41" t="str">
        <f>VLOOKUP(C655,Stores!$A$200:$G$1118,5,0)</f>
        <v>ZKTECO</v>
      </c>
      <c r="K655" s="41" t="str">
        <f>VLOOKUP(C655,Stores!$A$200:$G$1118,6,0)</f>
        <v>CQUJ233560560</v>
      </c>
      <c r="L655" s="41" t="str">
        <f>VLOOKUP(C655,Stores!$A$200:$G$1118,7,0)</f>
        <v>192.168.1.201</v>
      </c>
      <c r="M655" s="42" t="s">
        <v>3664</v>
      </c>
    </row>
    <row r="656">
      <c r="A656" s="38" t="s">
        <v>2962</v>
      </c>
      <c r="B656" s="38" t="s">
        <v>3771</v>
      </c>
      <c r="C656" s="38" t="s">
        <v>2462</v>
      </c>
      <c r="D656" s="39" t="s">
        <v>2463</v>
      </c>
      <c r="E656" s="38" t="s">
        <v>3177</v>
      </c>
      <c r="F656" s="40"/>
      <c r="G656" s="40"/>
      <c r="H656" s="41" t="str">
        <f>VLOOKUP(C656,Stores!$A$200:$G$1118,3,0)</f>
        <v>Opened Stores</v>
      </c>
      <c r="I656" s="41" t="str">
        <f>VLOOKUP(C656,Stores!$A$200:$G$1118,4,0)</f>
        <v>Stage 7 - Installed</v>
      </c>
      <c r="J656" s="41" t="str">
        <f>VLOOKUP(C656,Stores!$A$200:$G$1118,5,0)</f>
        <v>ZKTECO</v>
      </c>
      <c r="K656" s="41" t="str">
        <f>VLOOKUP(C656,Stores!$A$200:$G$1118,6,0)</f>
        <v>ZKM6245100125</v>
      </c>
      <c r="L656" s="41" t="str">
        <f>VLOOKUP(C656,Stores!$A$200:$G$1118,7,0)</f>
        <v>192.168.1.201</v>
      </c>
      <c r="M656" s="42" t="s">
        <v>3664</v>
      </c>
    </row>
    <row r="657">
      <c r="A657" s="38" t="s">
        <v>2962</v>
      </c>
      <c r="B657" s="38" t="s">
        <v>3772</v>
      </c>
      <c r="C657" s="38" t="s">
        <v>2811</v>
      </c>
      <c r="D657" s="39" t="s">
        <v>2812</v>
      </c>
      <c r="E657" s="38" t="s">
        <v>3177</v>
      </c>
      <c r="F657" s="40"/>
      <c r="G657" s="40"/>
      <c r="H657" s="41" t="str">
        <f>VLOOKUP(C657,Stores!$A$200:$G$1118,3,0)</f>
        <v>Opened Stores</v>
      </c>
      <c r="I657" s="41" t="str">
        <f>VLOOKUP(C657,Stores!$A$200:$G$1118,4,0)</f>
        <v>Stage 7 - Installed</v>
      </c>
      <c r="J657" s="41" t="str">
        <f>VLOOKUP(C657,Stores!$A$200:$G$1118,5,0)</f>
        <v>ZKTECO</v>
      </c>
      <c r="K657" s="41" t="str">
        <f>VLOOKUP(C657,Stores!$A$200:$G$1118,6,0)</f>
        <v>ZKM6251400024</v>
      </c>
      <c r="L657" s="41" t="str">
        <f>VLOOKUP(C657,Stores!$A$200:$G$1118,7,0)</f>
        <v>192.168.1.201</v>
      </c>
      <c r="M657" s="42" t="s">
        <v>3664</v>
      </c>
    </row>
    <row r="658">
      <c r="A658" s="38" t="s">
        <v>2962</v>
      </c>
      <c r="B658" s="38" t="s">
        <v>3773</v>
      </c>
      <c r="C658" s="38" t="s">
        <v>1291</v>
      </c>
      <c r="D658" s="39" t="s">
        <v>1292</v>
      </c>
      <c r="E658" s="38" t="s">
        <v>3177</v>
      </c>
      <c r="F658" s="40"/>
      <c r="G658" s="40"/>
      <c r="H658" s="41" t="str">
        <f>VLOOKUP(C658,Stores!$A$200:$G$1118,3,0)</f>
        <v>Opened Stores</v>
      </c>
      <c r="I658" s="41" t="str">
        <f>VLOOKUP(C658,Stores!$A$200:$G$1118,4,0)</f>
        <v>Stage 7 - Installed</v>
      </c>
      <c r="J658" s="41" t="str">
        <f>VLOOKUP(C658,Stores!$A$200:$G$1118,5,0)</f>
        <v>ZKTECO</v>
      </c>
      <c r="K658" s="41" t="str">
        <f>VLOOKUP(C658,Stores!$A$200:$G$1118,6,0)</f>
        <v>AKDG012351718</v>
      </c>
      <c r="L658" s="41" t="str">
        <f>VLOOKUP(C658,Stores!$A$200:$G$1118,7,0)</f>
        <v>192.168.1.201</v>
      </c>
      <c r="M658" s="42" t="s">
        <v>3664</v>
      </c>
    </row>
    <row r="659">
      <c r="A659" s="38" t="s">
        <v>2962</v>
      </c>
      <c r="B659" s="38" t="s">
        <v>3774</v>
      </c>
      <c r="C659" s="38" t="s">
        <v>1922</v>
      </c>
      <c r="D659" s="39" t="s">
        <v>1923</v>
      </c>
      <c r="E659" s="38" t="s">
        <v>3177</v>
      </c>
      <c r="F659" s="40"/>
      <c r="G659" s="40"/>
      <c r="H659" s="41" t="str">
        <f>VLOOKUP(C659,Stores!$A$200:$G$1118,3,0)</f>
        <v>Opened Stores</v>
      </c>
      <c r="I659" s="41" t="str">
        <f>VLOOKUP(C659,Stores!$A$200:$G$1118,4,0)</f>
        <v>Stage 7 - Installed</v>
      </c>
      <c r="J659" s="41" t="str">
        <f>VLOOKUP(C659,Stores!$A$200:$G$1118,5,0)</f>
        <v>ZKTECO</v>
      </c>
      <c r="K659" s="41" t="str">
        <f>VLOOKUP(C659,Stores!$A$200:$G$1118,6,0)</f>
        <v>CQUJ233561287</v>
      </c>
      <c r="L659" s="41" t="str">
        <f>VLOOKUP(C659,Stores!$A$200:$G$1118,7,0)</f>
        <v>192.168.1.201</v>
      </c>
      <c r="M659" s="42" t="s">
        <v>3664</v>
      </c>
    </row>
    <row r="660">
      <c r="A660" s="38" t="s">
        <v>2962</v>
      </c>
      <c r="B660" s="38" t="s">
        <v>3775</v>
      </c>
      <c r="C660" s="38" t="s">
        <v>1388</v>
      </c>
      <c r="D660" s="39" t="s">
        <v>1389</v>
      </c>
      <c r="E660" s="38" t="s">
        <v>3177</v>
      </c>
      <c r="F660" s="40"/>
      <c r="G660" s="40"/>
      <c r="H660" s="41" t="str">
        <f>VLOOKUP(C660,Stores!$A$200:$G$1118,3,0)</f>
        <v>Opened Stores</v>
      </c>
      <c r="I660" s="41" t="str">
        <f>VLOOKUP(C660,Stores!$A$200:$G$1118,4,0)</f>
        <v>Stage 7 - Installed</v>
      </c>
      <c r="J660" s="41" t="str">
        <f>VLOOKUP(C660,Stores!$A$200:$G$1118,5,0)</f>
        <v>ZKTECO</v>
      </c>
      <c r="K660" s="41" t="str">
        <f>VLOOKUP(C660,Stores!$A$200:$G$1118,6,0)</f>
        <v>AKDG012350225</v>
      </c>
      <c r="L660" s="41" t="str">
        <f>VLOOKUP(C660,Stores!$A$200:$G$1118,7,0)</f>
        <v>192.168.1.201</v>
      </c>
      <c r="M660" s="42" t="s">
        <v>3664</v>
      </c>
    </row>
    <row r="661">
      <c r="A661" s="38" t="s">
        <v>2962</v>
      </c>
      <c r="B661" s="38" t="s">
        <v>3776</v>
      </c>
      <c r="C661" s="38" t="s">
        <v>2517</v>
      </c>
      <c r="D661" s="39" t="s">
        <v>2518</v>
      </c>
      <c r="E661" s="38" t="s">
        <v>3177</v>
      </c>
      <c r="F661" s="40"/>
      <c r="G661" s="40"/>
      <c r="H661" s="41" t="str">
        <f>VLOOKUP(C661,Stores!$A$200:$G$1118,3,0)</f>
        <v>Opened Stores</v>
      </c>
      <c r="I661" s="41" t="str">
        <f>VLOOKUP(C661,Stores!$A$200:$G$1118,4,0)</f>
        <v>Stage 7 - Installed</v>
      </c>
      <c r="J661" s="41" t="str">
        <f>VLOOKUP(C661,Stores!$A$200:$G$1118,5,0)</f>
        <v>ZKTECO</v>
      </c>
      <c r="K661" s="41" t="str">
        <f>VLOOKUP(C661,Stores!$A$200:$G$1118,6,0)</f>
        <v>ZKM6251500135</v>
      </c>
      <c r="L661" s="41" t="str">
        <f>VLOOKUP(C661,Stores!$A$200:$G$1118,7,0)</f>
        <v>192.168.1.201</v>
      </c>
      <c r="M661" s="42" t="s">
        <v>3664</v>
      </c>
    </row>
    <row r="662">
      <c r="A662" s="38" t="s">
        <v>2962</v>
      </c>
      <c r="B662" s="38" t="s">
        <v>3777</v>
      </c>
      <c r="C662" s="38" t="s">
        <v>2132</v>
      </c>
      <c r="D662" s="39" t="s">
        <v>3778</v>
      </c>
      <c r="E662" s="38" t="s">
        <v>3177</v>
      </c>
      <c r="F662" s="40"/>
      <c r="G662" s="40"/>
      <c r="H662" s="41" t="str">
        <f>VLOOKUP(C662,Stores!$A$200:$G$1118,3,0)</f>
        <v>Opened Stores</v>
      </c>
      <c r="I662" s="41" t="str">
        <f>VLOOKUP(C662,Stores!$A$200:$G$1118,4,0)</f>
        <v>Stage 7 - Installed</v>
      </c>
      <c r="J662" s="41" t="str">
        <f>VLOOKUP(C662,Stores!$A$200:$G$1118,5,0)</f>
        <v>ZKTECO</v>
      </c>
      <c r="K662" s="41" t="str">
        <f>VLOOKUP(C662,Stores!$A$200:$G$1118,6,0)</f>
        <v>CQUJ233560079</v>
      </c>
      <c r="L662" s="41" t="str">
        <f>VLOOKUP(C662,Stores!$A$200:$G$1118,7,0)</f>
        <v>192.168.1.201</v>
      </c>
      <c r="M662" s="42" t="s">
        <v>3664</v>
      </c>
    </row>
    <row r="663">
      <c r="A663" s="38" t="s">
        <v>2962</v>
      </c>
      <c r="B663" s="38" t="s">
        <v>3779</v>
      </c>
      <c r="C663" s="38" t="s">
        <v>1194</v>
      </c>
      <c r="D663" s="39" t="s">
        <v>1195</v>
      </c>
      <c r="E663" s="38" t="s">
        <v>3177</v>
      </c>
      <c r="F663" s="40"/>
      <c r="G663" s="40"/>
      <c r="H663" s="41" t="str">
        <f>VLOOKUP(C663,Stores!$A$200:$G$1118,3,0)</f>
        <v>Opened Stores</v>
      </c>
      <c r="I663" s="41" t="str">
        <f>VLOOKUP(C663,Stores!$A$200:$G$1118,4,0)</f>
        <v>Stage 7 - Installed</v>
      </c>
      <c r="J663" s="41" t="str">
        <f>VLOOKUP(C663,Stores!$A$200:$G$1118,5,0)</f>
        <v>ZKTECO</v>
      </c>
      <c r="K663" s="41" t="str">
        <f>VLOOKUP(C663,Stores!$A$200:$G$1118,6,0)</f>
        <v>ZKM625100288</v>
      </c>
      <c r="L663" s="41" t="str">
        <f>VLOOKUP(C663,Stores!$A$200:$G$1118,7,0)</f>
        <v>192.168.1.201</v>
      </c>
      <c r="M663" s="42" t="s">
        <v>3664</v>
      </c>
    </row>
    <row r="664">
      <c r="A664" s="38" t="s">
        <v>2962</v>
      </c>
      <c r="B664" s="38" t="s">
        <v>3780</v>
      </c>
      <c r="C664" s="38" t="s">
        <v>1976</v>
      </c>
      <c r="D664" s="39" t="s">
        <v>3781</v>
      </c>
      <c r="E664" s="38" t="s">
        <v>3177</v>
      </c>
      <c r="F664" s="40"/>
      <c r="G664" s="40"/>
      <c r="H664" s="41" t="str">
        <f>VLOOKUP(C664,Stores!$A$200:$G$1118,3,0)</f>
        <v>Opened Stores</v>
      </c>
      <c r="I664" s="41" t="str">
        <f>VLOOKUP(C664,Stores!$A$200:$G$1118,4,0)</f>
        <v>Stage 7 - Installed</v>
      </c>
      <c r="J664" s="41" t="str">
        <f>VLOOKUP(C664,Stores!$A$200:$G$1118,5,0)</f>
        <v>ZKTECO</v>
      </c>
      <c r="K664" s="41" t="str">
        <f>VLOOKUP(C664,Stores!$A$200:$G$1118,6,0)</f>
        <v>CQUJ233560861</v>
      </c>
      <c r="L664" s="41" t="str">
        <f>VLOOKUP(C664,Stores!$A$200:$G$1118,7,0)</f>
        <v>192.168.1.201</v>
      </c>
      <c r="M664" s="42" t="s">
        <v>3664</v>
      </c>
    </row>
    <row r="665">
      <c r="A665" s="38" t="s">
        <v>2962</v>
      </c>
      <c r="B665" s="38" t="s">
        <v>3782</v>
      </c>
      <c r="C665" s="38" t="s">
        <v>2396</v>
      </c>
      <c r="D665" s="39" t="s">
        <v>2397</v>
      </c>
      <c r="E665" s="38" t="s">
        <v>3193</v>
      </c>
      <c r="F665" s="40"/>
      <c r="G665" s="40"/>
      <c r="H665" s="41" t="str">
        <f>VLOOKUP(C665,Stores!$A$200:$G$1118,3,0)</f>
        <v>Opened Stores</v>
      </c>
      <c r="I665" s="41" t="str">
        <f>VLOOKUP(C665,Stores!$A$200:$G$1118,4,0)</f>
        <v>Stage 7 - Installed</v>
      </c>
      <c r="J665" s="41" t="str">
        <f>VLOOKUP(C665,Stores!$A$200:$G$1118,5,0)</f>
        <v>ZKTECO</v>
      </c>
      <c r="K665" s="41" t="str">
        <f>VLOOKUP(C665,Stores!$A$200:$G$1118,6,0)</f>
        <v>ZKM6245100146</v>
      </c>
      <c r="L665" s="41" t="str">
        <f>VLOOKUP(C665,Stores!$A$200:$G$1118,7,0)</f>
        <v>192.168.1.201</v>
      </c>
      <c r="M665" s="42" t="s">
        <v>3664</v>
      </c>
    </row>
    <row r="666">
      <c r="A666" s="38" t="s">
        <v>2962</v>
      </c>
      <c r="B666" s="38" t="s">
        <v>3783</v>
      </c>
      <c r="C666" s="38" t="s">
        <v>2640</v>
      </c>
      <c r="D666" s="39" t="s">
        <v>2641</v>
      </c>
      <c r="E666" s="38" t="s">
        <v>3193</v>
      </c>
      <c r="F666" s="40"/>
      <c r="G666" s="40"/>
      <c r="H666" s="41" t="str">
        <f>VLOOKUP(C666,Stores!$A$200:$G$1118,3,0)</f>
        <v>Opened Stores</v>
      </c>
      <c r="I666" s="41" t="str">
        <f>VLOOKUP(C666,Stores!$A$200:$G$1118,4,0)</f>
        <v>Stage 7 - Installed</v>
      </c>
      <c r="J666" s="41" t="str">
        <f>VLOOKUP(C666,Stores!$A$200:$G$1118,5,0)</f>
        <v>ZKTECO</v>
      </c>
      <c r="K666" s="41" t="str">
        <f>VLOOKUP(C666,Stores!$A$200:$G$1118,6,0)</f>
        <v>ZKM6251500087</v>
      </c>
      <c r="L666" s="41" t="str">
        <f>VLOOKUP(C666,Stores!$A$200:$G$1118,7,0)</f>
        <v>192.168.1.201</v>
      </c>
      <c r="M666" s="42" t="s">
        <v>3664</v>
      </c>
    </row>
    <row r="667">
      <c r="A667" s="38" t="s">
        <v>2962</v>
      </c>
      <c r="B667" s="38" t="s">
        <v>3784</v>
      </c>
      <c r="C667" s="38" t="s">
        <v>1330</v>
      </c>
      <c r="D667" s="39" t="s">
        <v>1331</v>
      </c>
      <c r="E667" s="38" t="s">
        <v>3193</v>
      </c>
      <c r="F667" s="40"/>
      <c r="G667" s="40"/>
      <c r="H667" s="41" t="str">
        <f>VLOOKUP(C667,Stores!$A$200:$G$1118,3,0)</f>
        <v>Opened Stores</v>
      </c>
      <c r="I667" s="41" t="str">
        <f>VLOOKUP(C667,Stores!$A$200:$G$1118,4,0)</f>
        <v>Stage 7 - Installed</v>
      </c>
      <c r="J667" s="41" t="str">
        <f>VLOOKUP(C667,Stores!$A$200:$G$1118,5,0)</f>
        <v>FINGERTEC</v>
      </c>
      <c r="K667" s="41">
        <f>VLOOKUP(C667,Stores!$A$200:$G$1118,6,0)</f>
        <v>7425660</v>
      </c>
      <c r="L667" s="41" t="str">
        <f>VLOOKUP(C667,Stores!$A$200:$G$1118,7,0)</f>
        <v>192.168.1.202</v>
      </c>
      <c r="M667" s="42" t="s">
        <v>3664</v>
      </c>
    </row>
    <row r="668">
      <c r="A668" s="38" t="s">
        <v>2962</v>
      </c>
      <c r="B668" s="38" t="s">
        <v>3785</v>
      </c>
      <c r="C668" s="38" t="s">
        <v>2584</v>
      </c>
      <c r="D668" s="39" t="s">
        <v>2585</v>
      </c>
      <c r="E668" s="38" t="s">
        <v>3081</v>
      </c>
      <c r="F668" s="40" t="s">
        <v>3786</v>
      </c>
      <c r="G668" s="45">
        <v>9.399818337E9</v>
      </c>
      <c r="H668" s="41" t="str">
        <f>VLOOKUP(C668,Stores!$A$200:$G$1118,3,0)</f>
        <v>Opened Stores</v>
      </c>
      <c r="I668" s="41" t="str">
        <f>VLOOKUP(C668,Stores!$A$200:$G$1118,4,0)</f>
        <v>Stage 7 - Installed</v>
      </c>
      <c r="J668" s="41" t="str">
        <f>VLOOKUP(C668,Stores!$A$200:$G$1118,5,0)</f>
        <v>ZKTECO</v>
      </c>
      <c r="K668" s="41" t="str">
        <f>VLOOKUP(C668,Stores!$A$200:$G$1118,6,0)</f>
        <v>ZKM6251400200</v>
      </c>
      <c r="L668" s="41" t="str">
        <f>VLOOKUP(C668,Stores!$A$200:$G$1118,7,0)</f>
        <v>192.168.1.201</v>
      </c>
      <c r="M668" s="42" t="s">
        <v>3787</v>
      </c>
    </row>
    <row r="669">
      <c r="A669" s="38" t="s">
        <v>2962</v>
      </c>
      <c r="B669" s="38" t="s">
        <v>3788</v>
      </c>
      <c r="C669" s="38" t="s">
        <v>854</v>
      </c>
      <c r="D669" s="39" t="s">
        <v>855</v>
      </c>
      <c r="E669" s="38" t="s">
        <v>3081</v>
      </c>
      <c r="F669" s="40" t="s">
        <v>3789</v>
      </c>
      <c r="G669" s="45">
        <v>9.177056216E9</v>
      </c>
      <c r="H669" s="41" t="str">
        <f>VLOOKUP(C669,Stores!$A$200:$G$1118,3,0)</f>
        <v>Opened Stores</v>
      </c>
      <c r="I669" s="41" t="str">
        <f>VLOOKUP(C669,Stores!$A$200:$G$1118,4,0)</f>
        <v>Stage 7 - Installed</v>
      </c>
      <c r="J669" s="41" t="str">
        <f>VLOOKUP(C669,Stores!$A$200:$G$1118,5,0)</f>
        <v>FINGERTEC</v>
      </c>
      <c r="K669" s="41">
        <f>VLOOKUP(C669,Stores!$A$200:$G$1118,6,0)</f>
        <v>7425398</v>
      </c>
      <c r="L669" s="41" t="str">
        <f>VLOOKUP(C669,Stores!$A$200:$G$1118,7,0)</f>
        <v>192.168.1.201</v>
      </c>
      <c r="M669" s="42" t="s">
        <v>3787</v>
      </c>
    </row>
    <row r="670">
      <c r="A670" s="38" t="s">
        <v>2962</v>
      </c>
      <c r="B670" s="38" t="s">
        <v>3790</v>
      </c>
      <c r="C670" s="38" t="s">
        <v>439</v>
      </c>
      <c r="D670" s="39" t="s">
        <v>440</v>
      </c>
      <c r="E670" s="38" t="s">
        <v>3081</v>
      </c>
      <c r="F670" s="40" t="s">
        <v>3791</v>
      </c>
      <c r="G670" s="45">
        <v>9.992237545E9</v>
      </c>
      <c r="H670" s="41" t="str">
        <f>VLOOKUP(C670,Stores!$A$200:$G$1118,3,0)</f>
        <v>Opened Stores</v>
      </c>
      <c r="I670" s="41" t="str">
        <f>VLOOKUP(C670,Stores!$A$200:$G$1118,4,0)</f>
        <v>Stage 7 - Installed</v>
      </c>
      <c r="J670" s="41" t="str">
        <f>VLOOKUP(C670,Stores!$A$200:$G$1118,5,0)</f>
        <v>ZKTECO</v>
      </c>
      <c r="K670" s="41" t="str">
        <f>VLOOKUP(C670,Stores!$A$200:$G$1118,6,0)</f>
        <v>ZKM6245100222</v>
      </c>
      <c r="L670" s="41" t="str">
        <f>VLOOKUP(C670,Stores!$A$200:$G$1118,7,0)</f>
        <v>192.168.1.201</v>
      </c>
      <c r="M670" s="42" t="s">
        <v>3787</v>
      </c>
    </row>
    <row r="671">
      <c r="A671" s="38" t="s">
        <v>2962</v>
      </c>
      <c r="B671" s="38" t="s">
        <v>3792</v>
      </c>
      <c r="C671" s="38" t="s">
        <v>1075</v>
      </c>
      <c r="D671" s="39" t="s">
        <v>1076</v>
      </c>
      <c r="E671" s="38" t="s">
        <v>3081</v>
      </c>
      <c r="F671" s="40" t="s">
        <v>3793</v>
      </c>
      <c r="G671" s="45">
        <v>9.209683941E9</v>
      </c>
      <c r="H671" s="41" t="str">
        <f>VLOOKUP(C671,Stores!$A$200:$G$1118,3,0)</f>
        <v>Opened Stores</v>
      </c>
      <c r="I671" s="41" t="str">
        <f>VLOOKUP(C671,Stores!$A$200:$G$1118,4,0)</f>
        <v>Stage 7 - Installed</v>
      </c>
      <c r="J671" s="41" t="str">
        <f>VLOOKUP(C671,Stores!$A$200:$G$1118,5,0)</f>
        <v>ZKTECO</v>
      </c>
      <c r="K671" s="41" t="str">
        <f>VLOOKUP(C671,Stores!$A$200:$G$1118,6,0)</f>
        <v>PAS4252500079</v>
      </c>
      <c r="L671" s="41" t="str">
        <f>VLOOKUP(C671,Stores!$A$200:$G$1118,7,0)</f>
        <v>192.168.1.201</v>
      </c>
      <c r="M671" s="42" t="s">
        <v>3787</v>
      </c>
    </row>
    <row r="672">
      <c r="A672" s="38" t="s">
        <v>2962</v>
      </c>
      <c r="B672" s="38" t="s">
        <v>3794</v>
      </c>
      <c r="C672" s="38" t="s">
        <v>1889</v>
      </c>
      <c r="D672" s="39" t="s">
        <v>1890</v>
      </c>
      <c r="E672" s="38" t="s">
        <v>3081</v>
      </c>
      <c r="F672" s="40" t="s">
        <v>3795</v>
      </c>
      <c r="G672" s="45">
        <v>9.98974877E9</v>
      </c>
      <c r="H672" s="41" t="str">
        <f>VLOOKUP(C672,Stores!$A$200:$G$1118,3,0)</f>
        <v>Opened Stores</v>
      </c>
      <c r="I672" s="41" t="str">
        <f>VLOOKUP(C672,Stores!$A$200:$G$1118,4,0)</f>
        <v>Stage 7 - Installed</v>
      </c>
      <c r="J672" s="41" t="str">
        <f>VLOOKUP(C672,Stores!$A$200:$G$1118,5,0)</f>
        <v>ZKTECO</v>
      </c>
      <c r="K672" s="41" t="str">
        <f>VLOOKUP(C672,Stores!$A$200:$G$1118,6,0)</f>
        <v>CQUJ233561452</v>
      </c>
      <c r="L672" s="41" t="str">
        <f>VLOOKUP(C672,Stores!$A$200:$G$1118,7,0)</f>
        <v>192.168.1.201</v>
      </c>
      <c r="M672" s="42" t="s">
        <v>3787</v>
      </c>
    </row>
    <row r="673">
      <c r="A673" s="38" t="s">
        <v>2962</v>
      </c>
      <c r="B673" s="38" t="s">
        <v>3796</v>
      </c>
      <c r="C673" s="38" t="s">
        <v>803</v>
      </c>
      <c r="D673" s="39" t="s">
        <v>804</v>
      </c>
      <c r="E673" s="38" t="s">
        <v>3081</v>
      </c>
      <c r="F673" s="40" t="s">
        <v>3797</v>
      </c>
      <c r="G673" s="45">
        <v>9.305225661E9</v>
      </c>
      <c r="H673" s="41" t="str">
        <f>VLOOKUP(C673,Stores!$A$200:$G$1118,3,0)</f>
        <v>Opened Stores</v>
      </c>
      <c r="I673" s="41" t="str">
        <f>VLOOKUP(C673,Stores!$A$200:$G$1118,4,0)</f>
        <v>Stage 7 - Installed</v>
      </c>
      <c r="J673" s="41" t="str">
        <f>VLOOKUP(C673,Stores!$A$200:$G$1118,5,0)</f>
        <v>ZKTECO</v>
      </c>
      <c r="K673" s="41" t="str">
        <f>VLOOKUP(C673,Stores!$A$200:$G$1118,6,0)</f>
        <v>AEYU082360221</v>
      </c>
      <c r="L673" s="41" t="str">
        <f>VLOOKUP(C673,Stores!$A$200:$G$1118,7,0)</f>
        <v>192.168.1.201</v>
      </c>
      <c r="M673" s="42" t="s">
        <v>3787</v>
      </c>
    </row>
    <row r="674">
      <c r="A674" s="38" t="s">
        <v>2962</v>
      </c>
      <c r="B674" s="38" t="s">
        <v>3798</v>
      </c>
      <c r="C674" s="38" t="s">
        <v>2093</v>
      </c>
      <c r="D674" s="39" t="s">
        <v>2094</v>
      </c>
      <c r="E674" s="38" t="s">
        <v>3081</v>
      </c>
      <c r="F674" s="40" t="s">
        <v>3799</v>
      </c>
      <c r="G674" s="45">
        <v>9.989599745E9</v>
      </c>
      <c r="H674" s="41" t="str">
        <f>VLOOKUP(C674,Stores!$A$200:$G$1118,3,0)</f>
        <v>Opened Stores</v>
      </c>
      <c r="I674" s="41" t="str">
        <f>VLOOKUP(C674,Stores!$A$200:$G$1118,4,0)</f>
        <v>Stage 7 - Installed</v>
      </c>
      <c r="J674" s="41" t="str">
        <f>VLOOKUP(C674,Stores!$A$200:$G$1118,5,0)</f>
        <v>ZKTECO</v>
      </c>
      <c r="K674" s="41" t="str">
        <f>VLOOKUP(C674,Stores!$A$200:$G$1118,6,0)</f>
        <v>CQUJ233561145</v>
      </c>
      <c r="L674" s="41" t="str">
        <f>VLOOKUP(C674,Stores!$A$200:$G$1118,7,0)</f>
        <v>192.168.1.201</v>
      </c>
      <c r="M674" s="42" t="s">
        <v>3787</v>
      </c>
    </row>
    <row r="675">
      <c r="A675" s="38" t="s">
        <v>2962</v>
      </c>
      <c r="B675" s="38" t="s">
        <v>3800</v>
      </c>
      <c r="C675" s="38" t="s">
        <v>2408</v>
      </c>
      <c r="D675" s="39" t="s">
        <v>2409</v>
      </c>
      <c r="E675" s="38" t="s">
        <v>3081</v>
      </c>
      <c r="F675" s="40" t="s">
        <v>3801</v>
      </c>
      <c r="G675" s="45">
        <v>9.190931486E9</v>
      </c>
      <c r="H675" s="41" t="str">
        <f>VLOOKUP(C675,Stores!$A$200:$G$1118,3,0)</f>
        <v>Opened Stores</v>
      </c>
      <c r="I675" s="41" t="str">
        <f>VLOOKUP(C675,Stores!$A$200:$G$1118,4,0)</f>
        <v>Stage 7 - Installed</v>
      </c>
      <c r="J675" s="41" t="str">
        <f>VLOOKUP(C675,Stores!$A$200:$G$1118,5,0)</f>
        <v>ZKTECO</v>
      </c>
      <c r="K675" s="41" t="str">
        <f>VLOOKUP(C675,Stores!$A$200:$G$1118,6,0)</f>
        <v>PAS4252500058</v>
      </c>
      <c r="L675" s="41" t="str">
        <f>VLOOKUP(C675,Stores!$A$200:$G$1118,7,0)</f>
        <v>192.168.1.201</v>
      </c>
      <c r="M675" s="42" t="s">
        <v>3787</v>
      </c>
    </row>
    <row r="676">
      <c r="A676" s="38" t="s">
        <v>2962</v>
      </c>
      <c r="B676" s="38" t="s">
        <v>3802</v>
      </c>
      <c r="C676" s="38" t="s">
        <v>483</v>
      </c>
      <c r="D676" s="39" t="s">
        <v>484</v>
      </c>
      <c r="E676" s="38" t="s">
        <v>3081</v>
      </c>
      <c r="F676" s="40" t="s">
        <v>3793</v>
      </c>
      <c r="G676" s="45">
        <v>9.209683941E9</v>
      </c>
      <c r="H676" s="41" t="str">
        <f>VLOOKUP(C676,Stores!$A$200:$G$1118,3,0)</f>
        <v>Opened Stores</v>
      </c>
      <c r="I676" s="41" t="str">
        <f>VLOOKUP(C676,Stores!$A$200:$G$1118,4,0)</f>
        <v>Stage 7 - Installed</v>
      </c>
      <c r="J676" s="41" t="str">
        <f>VLOOKUP(C676,Stores!$A$200:$G$1118,5,0)</f>
        <v>FINGERTEC</v>
      </c>
      <c r="K676" s="41">
        <f>VLOOKUP(C676,Stores!$A$200:$G$1118,6,0)</f>
        <v>7417479</v>
      </c>
      <c r="L676" s="41" t="str">
        <f>VLOOKUP(C676,Stores!$A$200:$G$1118,7,0)</f>
        <v>192.168.1.201</v>
      </c>
      <c r="M676" s="42" t="s">
        <v>3787</v>
      </c>
    </row>
    <row r="677">
      <c r="A677" s="38" t="s">
        <v>2962</v>
      </c>
      <c r="B677" s="38" t="s">
        <v>3803</v>
      </c>
      <c r="C677" s="38" t="s">
        <v>2203</v>
      </c>
      <c r="D677" s="39" t="s">
        <v>3804</v>
      </c>
      <c r="E677" s="38" t="s">
        <v>3081</v>
      </c>
      <c r="F677" s="40" t="s">
        <v>3805</v>
      </c>
      <c r="G677" s="45">
        <v>9.989602091E9</v>
      </c>
      <c r="H677" s="41" t="str">
        <f>VLOOKUP(C677,Stores!$A$200:$G$1118,3,0)</f>
        <v>Opened Stores</v>
      </c>
      <c r="I677" s="41" t="str">
        <f>VLOOKUP(C677,Stores!$A$200:$G$1118,4,0)</f>
        <v>Stage 7 - Installed</v>
      </c>
      <c r="J677" s="41" t="str">
        <f>VLOOKUP(C677,Stores!$A$200:$G$1118,5,0)</f>
        <v>ZKTECO</v>
      </c>
      <c r="K677" s="41" t="str">
        <f>VLOOKUP(C677,Stores!$A$200:$G$1118,6,0)</f>
        <v>CQUJ233560036</v>
      </c>
      <c r="L677" s="41" t="str">
        <f>VLOOKUP(C677,Stores!$A$200:$G$1118,7,0)</f>
        <v>192.168.1.201</v>
      </c>
      <c r="M677" s="42" t="s">
        <v>3787</v>
      </c>
    </row>
    <row r="678">
      <c r="A678" s="38" t="s">
        <v>2962</v>
      </c>
      <c r="B678" s="38" t="s">
        <v>3806</v>
      </c>
      <c r="C678" s="38" t="s">
        <v>1069</v>
      </c>
      <c r="D678" s="39" t="s">
        <v>1070</v>
      </c>
      <c r="E678" s="38" t="s">
        <v>3081</v>
      </c>
      <c r="F678" s="40" t="s">
        <v>3793</v>
      </c>
      <c r="G678" s="45">
        <v>9.209683941E9</v>
      </c>
      <c r="H678" s="41" t="str">
        <f>VLOOKUP(C678,Stores!$A$200:$G$1118,3,0)</f>
        <v>Opened Stores</v>
      </c>
      <c r="I678" s="41" t="str">
        <f>VLOOKUP(C678,Stores!$A$200:$G$1118,4,0)</f>
        <v>Stage 7 - Installed</v>
      </c>
      <c r="J678" s="41" t="str">
        <f>VLOOKUP(C678,Stores!$A$200:$G$1118,5,0)</f>
        <v>ZKTECO</v>
      </c>
      <c r="K678" s="41" t="str">
        <f>VLOOKUP(C678,Stores!$A$200:$G$1118,6,0)</f>
        <v>A8N5221860479</v>
      </c>
      <c r="L678" s="41" t="str">
        <f>VLOOKUP(C678,Stores!$A$200:$G$1118,7,0)</f>
        <v>192.168.1.201</v>
      </c>
      <c r="M678" s="42" t="s">
        <v>3787</v>
      </c>
    </row>
    <row r="679">
      <c r="A679" s="38" t="s">
        <v>2962</v>
      </c>
      <c r="B679" s="38" t="s">
        <v>3807</v>
      </c>
      <c r="C679" s="38" t="s">
        <v>1686</v>
      </c>
      <c r="D679" s="39" t="s">
        <v>1687</v>
      </c>
      <c r="E679" s="38" t="s">
        <v>3081</v>
      </c>
      <c r="F679" s="40" t="s">
        <v>3801</v>
      </c>
      <c r="G679" s="45">
        <v>9.190931486E9</v>
      </c>
      <c r="H679" s="41" t="str">
        <f>VLOOKUP(C679,Stores!$A$200:$G$1118,3,0)</f>
        <v>Opened Stores</v>
      </c>
      <c r="I679" s="41" t="str">
        <f>VLOOKUP(C679,Stores!$A$200:$G$1118,4,0)</f>
        <v>Stage 7 - Installed</v>
      </c>
      <c r="J679" s="41" t="str">
        <f>VLOOKUP(C679,Stores!$A$200:$G$1118,5,0)</f>
        <v>ZKTECO</v>
      </c>
      <c r="K679" s="41" t="str">
        <f>VLOOKUP(C679,Stores!$A$200:$G$1118,6,0)</f>
        <v>AEYU082360260</v>
      </c>
      <c r="L679" s="41" t="str">
        <f>VLOOKUP(C679,Stores!$A$200:$G$1118,7,0)</f>
        <v>192.168.1.201</v>
      </c>
      <c r="M679" s="42" t="s">
        <v>3787</v>
      </c>
    </row>
    <row r="680">
      <c r="A680" s="38" t="s">
        <v>2962</v>
      </c>
      <c r="B680" s="38" t="s">
        <v>3808</v>
      </c>
      <c r="C680" s="38" t="s">
        <v>1776</v>
      </c>
      <c r="D680" s="39" t="s">
        <v>1777</v>
      </c>
      <c r="E680" s="38" t="s">
        <v>3081</v>
      </c>
      <c r="F680" s="40" t="s">
        <v>3809</v>
      </c>
      <c r="G680" s="45">
        <v>9.285019882E9</v>
      </c>
      <c r="H680" s="41" t="str">
        <f>VLOOKUP(C680,Stores!$A$200:$G$1118,3,0)</f>
        <v>Opened Stores</v>
      </c>
      <c r="I680" s="41" t="str">
        <f>VLOOKUP(C680,Stores!$A$200:$G$1118,4,0)</f>
        <v>Stage 7 - Installed</v>
      </c>
      <c r="J680" s="41" t="str">
        <f>VLOOKUP(C680,Stores!$A$200:$G$1118,5,0)</f>
        <v>ZKTECO</v>
      </c>
      <c r="K680" s="41" t="str">
        <f>VLOOKUP(C680,Stores!$A$200:$G$1118,6,0)</f>
        <v>CQUJ233560561</v>
      </c>
      <c r="L680" s="41" t="str">
        <f>VLOOKUP(C680,Stores!$A$200:$G$1118,7,0)</f>
        <v>192.168.1.201</v>
      </c>
      <c r="M680" s="42" t="s">
        <v>3787</v>
      </c>
    </row>
    <row r="681">
      <c r="A681" s="38" t="s">
        <v>2962</v>
      </c>
      <c r="B681" s="38" t="s">
        <v>3810</v>
      </c>
      <c r="C681" s="38" t="s">
        <v>1788</v>
      </c>
      <c r="D681" s="39" t="s">
        <v>1789</v>
      </c>
      <c r="E681" s="38" t="s">
        <v>3081</v>
      </c>
      <c r="F681" s="40" t="s">
        <v>3101</v>
      </c>
      <c r="G681" s="45">
        <v>9.171610089E9</v>
      </c>
      <c r="H681" s="41" t="str">
        <f>VLOOKUP(C681,Stores!$A$200:$G$1118,3,0)</f>
        <v>Opened Stores</v>
      </c>
      <c r="I681" s="41" t="str">
        <f>VLOOKUP(C681,Stores!$A$200:$G$1118,4,0)</f>
        <v>Stage 7 - Installed</v>
      </c>
      <c r="J681" s="41" t="str">
        <f>VLOOKUP(C681,Stores!$A$200:$G$1118,5,0)</f>
        <v>ZKTECO</v>
      </c>
      <c r="K681" s="41" t="str">
        <f>VLOOKUP(C681,Stores!$A$200:$G$1118,6,0)</f>
        <v>CQUJ233560787</v>
      </c>
      <c r="L681" s="41" t="str">
        <f>VLOOKUP(C681,Stores!$A$200:$G$1118,7,0)</f>
        <v>192.168.1.201</v>
      </c>
      <c r="M681" s="42" t="s">
        <v>3787</v>
      </c>
    </row>
    <row r="682">
      <c r="A682" s="38" t="s">
        <v>2962</v>
      </c>
      <c r="B682" s="38" t="s">
        <v>3811</v>
      </c>
      <c r="C682" s="38" t="s">
        <v>1689</v>
      </c>
      <c r="D682" s="39" t="s">
        <v>1690</v>
      </c>
      <c r="E682" s="38" t="s">
        <v>3081</v>
      </c>
      <c r="F682" s="40" t="s">
        <v>3104</v>
      </c>
      <c r="G682" s="45">
        <v>6.39176341749E11</v>
      </c>
      <c r="H682" s="41" t="str">
        <f>VLOOKUP(C682,Stores!$A$200:$G$1118,3,0)</f>
        <v>Opened Stores</v>
      </c>
      <c r="I682" s="41" t="str">
        <f>VLOOKUP(C682,Stores!$A$200:$G$1118,4,0)</f>
        <v>Stage 7 - Installed</v>
      </c>
      <c r="J682" s="41" t="str">
        <f>VLOOKUP(C682,Stores!$A$200:$G$1118,5,0)</f>
        <v>ZKTECO</v>
      </c>
      <c r="K682" s="41" t="str">
        <f>VLOOKUP(C682,Stores!$A$200:$G$1118,6,0)</f>
        <v>AEYU082360239</v>
      </c>
      <c r="L682" s="41" t="str">
        <f>VLOOKUP(C682,Stores!$A$200:$G$1118,7,0)</f>
        <v>192.168.1.201</v>
      </c>
      <c r="M682" s="42" t="s">
        <v>3787</v>
      </c>
    </row>
    <row r="683">
      <c r="A683" s="38" t="s">
        <v>2962</v>
      </c>
      <c r="B683" s="38" t="s">
        <v>3812</v>
      </c>
      <c r="C683" s="38" t="s">
        <v>1427</v>
      </c>
      <c r="D683" s="39" t="s">
        <v>1428</v>
      </c>
      <c r="E683" s="38" t="s">
        <v>3193</v>
      </c>
      <c r="F683" s="40"/>
      <c r="G683" s="40"/>
      <c r="H683" s="41" t="str">
        <f>VLOOKUP(C683,Stores!$A$200:$G$1118,3,0)</f>
        <v>Opened Stores</v>
      </c>
      <c r="I683" s="41" t="str">
        <f>VLOOKUP(C683,Stores!$A$200:$G$1118,4,0)</f>
        <v>Stage 7 - Installed</v>
      </c>
      <c r="J683" s="41" t="str">
        <f>VLOOKUP(C683,Stores!$A$200:$G$1118,5,0)</f>
        <v>ZKTECO</v>
      </c>
      <c r="K683" s="41" t="str">
        <f>VLOOKUP(C683,Stores!$A$200:$G$1118,6,0)</f>
        <v>AKDG012350212</v>
      </c>
      <c r="L683" s="41" t="str">
        <f>VLOOKUP(C683,Stores!$A$200:$G$1118,7,0)</f>
        <v>192.168.1.201</v>
      </c>
      <c r="M683" s="42" t="s">
        <v>3787</v>
      </c>
    </row>
    <row r="684">
      <c r="A684" s="38" t="s">
        <v>2962</v>
      </c>
      <c r="B684" s="38" t="s">
        <v>3813</v>
      </c>
      <c r="C684" s="38" t="s">
        <v>1806</v>
      </c>
      <c r="D684" s="39" t="s">
        <v>1807</v>
      </c>
      <c r="E684" s="38" t="s">
        <v>3193</v>
      </c>
      <c r="F684" s="40"/>
      <c r="G684" s="40"/>
      <c r="H684" s="41" t="str">
        <f>VLOOKUP(C684,Stores!$A$200:$G$1118,3,0)</f>
        <v>Opened Stores</v>
      </c>
      <c r="I684" s="41" t="str">
        <f>VLOOKUP(C684,Stores!$A$200:$G$1118,4,0)</f>
        <v>Stage 7 - Installed</v>
      </c>
      <c r="J684" s="41" t="str">
        <f>VLOOKUP(C684,Stores!$A$200:$G$1118,5,0)</f>
        <v>ZKTECO</v>
      </c>
      <c r="K684" s="41" t="str">
        <f>VLOOKUP(C684,Stores!$A$200:$G$1118,6,0)</f>
        <v>CQUJ233560317</v>
      </c>
      <c r="L684" s="41" t="str">
        <f>VLOOKUP(C684,Stores!$A$200:$G$1118,7,0)</f>
        <v>192.168.1.201</v>
      </c>
      <c r="M684" s="42" t="s">
        <v>3787</v>
      </c>
    </row>
    <row r="685">
      <c r="A685" s="38" t="s">
        <v>2962</v>
      </c>
      <c r="B685" s="38" t="s">
        <v>3814</v>
      </c>
      <c r="C685" s="38" t="s">
        <v>1448</v>
      </c>
      <c r="D685" s="39" t="s">
        <v>1449</v>
      </c>
      <c r="E685" s="38" t="s">
        <v>3193</v>
      </c>
      <c r="F685" s="40"/>
      <c r="G685" s="40"/>
      <c r="H685" s="41" t="str">
        <f>VLOOKUP(C685,Stores!$A$200:$G$1118,3,0)</f>
        <v>Opened Stores</v>
      </c>
      <c r="I685" s="41" t="str">
        <f>VLOOKUP(C685,Stores!$A$200:$G$1118,4,0)</f>
        <v>Stage 7 - Installed</v>
      </c>
      <c r="J685" s="41" t="str">
        <f>VLOOKUP(C685,Stores!$A$200:$G$1118,5,0)</f>
        <v>ZKTECO</v>
      </c>
      <c r="K685" s="41" t="str">
        <f>VLOOKUP(C685,Stores!$A$200:$G$1118,6,0)</f>
        <v>AKDG012350201</v>
      </c>
      <c r="L685" s="41" t="str">
        <f>VLOOKUP(C685,Stores!$A$200:$G$1118,7,0)</f>
        <v>192.168.1.201</v>
      </c>
      <c r="M685" s="42" t="s">
        <v>3787</v>
      </c>
    </row>
    <row r="686">
      <c r="A686" s="38" t="s">
        <v>2962</v>
      </c>
      <c r="B686" s="38" t="s">
        <v>3815</v>
      </c>
      <c r="C686" s="38" t="s">
        <v>914</v>
      </c>
      <c r="D686" s="39" t="s">
        <v>915</v>
      </c>
      <c r="E686" s="38" t="s">
        <v>3193</v>
      </c>
      <c r="F686" s="40"/>
      <c r="G686" s="40"/>
      <c r="H686" s="41" t="str">
        <f>VLOOKUP(C686,Stores!$A$200:$G$1118,3,0)</f>
        <v>Opened Stores</v>
      </c>
      <c r="I686" s="41" t="str">
        <f>VLOOKUP(C686,Stores!$A$200:$G$1118,4,0)</f>
        <v>Stage 7 - Installed</v>
      </c>
      <c r="J686" s="41" t="str">
        <f>VLOOKUP(C686,Stores!$A$200:$G$1118,5,0)</f>
        <v>FINGERTEC</v>
      </c>
      <c r="K686" s="41">
        <f>VLOOKUP(C686,Stores!$A$200:$G$1118,6,0)</f>
        <v>7425643</v>
      </c>
      <c r="L686" s="41" t="str">
        <f>VLOOKUP(C686,Stores!$A$200:$G$1118,7,0)</f>
        <v>192.168.1.201</v>
      </c>
      <c r="M686" s="42" t="s">
        <v>3787</v>
      </c>
    </row>
    <row r="687">
      <c r="A687" s="38" t="s">
        <v>2962</v>
      </c>
      <c r="B687" s="38" t="s">
        <v>3816</v>
      </c>
      <c r="C687" s="38" t="s">
        <v>428</v>
      </c>
      <c r="D687" s="39" t="s">
        <v>429</v>
      </c>
      <c r="E687" s="38" t="s">
        <v>3193</v>
      </c>
      <c r="F687" s="40"/>
      <c r="G687" s="40"/>
      <c r="H687" s="41" t="str">
        <f>VLOOKUP(C687,Stores!$A$200:$G$1118,3,0)</f>
        <v>Opened Stores</v>
      </c>
      <c r="I687" s="41" t="str">
        <f>VLOOKUP(C687,Stores!$A$200:$G$1118,4,0)</f>
        <v>Stage 7 - Installed</v>
      </c>
      <c r="J687" s="41" t="str">
        <f>VLOOKUP(C687,Stores!$A$200:$G$1118,5,0)</f>
        <v>FINGERTEC</v>
      </c>
      <c r="K687" s="41">
        <f>VLOOKUP(C687,Stores!$A$200:$G$1118,6,0)</f>
        <v>7422872</v>
      </c>
      <c r="L687" s="41" t="str">
        <f>VLOOKUP(C687,Stores!$A$200:$G$1118,7,0)</f>
        <v>192.168.1.201</v>
      </c>
      <c r="M687" s="42" t="s">
        <v>3787</v>
      </c>
    </row>
    <row r="688">
      <c r="A688" s="38" t="s">
        <v>2962</v>
      </c>
      <c r="B688" s="38" t="s">
        <v>3817</v>
      </c>
      <c r="C688" s="38" t="s">
        <v>2164</v>
      </c>
      <c r="D688" s="39" t="s">
        <v>3818</v>
      </c>
      <c r="E688" s="38" t="s">
        <v>3193</v>
      </c>
      <c r="F688" s="40"/>
      <c r="G688" s="40"/>
      <c r="H688" s="41" t="str">
        <f>VLOOKUP(C688,Stores!$A$200:$G$1118,3,0)</f>
        <v>Opened Stores</v>
      </c>
      <c r="I688" s="41" t="str">
        <f>VLOOKUP(C688,Stores!$A$200:$G$1118,4,0)</f>
        <v>Stage 7 - Installed</v>
      </c>
      <c r="J688" s="41" t="str">
        <f>VLOOKUP(C688,Stores!$A$200:$G$1118,5,0)</f>
        <v>ZKTECO</v>
      </c>
      <c r="K688" s="41" t="str">
        <f>VLOOKUP(C688,Stores!$A$200:$G$1118,6,0)</f>
        <v>CQUJ232260091</v>
      </c>
      <c r="L688" s="41" t="str">
        <f>VLOOKUP(C688,Stores!$A$200:$G$1118,7,0)</f>
        <v>192.168.1.201</v>
      </c>
      <c r="M688" s="42" t="s">
        <v>3787</v>
      </c>
    </row>
    <row r="689">
      <c r="A689" s="38" t="s">
        <v>2962</v>
      </c>
      <c r="B689" s="38" t="s">
        <v>3819</v>
      </c>
      <c r="C689" s="38" t="s">
        <v>1764</v>
      </c>
      <c r="D689" s="39" t="s">
        <v>1765</v>
      </c>
      <c r="E689" s="38" t="s">
        <v>3193</v>
      </c>
      <c r="F689" s="40"/>
      <c r="G689" s="40"/>
      <c r="H689" s="41" t="str">
        <f>VLOOKUP(C689,Stores!$A$200:$G$1118,3,0)</f>
        <v>Opened Stores</v>
      </c>
      <c r="I689" s="41" t="str">
        <f>VLOOKUP(C689,Stores!$A$200:$G$1118,4,0)</f>
        <v>Stage 7 - Installed</v>
      </c>
      <c r="J689" s="41" t="str">
        <f>VLOOKUP(C689,Stores!$A$200:$G$1118,5,0)</f>
        <v>ZKTECO</v>
      </c>
      <c r="K689" s="41" t="str">
        <f>VLOOKUP(C689,Stores!$A$200:$G$1118,6,0)</f>
        <v>AEYU082360272</v>
      </c>
      <c r="L689" s="41" t="str">
        <f>VLOOKUP(C689,Stores!$A$200:$G$1118,7,0)</f>
        <v>192.168.1.201</v>
      </c>
      <c r="M689" s="42" t="s">
        <v>3787</v>
      </c>
    </row>
    <row r="690">
      <c r="A690" s="38" t="s">
        <v>2962</v>
      </c>
      <c r="B690" s="38" t="s">
        <v>3820</v>
      </c>
      <c r="C690" s="38" t="s">
        <v>524</v>
      </c>
      <c r="D690" s="39" t="s">
        <v>525</v>
      </c>
      <c r="E690" s="38" t="s">
        <v>3193</v>
      </c>
      <c r="F690" s="40"/>
      <c r="G690" s="40"/>
      <c r="H690" s="41" t="str">
        <f>VLOOKUP(C690,Stores!$A$200:$G$1118,3,0)</f>
        <v>Opened Stores</v>
      </c>
      <c r="I690" s="41" t="str">
        <f>VLOOKUP(C690,Stores!$A$200:$G$1118,4,0)</f>
        <v>Stage 7 - Installed</v>
      </c>
      <c r="J690" s="41" t="str">
        <f>VLOOKUP(C690,Stores!$A$200:$G$1118,5,0)</f>
        <v>FINGERTEC</v>
      </c>
      <c r="K690" s="41">
        <f>VLOOKUP(C690,Stores!$A$200:$G$1118,6,0)</f>
        <v>7419186</v>
      </c>
      <c r="L690" s="41" t="str">
        <f>VLOOKUP(C690,Stores!$A$200:$G$1118,7,0)</f>
        <v>192.168.1.201</v>
      </c>
      <c r="M690" s="42" t="s">
        <v>3787</v>
      </c>
    </row>
    <row r="691">
      <c r="A691" s="38" t="s">
        <v>2962</v>
      </c>
      <c r="B691" s="38" t="s">
        <v>3821</v>
      </c>
      <c r="C691" s="38" t="s">
        <v>1761</v>
      </c>
      <c r="D691" s="39" t="s">
        <v>1762</v>
      </c>
      <c r="E691" s="38" t="s">
        <v>3193</v>
      </c>
      <c r="F691" s="40"/>
      <c r="G691" s="40"/>
      <c r="H691" s="41" t="str">
        <f>VLOOKUP(C691,Stores!$A$200:$G$1118,3,0)</f>
        <v>Opened Stores</v>
      </c>
      <c r="I691" s="41" t="str">
        <f>VLOOKUP(C691,Stores!$A$200:$G$1118,4,0)</f>
        <v>Stage 7 - Installed</v>
      </c>
      <c r="J691" s="41" t="str">
        <f>VLOOKUP(C691,Stores!$A$200:$G$1118,5,0)</f>
        <v>ZKTECO</v>
      </c>
      <c r="K691" s="41" t="str">
        <f>VLOOKUP(C691,Stores!$A$200:$G$1118,6,0)</f>
        <v>CQUJ233560642</v>
      </c>
      <c r="L691" s="41" t="str">
        <f>VLOOKUP(C691,Stores!$A$200:$G$1118,7,0)</f>
        <v>192.168.1.201</v>
      </c>
      <c r="M691" s="42" t="s">
        <v>3787</v>
      </c>
    </row>
    <row r="692">
      <c r="A692" s="38" t="s">
        <v>2962</v>
      </c>
      <c r="B692" s="38" t="s">
        <v>3822</v>
      </c>
      <c r="C692" s="38" t="s">
        <v>1809</v>
      </c>
      <c r="D692" s="39" t="s">
        <v>1810</v>
      </c>
      <c r="E692" s="38" t="s">
        <v>3193</v>
      </c>
      <c r="F692" s="40"/>
      <c r="G692" s="40"/>
      <c r="H692" s="41" t="str">
        <f>VLOOKUP(C692,Stores!$A$200:$G$1118,3,0)</f>
        <v>Opened Stores</v>
      </c>
      <c r="I692" s="41" t="str">
        <f>VLOOKUP(C692,Stores!$A$200:$G$1118,4,0)</f>
        <v>Stage 7 - Installed</v>
      </c>
      <c r="J692" s="41" t="str">
        <f>VLOOKUP(C692,Stores!$A$200:$G$1118,5,0)</f>
        <v>ZKTECO</v>
      </c>
      <c r="K692" s="41" t="str">
        <f>VLOOKUP(C692,Stores!$A$200:$G$1118,6,0)</f>
        <v>CQUJ233560822</v>
      </c>
      <c r="L692" s="41" t="str">
        <f>VLOOKUP(C692,Stores!$A$200:$G$1118,7,0)</f>
        <v>192.168.1.201</v>
      </c>
      <c r="M692" s="42" t="s">
        <v>3787</v>
      </c>
    </row>
    <row r="693">
      <c r="A693" s="38" t="s">
        <v>2962</v>
      </c>
      <c r="B693" s="38" t="s">
        <v>3823</v>
      </c>
      <c r="C693" s="38" t="s">
        <v>2790</v>
      </c>
      <c r="D693" s="39" t="s">
        <v>2791</v>
      </c>
      <c r="E693" s="38" t="s">
        <v>3193</v>
      </c>
      <c r="F693" s="40"/>
      <c r="G693" s="40"/>
      <c r="H693" s="41" t="str">
        <f>VLOOKUP(C693,Stores!$A$200:$G$1118,3,0)</f>
        <v>Opened Stores</v>
      </c>
      <c r="I693" s="41" t="str">
        <f>VLOOKUP(C693,Stores!$A$200:$G$1118,4,0)</f>
        <v>Stage 7 - Installed</v>
      </c>
      <c r="J693" s="41" t="str">
        <f>VLOOKUP(C693,Stores!$A$200:$G$1118,5,0)</f>
        <v>ZKTECO</v>
      </c>
      <c r="K693" s="41" t="str">
        <f>VLOOKUP(C693,Stores!$A$200:$G$1118,6,0)</f>
        <v>ZKM6251500180</v>
      </c>
      <c r="L693" s="41" t="str">
        <f>VLOOKUP(C693,Stores!$A$200:$G$1118,7,0)</f>
        <v>192.168.1.201</v>
      </c>
      <c r="M693" s="42" t="s">
        <v>3787</v>
      </c>
    </row>
    <row r="694">
      <c r="A694" s="38" t="s">
        <v>2962</v>
      </c>
      <c r="B694" s="38" t="s">
        <v>3824</v>
      </c>
      <c r="C694" s="38" t="s">
        <v>2763</v>
      </c>
      <c r="D694" s="39" t="s">
        <v>2764</v>
      </c>
      <c r="E694" s="38" t="s">
        <v>3193</v>
      </c>
      <c r="F694" s="40"/>
      <c r="G694" s="40"/>
      <c r="H694" s="41" t="str">
        <f>VLOOKUP(C694,Stores!$A$200:$G$1118,3,0)</f>
        <v>Opened Stores</v>
      </c>
      <c r="I694" s="41" t="str">
        <f>VLOOKUP(C694,Stores!$A$200:$G$1118,4,0)</f>
        <v>Stage 7 - Installed</v>
      </c>
      <c r="J694" s="41" t="str">
        <f>VLOOKUP(C694,Stores!$A$200:$G$1118,5,0)</f>
        <v>ZKTECO</v>
      </c>
      <c r="K694" s="41" t="str">
        <f>VLOOKUP(C694,Stores!$A$200:$G$1118,6,0)</f>
        <v>ZKM6251700179</v>
      </c>
      <c r="L694" s="41" t="str">
        <f>VLOOKUP(C694,Stores!$A$200:$G$1118,7,0)</f>
        <v>192.168.1.201</v>
      </c>
      <c r="M694" s="42" t="s">
        <v>3787</v>
      </c>
    </row>
    <row r="695">
      <c r="A695" s="38" t="s">
        <v>2962</v>
      </c>
      <c r="B695" s="38" t="s">
        <v>3825</v>
      </c>
      <c r="C695" s="38" t="s">
        <v>2233</v>
      </c>
      <c r="D695" s="39" t="s">
        <v>3826</v>
      </c>
      <c r="E695" s="38" t="s">
        <v>3193</v>
      </c>
      <c r="F695" s="40"/>
      <c r="G695" s="40"/>
      <c r="H695" s="41" t="str">
        <f>VLOOKUP(C695,Stores!$A$200:$G$1118,3,0)</f>
        <v>Opened Stores</v>
      </c>
      <c r="I695" s="41" t="str">
        <f>VLOOKUP(C695,Stores!$A$200:$G$1118,4,0)</f>
        <v>Stage 7 - Installed</v>
      </c>
      <c r="J695" s="41" t="str">
        <f>VLOOKUP(C695,Stores!$A$200:$G$1118,5,0)</f>
        <v>ZKTECO</v>
      </c>
      <c r="K695" s="41" t="str">
        <f>VLOOKUP(C695,Stores!$A$200:$G$1118,6,0)</f>
        <v>CQUJ233561080</v>
      </c>
      <c r="L695" s="41" t="str">
        <f>VLOOKUP(C695,Stores!$A$200:$G$1118,7,0)</f>
        <v>192.168.1.201</v>
      </c>
      <c r="M695" s="42" t="s">
        <v>3787</v>
      </c>
    </row>
    <row r="696">
      <c r="A696" s="38" t="s">
        <v>2962</v>
      </c>
      <c r="B696" s="38" t="s">
        <v>3827</v>
      </c>
      <c r="C696" s="38" t="s">
        <v>1481</v>
      </c>
      <c r="D696" s="39" t="s">
        <v>1482</v>
      </c>
      <c r="E696" s="38" t="s">
        <v>3193</v>
      </c>
      <c r="F696" s="40"/>
      <c r="G696" s="40"/>
      <c r="H696" s="41" t="str">
        <f>VLOOKUP(C696,Stores!$A$200:$G$1118,3,0)</f>
        <v>Opened Stores</v>
      </c>
      <c r="I696" s="41" t="str">
        <f>VLOOKUP(C696,Stores!$A$200:$G$1118,4,0)</f>
        <v>Stage 7 - Installed</v>
      </c>
      <c r="J696" s="41" t="str">
        <f>VLOOKUP(C696,Stores!$A$200:$G$1118,5,0)</f>
        <v>ZKTECO</v>
      </c>
      <c r="K696" s="41" t="str">
        <f>VLOOKUP(C696,Stores!$A$200:$G$1118,6,0)</f>
        <v>ZKM6251700309</v>
      </c>
      <c r="L696" s="41" t="str">
        <f>VLOOKUP(C696,Stores!$A$200:$G$1118,7,0)</f>
        <v>192.168.1.201</v>
      </c>
      <c r="M696" s="42" t="s">
        <v>3787</v>
      </c>
    </row>
    <row r="697">
      <c r="A697" s="38" t="s">
        <v>2962</v>
      </c>
      <c r="B697" s="38" t="s">
        <v>3828</v>
      </c>
      <c r="C697" s="38" t="s">
        <v>799</v>
      </c>
      <c r="D697" s="39" t="s">
        <v>800</v>
      </c>
      <c r="E697" s="38" t="s">
        <v>3193</v>
      </c>
      <c r="F697" s="40"/>
      <c r="G697" s="40"/>
      <c r="H697" s="41" t="str">
        <f>VLOOKUP(C697,Stores!$A$200:$G$1118,3,0)</f>
        <v>Opened Stores</v>
      </c>
      <c r="I697" s="41" t="str">
        <f>VLOOKUP(C697,Stores!$A$200:$G$1118,4,0)</f>
        <v>Stage 7 - Installed</v>
      </c>
      <c r="J697" s="41" t="str">
        <f>VLOOKUP(C697,Stores!$A$200:$G$1118,5,0)</f>
        <v>FINGERTEC</v>
      </c>
      <c r="K697" s="41">
        <f>VLOOKUP(C697,Stores!$A$200:$G$1118,6,0)</f>
        <v>7422147</v>
      </c>
      <c r="L697" s="41" t="str">
        <f>VLOOKUP(C697,Stores!$A$200:$G$1118,7,0)</f>
        <v>192.168.1.201</v>
      </c>
      <c r="M697" s="42" t="s">
        <v>3787</v>
      </c>
    </row>
    <row r="698">
      <c r="A698" s="38" t="s">
        <v>2962</v>
      </c>
      <c r="B698" s="38" t="s">
        <v>3829</v>
      </c>
      <c r="C698" s="38" t="s">
        <v>1875</v>
      </c>
      <c r="D698" s="39" t="s">
        <v>1876</v>
      </c>
      <c r="E698" s="38" t="s">
        <v>3193</v>
      </c>
      <c r="F698" s="40"/>
      <c r="G698" s="40"/>
      <c r="H698" s="41" t="str">
        <f>VLOOKUP(C698,Stores!$A$200:$G$1118,3,0)</f>
        <v>Opened Stores</v>
      </c>
      <c r="I698" s="41" t="str">
        <f>VLOOKUP(C698,Stores!$A$200:$G$1118,4,0)</f>
        <v>Stage 7 - Installed</v>
      </c>
      <c r="J698" s="41" t="str">
        <f>VLOOKUP(C698,Stores!$A$200:$G$1118,5,0)</f>
        <v>ZKTECO</v>
      </c>
      <c r="K698" s="41" t="str">
        <f>VLOOKUP(C698,Stores!$A$200:$G$1118,6,0)</f>
        <v>CQUJ233561243</v>
      </c>
      <c r="L698" s="41" t="str">
        <f>VLOOKUP(C698,Stores!$A$200:$G$1118,7,0)</f>
        <v>192.168.1.201</v>
      </c>
      <c r="M698" s="42" t="s">
        <v>3787</v>
      </c>
    </row>
    <row r="699">
      <c r="A699" s="38" t="s">
        <v>2962</v>
      </c>
      <c r="B699" s="38" t="s">
        <v>3830</v>
      </c>
      <c r="C699" s="38" t="s">
        <v>808</v>
      </c>
      <c r="D699" s="39" t="s">
        <v>809</v>
      </c>
      <c r="E699" s="38" t="s">
        <v>3193</v>
      </c>
      <c r="F699" s="40"/>
      <c r="G699" s="40"/>
      <c r="H699" s="41" t="str">
        <f>VLOOKUP(C699,Stores!$A$200:$G$1118,3,0)</f>
        <v>Opened Stores</v>
      </c>
      <c r="I699" s="41" t="str">
        <f>VLOOKUP(C699,Stores!$A$200:$G$1118,4,0)</f>
        <v>Stage 7 - Installed</v>
      </c>
      <c r="J699" s="41" t="str">
        <f>VLOOKUP(C699,Stores!$A$200:$G$1118,5,0)</f>
        <v>FINGERTEC</v>
      </c>
      <c r="K699" s="41">
        <f>VLOOKUP(C699,Stores!$A$200:$G$1118,6,0)</f>
        <v>7425418</v>
      </c>
      <c r="L699" s="41" t="str">
        <f>VLOOKUP(C699,Stores!$A$200:$G$1118,7,0)</f>
        <v>192.168.1.201</v>
      </c>
      <c r="M699" s="42" t="s">
        <v>3787</v>
      </c>
    </row>
    <row r="700">
      <c r="A700" s="38" t="s">
        <v>2962</v>
      </c>
      <c r="B700" s="38" t="s">
        <v>3831</v>
      </c>
      <c r="C700" s="38" t="s">
        <v>926</v>
      </c>
      <c r="D700" s="39" t="s">
        <v>927</v>
      </c>
      <c r="E700" s="38" t="s">
        <v>3193</v>
      </c>
      <c r="F700" s="40"/>
      <c r="G700" s="40"/>
      <c r="H700" s="41" t="str">
        <f>VLOOKUP(C700,Stores!$A$200:$G$1118,3,0)</f>
        <v>Opened Stores</v>
      </c>
      <c r="I700" s="41" t="str">
        <f>VLOOKUP(C700,Stores!$A$200:$G$1118,4,0)</f>
        <v>Stage 7 - Installed</v>
      </c>
      <c r="J700" s="41" t="str">
        <f>VLOOKUP(C700,Stores!$A$200:$G$1118,5,0)</f>
        <v>FINGERTEC</v>
      </c>
      <c r="K700" s="41">
        <f>VLOOKUP(C700,Stores!$A$200:$G$1118,6,0)</f>
        <v>7425675</v>
      </c>
      <c r="L700" s="41" t="str">
        <f>VLOOKUP(C700,Stores!$A$200:$G$1118,7,0)</f>
        <v>192.168.1.201</v>
      </c>
      <c r="M700" s="42" t="s">
        <v>3787</v>
      </c>
    </row>
    <row r="701">
      <c r="A701" s="38" t="s">
        <v>2962</v>
      </c>
      <c r="B701" s="38" t="s">
        <v>3832</v>
      </c>
      <c r="C701" s="38" t="s">
        <v>663</v>
      </c>
      <c r="D701" s="39" t="s">
        <v>664</v>
      </c>
      <c r="E701" s="38" t="s">
        <v>3193</v>
      </c>
      <c r="F701" s="40"/>
      <c r="G701" s="40"/>
      <c r="H701" s="41" t="str">
        <f>VLOOKUP(C701,Stores!$A$200:$G$1118,3,0)</f>
        <v>Opened Stores</v>
      </c>
      <c r="I701" s="41" t="str">
        <f>VLOOKUP(C701,Stores!$A$200:$G$1118,4,0)</f>
        <v>Stage 7 - Installed</v>
      </c>
      <c r="J701" s="41" t="str">
        <f>VLOOKUP(C701,Stores!$A$200:$G$1118,5,0)</f>
        <v>ZKTECO</v>
      </c>
      <c r="K701" s="41" t="str">
        <f>VLOOKUP(C701,Stores!$A$200:$G$1118,6,0)</f>
        <v>ZKM6251500018</v>
      </c>
      <c r="L701" s="41" t="str">
        <f>VLOOKUP(C701,Stores!$A$200:$G$1118,7,0)</f>
        <v>192.168.1.201</v>
      </c>
      <c r="M701" s="42" t="s">
        <v>3787</v>
      </c>
    </row>
    <row r="702">
      <c r="A702" s="38" t="s">
        <v>2962</v>
      </c>
      <c r="B702" s="38" t="s">
        <v>3833</v>
      </c>
      <c r="C702" s="38" t="s">
        <v>632</v>
      </c>
      <c r="D702" s="39" t="s">
        <v>633</v>
      </c>
      <c r="E702" s="38" t="s">
        <v>3193</v>
      </c>
      <c r="F702" s="40"/>
      <c r="G702" s="40"/>
      <c r="H702" s="41" t="str">
        <f>VLOOKUP(C702,Stores!$A$200:$G$1118,3,0)</f>
        <v>Opened Stores</v>
      </c>
      <c r="I702" s="41" t="str">
        <f>VLOOKUP(C702,Stores!$A$200:$G$1118,4,0)</f>
        <v>Stage 7 - Installed</v>
      </c>
      <c r="J702" s="41" t="str">
        <f>VLOOKUP(C702,Stores!$A$200:$G$1118,5,0)</f>
        <v>ZKTECO</v>
      </c>
      <c r="K702" s="41">
        <f>VLOOKUP(C702,Stores!$A$200:$G$1118,6,0)</f>
        <v>7421821</v>
      </c>
      <c r="L702" s="41" t="str">
        <f>VLOOKUP(C702,Stores!$A$200:$G$1118,7,0)</f>
        <v>192.168.1.201</v>
      </c>
      <c r="M702" s="42" t="s">
        <v>3787</v>
      </c>
    </row>
    <row r="703">
      <c r="A703" s="38" t="s">
        <v>2962</v>
      </c>
      <c r="B703" s="38" t="s">
        <v>3834</v>
      </c>
      <c r="C703" s="38" t="s">
        <v>703</v>
      </c>
      <c r="D703" s="39" t="s">
        <v>704</v>
      </c>
      <c r="E703" s="38" t="s">
        <v>3193</v>
      </c>
      <c r="F703" s="40"/>
      <c r="G703" s="40"/>
      <c r="H703" s="41" t="str">
        <f>VLOOKUP(C703,Stores!$A$200:$G$1118,3,0)</f>
        <v>Opened Stores</v>
      </c>
      <c r="I703" s="41" t="str">
        <f>VLOOKUP(C703,Stores!$A$200:$G$1118,4,0)</f>
        <v>Stage 7 - Installed</v>
      </c>
      <c r="J703" s="41" t="str">
        <f>VLOOKUP(C703,Stores!$A$200:$G$1118,5,0)</f>
        <v>ZKTECO</v>
      </c>
      <c r="K703" s="41" t="str">
        <f>VLOOKUP(C703,Stores!$A$200:$G$1118,6,0)</f>
        <v>CQUJ233560629</v>
      </c>
      <c r="L703" s="41" t="str">
        <f>VLOOKUP(C703,Stores!$A$200:$G$1118,7,0)</f>
        <v>192.168.1.201</v>
      </c>
      <c r="M703" s="42" t="s">
        <v>3787</v>
      </c>
    </row>
    <row r="704">
      <c r="A704" s="38" t="s">
        <v>2962</v>
      </c>
      <c r="B704" s="38" t="s">
        <v>3835</v>
      </c>
      <c r="C704" s="38" t="s">
        <v>904</v>
      </c>
      <c r="D704" s="39" t="s">
        <v>905</v>
      </c>
      <c r="E704" s="38" t="s">
        <v>3193</v>
      </c>
      <c r="F704" s="40"/>
      <c r="G704" s="40"/>
      <c r="H704" s="41" t="str">
        <f>VLOOKUP(C704,Stores!$A$200:$G$1118,3,0)</f>
        <v>Opened Stores</v>
      </c>
      <c r="I704" s="41" t="str">
        <f>VLOOKUP(C704,Stores!$A$200:$G$1118,4,0)</f>
        <v>Stage 7 - Installed</v>
      </c>
      <c r="J704" s="41" t="str">
        <f>VLOOKUP(C704,Stores!$A$200:$G$1118,5,0)</f>
        <v>FINGERTEC</v>
      </c>
      <c r="K704" s="41">
        <f>VLOOKUP(C704,Stores!$A$200:$G$1118,6,0)</f>
        <v>7425684</v>
      </c>
      <c r="L704" s="41" t="str">
        <f>VLOOKUP(C704,Stores!$A$200:$G$1118,7,0)</f>
        <v>192.168.1.201</v>
      </c>
      <c r="M704" s="42" t="s">
        <v>3787</v>
      </c>
    </row>
    <row r="705">
      <c r="A705" s="38" t="s">
        <v>2962</v>
      </c>
      <c r="B705" s="38" t="s">
        <v>3836</v>
      </c>
      <c r="C705" s="38" t="s">
        <v>2856</v>
      </c>
      <c r="D705" s="39" t="s">
        <v>2857</v>
      </c>
      <c r="E705" s="38" t="s">
        <v>3193</v>
      </c>
      <c r="F705" s="40"/>
      <c r="G705" s="40"/>
      <c r="H705" s="41" t="str">
        <f>VLOOKUP(C705,Stores!$A$200:$G$1118,3,0)</f>
        <v>Opened Stores</v>
      </c>
      <c r="I705" s="41" t="str">
        <f>VLOOKUP(C705,Stores!$A$200:$G$1118,4,0)</f>
        <v>Stage 7 - Installed</v>
      </c>
      <c r="J705" s="41" t="str">
        <f>VLOOKUP(C705,Stores!$A$200:$G$1118,5,0)</f>
        <v>ZKTECO</v>
      </c>
      <c r="K705" s="41" t="str">
        <f>VLOOKUP(C705,Stores!$A$200:$G$1118,6,0)</f>
        <v>PAS4252900014</v>
      </c>
      <c r="L705" s="41" t="str">
        <f>VLOOKUP(C705,Stores!$A$200:$G$1118,7,0)</f>
        <v>192.168.1.201</v>
      </c>
      <c r="M705" s="42" t="s">
        <v>3787</v>
      </c>
    </row>
    <row r="706">
      <c r="A706" s="38" t="s">
        <v>2962</v>
      </c>
      <c r="B706" s="38" t="s">
        <v>3837</v>
      </c>
      <c r="C706" s="38" t="s">
        <v>316</v>
      </c>
      <c r="D706" s="39" t="s">
        <v>317</v>
      </c>
      <c r="E706" s="38" t="s">
        <v>3193</v>
      </c>
      <c r="F706" s="40"/>
      <c r="G706" s="40"/>
      <c r="H706" s="41" t="str">
        <f>VLOOKUP(C706,Stores!$A$200:$G$1118,3,0)</f>
        <v>Opened Stores</v>
      </c>
      <c r="I706" s="41" t="str">
        <f>VLOOKUP(C706,Stores!$A$200:$G$1118,4,0)</f>
        <v>Stage 7 - Installed</v>
      </c>
      <c r="J706" s="41" t="str">
        <f>VLOOKUP(C706,Stores!$A$200:$G$1118,5,0)</f>
        <v>ZKTECO</v>
      </c>
      <c r="K706" s="41" t="str">
        <f>VLOOKUP(C706,Stores!$A$200:$G$1118,6,0)</f>
        <v>PAS4252900272</v>
      </c>
      <c r="L706" s="41" t="str">
        <f>VLOOKUP(C706,Stores!$A$200:$G$1118,7,0)</f>
        <v>192.168.1.201</v>
      </c>
      <c r="M706" s="42" t="s">
        <v>3787</v>
      </c>
    </row>
    <row r="707">
      <c r="A707" s="38" t="s">
        <v>2962</v>
      </c>
      <c r="B707" s="38" t="s">
        <v>3838</v>
      </c>
      <c r="C707" s="38" t="s">
        <v>552</v>
      </c>
      <c r="D707" s="39" t="s">
        <v>553</v>
      </c>
      <c r="E707" s="38" t="s">
        <v>3193</v>
      </c>
      <c r="F707" s="40"/>
      <c r="G707" s="40"/>
      <c r="H707" s="41" t="str">
        <f>VLOOKUP(C707,Stores!$A$200:$G$1118,3,0)</f>
        <v>Opened Stores</v>
      </c>
      <c r="I707" s="41" t="str">
        <f>VLOOKUP(C707,Stores!$A$200:$G$1118,4,0)</f>
        <v>Stage 7 - Installed</v>
      </c>
      <c r="J707" s="41" t="str">
        <f>VLOOKUP(C707,Stores!$A$200:$G$1118,5,0)</f>
        <v>FINGERTEC</v>
      </c>
      <c r="K707" s="41">
        <f>VLOOKUP(C707,Stores!$A$200:$G$1118,6,0)</f>
        <v>7420088</v>
      </c>
      <c r="L707" s="41" t="str">
        <f>VLOOKUP(C707,Stores!$A$200:$G$1118,7,0)</f>
        <v>192.168.1.201</v>
      </c>
      <c r="M707" s="42" t="s">
        <v>3787</v>
      </c>
    </row>
    <row r="708">
      <c r="A708" s="38" t="s">
        <v>2962</v>
      </c>
      <c r="B708" s="38" t="s">
        <v>3839</v>
      </c>
      <c r="C708" s="38" t="s">
        <v>1943</v>
      </c>
      <c r="D708" s="39" t="s">
        <v>1944</v>
      </c>
      <c r="E708" s="38" t="s">
        <v>3193</v>
      </c>
      <c r="F708" s="40"/>
      <c r="G708" s="40"/>
      <c r="H708" s="41" t="str">
        <f>VLOOKUP(C708,Stores!$A$200:$G$1118,3,0)</f>
        <v>Opened Stores</v>
      </c>
      <c r="I708" s="41" t="str">
        <f>VLOOKUP(C708,Stores!$A$200:$G$1118,4,0)</f>
        <v>Stage 7 - Installed</v>
      </c>
      <c r="J708" s="41" t="str">
        <f>VLOOKUP(C708,Stores!$A$200:$G$1118,5,0)</f>
        <v>ZKTECO</v>
      </c>
      <c r="K708" s="41" t="str">
        <f>VLOOKUP(C708,Stores!$A$200:$G$1118,6,0)</f>
        <v>CQUJ233561093</v>
      </c>
      <c r="L708" s="41" t="str">
        <f>VLOOKUP(C708,Stores!$A$200:$G$1118,7,0)</f>
        <v>192.168.1.201</v>
      </c>
      <c r="M708" s="42" t="s">
        <v>3787</v>
      </c>
    </row>
    <row r="709">
      <c r="A709" s="38" t="s">
        <v>2962</v>
      </c>
      <c r="B709" s="38" t="s">
        <v>3840</v>
      </c>
      <c r="C709" s="38" t="s">
        <v>2069</v>
      </c>
      <c r="D709" s="39" t="s">
        <v>2070</v>
      </c>
      <c r="E709" s="38" t="s">
        <v>3193</v>
      </c>
      <c r="F709" s="40"/>
      <c r="G709" s="40"/>
      <c r="H709" s="41" t="str">
        <f>VLOOKUP(C709,Stores!$A$200:$G$1118,3,0)</f>
        <v>Opened Stores</v>
      </c>
      <c r="I709" s="41" t="str">
        <f>VLOOKUP(C709,Stores!$A$200:$G$1118,4,0)</f>
        <v>Stage 7 - Installed</v>
      </c>
      <c r="J709" s="41" t="str">
        <f>VLOOKUP(C709,Stores!$A$200:$G$1118,5,0)</f>
        <v>ZKTECO</v>
      </c>
      <c r="K709" s="41" t="str">
        <f>VLOOKUP(C709,Stores!$A$200:$G$1118,6,0)</f>
        <v>CQUJ232260319</v>
      </c>
      <c r="L709" s="41" t="str">
        <f>VLOOKUP(C709,Stores!$A$200:$G$1118,7,0)</f>
        <v>192.168.1.201</v>
      </c>
      <c r="M709" s="42" t="s">
        <v>3787</v>
      </c>
    </row>
    <row r="710">
      <c r="A710" s="38" t="s">
        <v>2962</v>
      </c>
      <c r="B710" s="38" t="s">
        <v>3841</v>
      </c>
      <c r="C710" s="38" t="s">
        <v>965</v>
      </c>
      <c r="D710" s="39" t="s">
        <v>966</v>
      </c>
      <c r="E710" s="38" t="s">
        <v>3193</v>
      </c>
      <c r="F710" s="40"/>
      <c r="G710" s="40"/>
      <c r="H710" s="41" t="str">
        <f>VLOOKUP(C710,Stores!$A$200:$G$1118,3,0)</f>
        <v>Opened Stores</v>
      </c>
      <c r="I710" s="41" t="str">
        <f>VLOOKUP(C710,Stores!$A$200:$G$1118,4,0)</f>
        <v>Stage 7 - Installed</v>
      </c>
      <c r="J710" s="41" t="str">
        <f>VLOOKUP(C710,Stores!$A$200:$G$1118,5,0)</f>
        <v>ZKTECO</v>
      </c>
      <c r="K710" s="41" t="str">
        <f>VLOOKUP(C710,Stores!$A$200:$G$1118,6,0)</f>
        <v>PAS4252900097</v>
      </c>
      <c r="L710" s="41" t="str">
        <f>VLOOKUP(C710,Stores!$A$200:$G$1118,7,0)</f>
        <v>192.168.1.201</v>
      </c>
      <c r="M710" s="42" t="s">
        <v>3787</v>
      </c>
    </row>
    <row r="711">
      <c r="A711" s="38" t="s">
        <v>2962</v>
      </c>
      <c r="B711" s="38" t="s">
        <v>3842</v>
      </c>
      <c r="C711" s="38" t="s">
        <v>1767</v>
      </c>
      <c r="D711" s="39" t="s">
        <v>1768</v>
      </c>
      <c r="E711" s="38" t="s">
        <v>3193</v>
      </c>
      <c r="F711" s="40"/>
      <c r="G711" s="40"/>
      <c r="H711" s="41" t="str">
        <f>VLOOKUP(C711,Stores!$A$200:$G$1118,3,0)</f>
        <v>Opened Stores</v>
      </c>
      <c r="I711" s="41" t="str">
        <f>VLOOKUP(C711,Stores!$A$200:$G$1118,4,0)</f>
        <v>Stage 7 - Installed</v>
      </c>
      <c r="J711" s="41" t="str">
        <f>VLOOKUP(C711,Stores!$A$200:$G$1118,5,0)</f>
        <v>ZKTECO</v>
      </c>
      <c r="K711" s="41" t="str">
        <f>VLOOKUP(C711,Stores!$A$200:$G$1118,6,0)</f>
        <v>CQUJ233560477</v>
      </c>
      <c r="L711" s="41" t="str">
        <f>VLOOKUP(C711,Stores!$A$200:$G$1118,7,0)</f>
        <v>192.168.1.201</v>
      </c>
      <c r="M711" s="42" t="s">
        <v>3787</v>
      </c>
    </row>
    <row r="712">
      <c r="A712" s="38" t="s">
        <v>2962</v>
      </c>
      <c r="B712" s="38" t="s">
        <v>3843</v>
      </c>
      <c r="C712" s="38" t="s">
        <v>1341</v>
      </c>
      <c r="D712" s="39" t="s">
        <v>1342</v>
      </c>
      <c r="E712" s="38" t="s">
        <v>3193</v>
      </c>
      <c r="F712" s="40"/>
      <c r="G712" s="40"/>
      <c r="H712" s="41" t="str">
        <f>VLOOKUP(C712,Stores!$A$200:$G$1118,3,0)</f>
        <v>Opened Stores</v>
      </c>
      <c r="I712" s="41" t="str">
        <f>VLOOKUP(C712,Stores!$A$200:$G$1118,4,0)</f>
        <v>Stage 7 - Installed</v>
      </c>
      <c r="J712" s="41" t="str">
        <f>VLOOKUP(C712,Stores!$A$200:$G$1118,5,0)</f>
        <v>ZKTECO</v>
      </c>
      <c r="K712" s="41" t="str">
        <f>VLOOKUP(C712,Stores!$A$200:$G$1118,6,0)</f>
        <v>AKDG012350194</v>
      </c>
      <c r="L712" s="41" t="str">
        <f>VLOOKUP(C712,Stores!$A$200:$G$1118,7,0)</f>
        <v>192.168.1.201</v>
      </c>
      <c r="M712" s="42" t="s">
        <v>3787</v>
      </c>
    </row>
    <row r="713">
      <c r="A713" s="38" t="s">
        <v>2962</v>
      </c>
      <c r="B713" s="38" t="s">
        <v>3844</v>
      </c>
      <c r="C713" s="38" t="s">
        <v>1024</v>
      </c>
      <c r="D713" s="39" t="s">
        <v>3845</v>
      </c>
      <c r="E713" s="38" t="s">
        <v>3193</v>
      </c>
      <c r="F713" s="40"/>
      <c r="G713" s="40"/>
      <c r="H713" s="41" t="str">
        <f>VLOOKUP(C713,Stores!$A$200:$G$1118,3,0)</f>
        <v>Opened Stores</v>
      </c>
      <c r="I713" s="41" t="str">
        <f>VLOOKUP(C713,Stores!$A$200:$G$1118,4,0)</f>
        <v>Stage 7 - Installed</v>
      </c>
      <c r="J713" s="41" t="str">
        <f>VLOOKUP(C713,Stores!$A$200:$G$1118,5,0)</f>
        <v>ZKTECO</v>
      </c>
      <c r="K713" s="41" t="str">
        <f>VLOOKUP(C713,Stores!$A$200:$G$1118,6,0)</f>
        <v>A8N5221960174</v>
      </c>
      <c r="L713" s="41" t="str">
        <f>VLOOKUP(C713,Stores!$A$200:$G$1118,7,0)</f>
        <v>192.168.1.201</v>
      </c>
      <c r="M713" s="42" t="s">
        <v>3787</v>
      </c>
    </row>
    <row r="714">
      <c r="A714" s="38" t="s">
        <v>2962</v>
      </c>
      <c r="B714" s="38" t="s">
        <v>3846</v>
      </c>
      <c r="C714" s="38" t="s">
        <v>409</v>
      </c>
      <c r="D714" s="39" t="s">
        <v>410</v>
      </c>
      <c r="E714" s="38" t="s">
        <v>3193</v>
      </c>
      <c r="F714" s="40"/>
      <c r="G714" s="40"/>
      <c r="H714" s="41" t="str">
        <f>VLOOKUP(C714,Stores!$A$200:$G$1118,3,0)</f>
        <v>Opened Stores</v>
      </c>
      <c r="I714" s="41" t="str">
        <f>VLOOKUP(C714,Stores!$A$200:$G$1118,4,0)</f>
        <v>Stage 7 - Installed</v>
      </c>
      <c r="J714" s="41" t="str">
        <f>VLOOKUP(C714,Stores!$A$200:$G$1118,5,0)</f>
        <v>ZKTECO</v>
      </c>
      <c r="K714" s="41" t="str">
        <f>VLOOKUP(C714,Stores!$A$200:$G$1118,6,0)</f>
        <v>ZKM6251700218</v>
      </c>
      <c r="L714" s="41" t="str">
        <f>VLOOKUP(C714,Stores!$A$200:$G$1118,7,0)</f>
        <v>192.168.1.201</v>
      </c>
      <c r="M714" s="42" t="s">
        <v>3787</v>
      </c>
    </row>
    <row r="715">
      <c r="A715" s="38" t="s">
        <v>2962</v>
      </c>
      <c r="B715" s="38" t="s">
        <v>3847</v>
      </c>
      <c r="C715" s="38" t="s">
        <v>2535</v>
      </c>
      <c r="D715" s="39" t="s">
        <v>2536</v>
      </c>
      <c r="E715" s="38" t="s">
        <v>3193</v>
      </c>
      <c r="F715" s="40"/>
      <c r="G715" s="40"/>
      <c r="H715" s="41" t="str">
        <f>VLOOKUP(C715,Stores!$A$200:$G$1118,3,0)</f>
        <v>Opened Stores</v>
      </c>
      <c r="I715" s="41" t="str">
        <f>VLOOKUP(C715,Stores!$A$200:$G$1118,4,0)</f>
        <v>Stage 7 - Installed</v>
      </c>
      <c r="J715" s="41" t="str">
        <f>VLOOKUP(C715,Stores!$A$200:$G$1118,5,0)</f>
        <v>ZKTECO</v>
      </c>
      <c r="K715" s="41" t="str">
        <f>VLOOKUP(C715,Stores!$A$200:$G$1118,6,0)</f>
        <v>ZKM6251500303</v>
      </c>
      <c r="L715" s="41" t="str">
        <f>VLOOKUP(C715,Stores!$A$200:$G$1118,7,0)</f>
        <v>192.168.1.201</v>
      </c>
      <c r="M715" s="42" t="s">
        <v>3787</v>
      </c>
    </row>
    <row r="716">
      <c r="A716" s="38" t="s">
        <v>2962</v>
      </c>
      <c r="B716" s="38" t="s">
        <v>3848</v>
      </c>
      <c r="C716" s="38" t="s">
        <v>1063</v>
      </c>
      <c r="D716" s="39" t="s">
        <v>1064</v>
      </c>
      <c r="E716" s="38" t="s">
        <v>3193</v>
      </c>
      <c r="F716" s="40"/>
      <c r="G716" s="40"/>
      <c r="H716" s="41" t="str">
        <f>VLOOKUP(C716,Stores!$A$200:$G$1118,3,0)</f>
        <v>Opened Stores</v>
      </c>
      <c r="I716" s="41" t="str">
        <f>VLOOKUP(C716,Stores!$A$200:$G$1118,4,0)</f>
        <v>Stage 7 - Installed</v>
      </c>
      <c r="J716" s="41" t="str">
        <f>VLOOKUP(C716,Stores!$A$200:$G$1118,5,0)</f>
        <v>ZKTECO</v>
      </c>
      <c r="K716" s="41" t="str">
        <f>VLOOKUP(C716,Stores!$A$200:$G$1118,6,0)</f>
        <v>PAS4254500179</v>
      </c>
      <c r="L716" s="41" t="str">
        <f>VLOOKUP(C716,Stores!$A$200:$G$1118,7,0)</f>
        <v>192.168.1.201</v>
      </c>
      <c r="M716" s="42" t="s">
        <v>3787</v>
      </c>
    </row>
    <row r="717">
      <c r="A717" s="38" t="s">
        <v>2962</v>
      </c>
      <c r="B717" s="38" t="s">
        <v>3849</v>
      </c>
      <c r="C717" s="38" t="s">
        <v>1406</v>
      </c>
      <c r="D717" s="39" t="s">
        <v>1407</v>
      </c>
      <c r="E717" s="38" t="s">
        <v>3193</v>
      </c>
      <c r="F717" s="40"/>
      <c r="G717" s="40"/>
      <c r="H717" s="41" t="str">
        <f>VLOOKUP(C717,Stores!$A$200:$G$1118,3,0)</f>
        <v>Opened Stores</v>
      </c>
      <c r="I717" s="41" t="str">
        <f>VLOOKUP(C717,Stores!$A$200:$G$1118,4,0)</f>
        <v>Stage 7 - Installed</v>
      </c>
      <c r="J717" s="41" t="str">
        <f>VLOOKUP(C717,Stores!$A$200:$G$1118,5,0)</f>
        <v>ZKTECO</v>
      </c>
      <c r="K717" s="41" t="str">
        <f>VLOOKUP(C717,Stores!$A$200:$G$1118,6,0)</f>
        <v>AKDG012350701</v>
      </c>
      <c r="L717" s="41" t="str">
        <f>VLOOKUP(C717,Stores!$A$200:$G$1118,7,0)</f>
        <v>192.168.1.201</v>
      </c>
      <c r="M717" s="42" t="s">
        <v>3787</v>
      </c>
    </row>
    <row r="718">
      <c r="A718" s="38" t="s">
        <v>2962</v>
      </c>
      <c r="B718" s="38" t="s">
        <v>3850</v>
      </c>
      <c r="C718" s="38" t="s">
        <v>930</v>
      </c>
      <c r="D718" s="39" t="s">
        <v>931</v>
      </c>
      <c r="E718" s="38" t="s">
        <v>3193</v>
      </c>
      <c r="F718" s="40"/>
      <c r="G718" s="40"/>
      <c r="H718" s="41" t="str">
        <f>VLOOKUP(C718,Stores!$A$200:$G$1118,3,0)</f>
        <v>Opened Stores</v>
      </c>
      <c r="I718" s="41" t="str">
        <f>VLOOKUP(C718,Stores!$A$200:$G$1118,4,0)</f>
        <v>Stage 7 - Installed</v>
      </c>
      <c r="J718" s="41" t="str">
        <f>VLOOKUP(C718,Stores!$A$200:$G$1118,5,0)</f>
        <v>FINGERTEC</v>
      </c>
      <c r="K718" s="41">
        <f>VLOOKUP(C718,Stores!$A$200:$G$1118,6,0)</f>
        <v>7425669</v>
      </c>
      <c r="L718" s="41" t="str">
        <f>VLOOKUP(C718,Stores!$A$200:$G$1118,7,0)</f>
        <v>192.168.1.201</v>
      </c>
      <c r="M718" s="42" t="s">
        <v>3787</v>
      </c>
    </row>
    <row r="719">
      <c r="A719" s="38" t="s">
        <v>2962</v>
      </c>
      <c r="B719" s="38" t="s">
        <v>3851</v>
      </c>
      <c r="C719" s="38" t="s">
        <v>2820</v>
      </c>
      <c r="D719" s="39" t="s">
        <v>2821</v>
      </c>
      <c r="E719" s="38" t="s">
        <v>3193</v>
      </c>
      <c r="F719" s="40"/>
      <c r="G719" s="40"/>
      <c r="H719" s="41" t="str">
        <f>VLOOKUP(C719,Stores!$A$200:$G$1118,3,0)</f>
        <v>Opened Stores</v>
      </c>
      <c r="I719" s="41" t="str">
        <f>VLOOKUP(C719,Stores!$A$200:$G$1118,4,0)</f>
        <v>Stage 7 - Installed</v>
      </c>
      <c r="J719" s="41" t="str">
        <f>VLOOKUP(C719,Stores!$A$200:$G$1118,5,0)</f>
        <v>ZKTECO</v>
      </c>
      <c r="K719" s="41" t="str">
        <f>VLOOKUP(C719,Stores!$A$200:$G$1118,6,0)</f>
        <v>ZKM6251700294</v>
      </c>
      <c r="L719" s="41" t="str">
        <f>VLOOKUP(C719,Stores!$A$200:$G$1118,7,0)</f>
        <v>192.168.1.201</v>
      </c>
      <c r="M719" s="42" t="s">
        <v>3787</v>
      </c>
    </row>
    <row r="720">
      <c r="A720" s="38" t="s">
        <v>2962</v>
      </c>
      <c r="B720" s="38" t="s">
        <v>3852</v>
      </c>
      <c r="C720" s="38" t="s">
        <v>784</v>
      </c>
      <c r="D720" s="39" t="s">
        <v>785</v>
      </c>
      <c r="E720" s="38" t="s">
        <v>3193</v>
      </c>
      <c r="F720" s="40"/>
      <c r="G720" s="40"/>
      <c r="H720" s="41" t="str">
        <f>VLOOKUP(C720,Stores!$A$200:$G$1118,3,0)</f>
        <v>Opened Stores</v>
      </c>
      <c r="I720" s="41" t="str">
        <f>VLOOKUP(C720,Stores!$A$200:$G$1118,4,0)</f>
        <v>Stage 7 - Installed</v>
      </c>
      <c r="J720" s="41" t="str">
        <f>VLOOKUP(C720,Stores!$A$200:$G$1118,5,0)</f>
        <v>FINGERTEC</v>
      </c>
      <c r="K720" s="41">
        <f>VLOOKUP(C720,Stores!$A$200:$G$1118,6,0)</f>
        <v>7424184</v>
      </c>
      <c r="L720" s="41" t="str">
        <f>VLOOKUP(C720,Stores!$A$200:$G$1118,7,0)</f>
        <v>192.168.1.201</v>
      </c>
      <c r="M720" s="42" t="s">
        <v>3787</v>
      </c>
    </row>
    <row r="721">
      <c r="A721" s="38" t="s">
        <v>2962</v>
      </c>
      <c r="B721" s="38" t="s">
        <v>3853</v>
      </c>
      <c r="C721" s="38" t="s">
        <v>1612</v>
      </c>
      <c r="D721" s="39" t="s">
        <v>1613</v>
      </c>
      <c r="E721" s="38" t="s">
        <v>3193</v>
      </c>
      <c r="F721" s="40"/>
      <c r="G721" s="40"/>
      <c r="H721" s="41" t="str">
        <f>VLOOKUP(C721,Stores!$A$200:$G$1118,3,0)</f>
        <v>Opened Stores</v>
      </c>
      <c r="I721" s="41" t="str">
        <f>VLOOKUP(C721,Stores!$A$200:$G$1118,4,0)</f>
        <v>Stage 7 - Installed</v>
      </c>
      <c r="J721" s="41" t="str">
        <f>VLOOKUP(C721,Stores!$A$200:$G$1118,5,0)</f>
        <v>ZKTECO</v>
      </c>
      <c r="K721" s="41" t="str">
        <f>VLOOKUP(C721,Stores!$A$200:$G$1118,6,0)</f>
        <v>AEYU082360279</v>
      </c>
      <c r="L721" s="41" t="str">
        <f>VLOOKUP(C721,Stores!$A$200:$G$1118,7,0)</f>
        <v>192.168.1.201</v>
      </c>
      <c r="M721" s="42" t="s">
        <v>3787</v>
      </c>
    </row>
    <row r="722">
      <c r="A722" s="38" t="s">
        <v>2962</v>
      </c>
      <c r="B722" s="38" t="s">
        <v>3854</v>
      </c>
      <c r="C722" s="38" t="s">
        <v>2478</v>
      </c>
      <c r="D722" s="39" t="s">
        <v>3855</v>
      </c>
      <c r="E722" s="38" t="s">
        <v>3193</v>
      </c>
      <c r="F722" s="40"/>
      <c r="G722" s="40"/>
      <c r="H722" s="41" t="str">
        <f>VLOOKUP(C722,Stores!$A$200:$G$1118,3,0)</f>
        <v>Opened Stores</v>
      </c>
      <c r="I722" s="41" t="str">
        <f>VLOOKUP(C722,Stores!$A$200:$G$1118,4,0)</f>
        <v>Stage 7 - Installed</v>
      </c>
      <c r="J722" s="41" t="str">
        <f>VLOOKUP(C722,Stores!$A$200:$G$1118,5,0)</f>
        <v>ZKTECO</v>
      </c>
      <c r="K722" s="41" t="str">
        <f>VLOOKUP(C722,Stores!$A$200:$G$1118,6,0)</f>
        <v>ZKM6251500178</v>
      </c>
      <c r="L722" s="41" t="str">
        <f>VLOOKUP(C722,Stores!$A$200:$G$1118,7,0)</f>
        <v>192.168.1.201</v>
      </c>
      <c r="M722" s="42" t="s">
        <v>3787</v>
      </c>
    </row>
    <row r="723">
      <c r="A723" s="38" t="s">
        <v>2962</v>
      </c>
      <c r="B723" s="38" t="s">
        <v>3856</v>
      </c>
      <c r="C723" s="38" t="s">
        <v>1445</v>
      </c>
      <c r="D723" s="39" t="s">
        <v>1446</v>
      </c>
      <c r="E723" s="38" t="s">
        <v>3193</v>
      </c>
      <c r="F723" s="40"/>
      <c r="G723" s="40"/>
      <c r="H723" s="41" t="str">
        <f>VLOOKUP(C723,Stores!$A$200:$G$1118,3,0)</f>
        <v>Opened Stores</v>
      </c>
      <c r="I723" s="41" t="str">
        <f>VLOOKUP(C723,Stores!$A$200:$G$1118,4,0)</f>
        <v>Stage 7 - Installed</v>
      </c>
      <c r="J723" s="41" t="str">
        <f>VLOOKUP(C723,Stores!$A$200:$G$1118,5,0)</f>
        <v>ZKTECO</v>
      </c>
      <c r="K723" s="41" t="str">
        <f>VLOOKUP(C723,Stores!$A$200:$G$1118,6,0)</f>
        <v>AEYU082360274</v>
      </c>
      <c r="L723" s="41" t="str">
        <f>VLOOKUP(C723,Stores!$A$200:$G$1118,7,0)</f>
        <v>192.168.1.201</v>
      </c>
      <c r="M723" s="42" t="s">
        <v>3787</v>
      </c>
    </row>
    <row r="724">
      <c r="A724" s="38" t="s">
        <v>2962</v>
      </c>
      <c r="B724" s="38" t="s">
        <v>3857</v>
      </c>
      <c r="C724" s="38" t="s">
        <v>541</v>
      </c>
      <c r="D724" s="39" t="s">
        <v>3858</v>
      </c>
      <c r="E724" s="38" t="s">
        <v>3193</v>
      </c>
      <c r="F724" s="40"/>
      <c r="G724" s="40"/>
      <c r="H724" s="41" t="str">
        <f>VLOOKUP(C724,Stores!$A$200:$G$1118,3,0)</f>
        <v>Opened Stores</v>
      </c>
      <c r="I724" s="41" t="str">
        <f>VLOOKUP(C724,Stores!$A$200:$G$1118,4,0)</f>
        <v>Stage 7 - Installed</v>
      </c>
      <c r="J724" s="41" t="str">
        <f>VLOOKUP(C724,Stores!$A$200:$G$1118,5,0)</f>
        <v>ZKTECO</v>
      </c>
      <c r="K724" s="41" t="str">
        <f>VLOOKUP(C724,Stores!$A$200:$G$1118,6,0)</f>
        <v>ZKM6251400199</v>
      </c>
      <c r="L724" s="41" t="str">
        <f>VLOOKUP(C724,Stores!$A$200:$G$1118,7,0)</f>
        <v>192.168.1.201</v>
      </c>
      <c r="M724" s="42" t="s">
        <v>3787</v>
      </c>
    </row>
    <row r="725">
      <c r="A725" s="38" t="s">
        <v>2962</v>
      </c>
      <c r="B725" s="38" t="s">
        <v>3859</v>
      </c>
      <c r="C725" s="38" t="s">
        <v>722</v>
      </c>
      <c r="D725" s="39" t="s">
        <v>723</v>
      </c>
      <c r="E725" s="38" t="s">
        <v>3193</v>
      </c>
      <c r="F725" s="40"/>
      <c r="G725" s="40"/>
      <c r="H725" s="41" t="str">
        <f>VLOOKUP(C725,Stores!$A$200:$G$1118,3,0)</f>
        <v>Opened Stores</v>
      </c>
      <c r="I725" s="41" t="str">
        <f>VLOOKUP(C725,Stores!$A$200:$G$1118,4,0)</f>
        <v>Stage 7 - Installed</v>
      </c>
      <c r="J725" s="41" t="str">
        <f>VLOOKUP(C725,Stores!$A$200:$G$1118,5,0)</f>
        <v>FINGERTEC</v>
      </c>
      <c r="K725" s="41">
        <f>VLOOKUP(C725,Stores!$A$200:$G$1118,6,0)</f>
        <v>7423724</v>
      </c>
      <c r="L725" s="41" t="str">
        <f>VLOOKUP(C725,Stores!$A$200:$G$1118,7,0)</f>
        <v>192.168.3.47</v>
      </c>
      <c r="M725" s="42" t="s">
        <v>3787</v>
      </c>
    </row>
    <row r="726">
      <c r="A726" s="38" t="s">
        <v>2962</v>
      </c>
      <c r="B726" s="38" t="s">
        <v>3860</v>
      </c>
      <c r="C726" s="38" t="s">
        <v>2682</v>
      </c>
      <c r="D726" s="39" t="s">
        <v>3861</v>
      </c>
      <c r="E726" s="38" t="s">
        <v>3193</v>
      </c>
      <c r="F726" s="40"/>
      <c r="G726" s="40"/>
      <c r="H726" s="41" t="str">
        <f>VLOOKUP(C726,Stores!$A$200:$G$1118,3,0)</f>
        <v>Opened Stores</v>
      </c>
      <c r="I726" s="41" t="str">
        <f>VLOOKUP(C726,Stores!$A$200:$G$1118,4,0)</f>
        <v>Stage 7 - Installed</v>
      </c>
      <c r="J726" s="41" t="str">
        <f>VLOOKUP(C726,Stores!$A$200:$G$1118,5,0)</f>
        <v>ZKTECO</v>
      </c>
      <c r="K726" s="41" t="str">
        <f>VLOOKUP(C726,Stores!$A$200:$G$1118,6,0)</f>
        <v>ZKM6251700116</v>
      </c>
      <c r="L726" s="41" t="str">
        <f>VLOOKUP(C726,Stores!$A$200:$G$1118,7,0)</f>
        <v>192.168.1.201</v>
      </c>
      <c r="M726" s="42" t="s">
        <v>3787</v>
      </c>
    </row>
    <row r="727">
      <c r="A727" s="38" t="s">
        <v>2962</v>
      </c>
      <c r="B727" s="38" t="s">
        <v>3862</v>
      </c>
      <c r="C727" s="38" t="s">
        <v>2042</v>
      </c>
      <c r="D727" s="39" t="s">
        <v>3863</v>
      </c>
      <c r="E727" s="38" t="s">
        <v>3193</v>
      </c>
      <c r="F727" s="40"/>
      <c r="G727" s="40"/>
      <c r="H727" s="41" t="str">
        <f>VLOOKUP(C727,Stores!$A$200:$G$1118,3,0)</f>
        <v>Opened Stores</v>
      </c>
      <c r="I727" s="41" t="str">
        <f>VLOOKUP(C727,Stores!$A$200:$G$1118,4,0)</f>
        <v>Stage 7 - Installed</v>
      </c>
      <c r="J727" s="41" t="str">
        <f>VLOOKUP(C727,Stores!$A$200:$G$1118,5,0)</f>
        <v>ZKTECO</v>
      </c>
      <c r="K727" s="41" t="str">
        <f>VLOOKUP(C727,Stores!$A$200:$G$1118,6,0)</f>
        <v>CQUJ233560540</v>
      </c>
      <c r="L727" s="41" t="str">
        <f>VLOOKUP(C727,Stores!$A$200:$G$1118,7,0)</f>
        <v>192.168.1.201</v>
      </c>
      <c r="M727" s="42" t="s">
        <v>3787</v>
      </c>
    </row>
    <row r="728">
      <c r="A728" s="38" t="s">
        <v>2962</v>
      </c>
      <c r="B728" s="38" t="s">
        <v>3864</v>
      </c>
      <c r="C728" s="38" t="s">
        <v>1666</v>
      </c>
      <c r="D728" s="39" t="s">
        <v>1667</v>
      </c>
      <c r="E728" s="38" t="s">
        <v>3193</v>
      </c>
      <c r="F728" s="40"/>
      <c r="G728" s="40"/>
      <c r="H728" s="41" t="str">
        <f>VLOOKUP(C728,Stores!$A$200:$G$1118,3,0)</f>
        <v>Opened Stores</v>
      </c>
      <c r="I728" s="41" t="str">
        <f>VLOOKUP(C728,Stores!$A$200:$G$1118,4,0)</f>
        <v>Stage 7 - Installed</v>
      </c>
      <c r="J728" s="41" t="str">
        <f>VLOOKUP(C728,Stores!$A$200:$G$1118,5,0)</f>
        <v>ZKTECO</v>
      </c>
      <c r="K728" s="41" t="str">
        <f>VLOOKUP(C728,Stores!$A$200:$G$1118,6,0)</f>
        <v>AEYU082360201</v>
      </c>
      <c r="L728" s="41" t="str">
        <f>VLOOKUP(C728,Stores!$A$200:$G$1118,7,0)</f>
        <v>192.168.1.201</v>
      </c>
      <c r="M728" s="42" t="s">
        <v>3787</v>
      </c>
    </row>
    <row r="729">
      <c r="A729" s="38" t="s">
        <v>2962</v>
      </c>
      <c r="B729" s="38" t="s">
        <v>3865</v>
      </c>
      <c r="C729" s="38" t="s">
        <v>593</v>
      </c>
      <c r="D729" s="39" t="s">
        <v>594</v>
      </c>
      <c r="E729" s="38" t="s">
        <v>3193</v>
      </c>
      <c r="F729" s="40"/>
      <c r="G729" s="40"/>
      <c r="H729" s="41" t="str">
        <f>VLOOKUP(C729,Stores!$A$200:$G$1118,3,0)</f>
        <v>Opened Stores</v>
      </c>
      <c r="I729" s="41" t="str">
        <f>VLOOKUP(C729,Stores!$A$200:$G$1118,4,0)</f>
        <v>Stage 7 - Installed</v>
      </c>
      <c r="J729" s="41" t="str">
        <f>VLOOKUP(C729,Stores!$A$200:$G$1118,5,0)</f>
        <v>FINGERTEC</v>
      </c>
      <c r="K729" s="41">
        <f>VLOOKUP(C729,Stores!$A$200:$G$1118,6,0)</f>
        <v>7421291</v>
      </c>
      <c r="L729" s="41" t="str">
        <f>VLOOKUP(C729,Stores!$A$200:$G$1118,7,0)</f>
        <v>192.168.1.201</v>
      </c>
      <c r="M729" s="42" t="s">
        <v>3787</v>
      </c>
    </row>
    <row r="730">
      <c r="A730" s="38" t="s">
        <v>2962</v>
      </c>
      <c r="B730" s="38" t="s">
        <v>3866</v>
      </c>
      <c r="C730" s="38" t="s">
        <v>1484</v>
      </c>
      <c r="D730" s="39" t="s">
        <v>1485</v>
      </c>
      <c r="E730" s="38" t="s">
        <v>3193</v>
      </c>
      <c r="F730" s="40"/>
      <c r="G730" s="40"/>
      <c r="H730" s="41" t="str">
        <f>VLOOKUP(C730,Stores!$A$200:$G$1118,3,0)</f>
        <v>Opened Stores</v>
      </c>
      <c r="I730" s="41" t="str">
        <f>VLOOKUP(C730,Stores!$A$200:$G$1118,4,0)</f>
        <v>Stage 7 - Installed</v>
      </c>
      <c r="J730" s="41" t="str">
        <f>VLOOKUP(C730,Stores!$A$200:$G$1118,5,0)</f>
        <v>ZKTECO</v>
      </c>
      <c r="K730" s="41" t="str">
        <f>VLOOKUP(C730,Stores!$A$200:$G$1118,6,0)</f>
        <v>PAS42525000</v>
      </c>
      <c r="L730" s="41" t="str">
        <f>VLOOKUP(C730,Stores!$A$200:$G$1118,7,0)</f>
        <v>192.168.1.201</v>
      </c>
      <c r="M730" s="42" t="s">
        <v>3787</v>
      </c>
    </row>
    <row r="731">
      <c r="A731" s="38" t="s">
        <v>2962</v>
      </c>
      <c r="B731" s="38" t="s">
        <v>3867</v>
      </c>
      <c r="C731" s="38" t="s">
        <v>1680</v>
      </c>
      <c r="D731" s="39" t="s">
        <v>1681</v>
      </c>
      <c r="E731" s="38" t="s">
        <v>3193</v>
      </c>
      <c r="F731" s="40"/>
      <c r="G731" s="40"/>
      <c r="H731" s="41" t="str">
        <f>VLOOKUP(C731,Stores!$A$200:$G$1118,3,0)</f>
        <v>Opened Stores</v>
      </c>
      <c r="I731" s="41" t="str">
        <f>VLOOKUP(C731,Stores!$A$200:$G$1118,4,0)</f>
        <v>Stage 7 - Installed</v>
      </c>
      <c r="J731" s="41" t="str">
        <f>VLOOKUP(C731,Stores!$A$200:$G$1118,5,0)</f>
        <v>ZKTECO</v>
      </c>
      <c r="K731" s="41" t="str">
        <f>VLOOKUP(C731,Stores!$A$200:$G$1118,6,0)</f>
        <v>AEYU082360297</v>
      </c>
      <c r="L731" s="41" t="str">
        <f>VLOOKUP(C731,Stores!$A$200:$G$1118,7,0)</f>
        <v>192.168.1.201</v>
      </c>
      <c r="M731" s="42" t="s">
        <v>3787</v>
      </c>
    </row>
    <row r="732">
      <c r="A732" s="38" t="s">
        <v>2962</v>
      </c>
      <c r="B732" s="38" t="s">
        <v>3868</v>
      </c>
      <c r="C732" s="38" t="s">
        <v>1400</v>
      </c>
      <c r="D732" s="39" t="s">
        <v>1401</v>
      </c>
      <c r="E732" s="38" t="s">
        <v>3193</v>
      </c>
      <c r="F732" s="40"/>
      <c r="G732" s="40"/>
      <c r="H732" s="41" t="str">
        <f>VLOOKUP(C732,Stores!$A$200:$G$1118,3,0)</f>
        <v>Opened Stores</v>
      </c>
      <c r="I732" s="41" t="str">
        <f>VLOOKUP(C732,Stores!$A$200:$G$1118,4,0)</f>
        <v>Stage 7 - Installed</v>
      </c>
      <c r="J732" s="41" t="str">
        <f>VLOOKUP(C732,Stores!$A$200:$G$1118,5,0)</f>
        <v>ZKTECO</v>
      </c>
      <c r="K732" s="41" t="str">
        <f>VLOOKUP(C732,Stores!$A$200:$G$1118,6,0)</f>
        <v>AKDG012350228</v>
      </c>
      <c r="L732" s="41" t="str">
        <f>VLOOKUP(C732,Stores!$A$200:$G$1118,7,0)</f>
        <v>192.168.1.201</v>
      </c>
      <c r="M732" s="42" t="s">
        <v>3787</v>
      </c>
    </row>
    <row r="733">
      <c r="A733" s="38" t="s">
        <v>2962</v>
      </c>
      <c r="B733" s="38" t="s">
        <v>3869</v>
      </c>
      <c r="C733" s="38" t="s">
        <v>2611</v>
      </c>
      <c r="D733" s="39" t="s">
        <v>2612</v>
      </c>
      <c r="E733" s="38" t="s">
        <v>3193</v>
      </c>
      <c r="F733" s="40"/>
      <c r="G733" s="40"/>
      <c r="H733" s="41" t="str">
        <f>VLOOKUP(C733,Stores!$A$200:$G$1118,3,0)</f>
        <v>Opened Stores</v>
      </c>
      <c r="I733" s="41" t="str">
        <f>VLOOKUP(C733,Stores!$A$200:$G$1118,4,0)</f>
        <v>Stage 7 - Installed</v>
      </c>
      <c r="J733" s="41" t="str">
        <f>VLOOKUP(C733,Stores!$A$200:$G$1118,5,0)</f>
        <v>ZKTECO</v>
      </c>
      <c r="K733" s="41" t="str">
        <f>VLOOKUP(C733,Stores!$A$200:$G$1118,6,0)</f>
        <v>ZKM6251400187</v>
      </c>
      <c r="L733" s="41" t="str">
        <f>VLOOKUP(C733,Stores!$A$200:$G$1118,7,0)</f>
        <v>192.168.1.201</v>
      </c>
      <c r="M733" s="42" t="s">
        <v>3787</v>
      </c>
    </row>
    <row r="734">
      <c r="A734" s="38" t="s">
        <v>2962</v>
      </c>
      <c r="B734" s="38" t="s">
        <v>3870</v>
      </c>
      <c r="C734" s="38" t="s">
        <v>1421</v>
      </c>
      <c r="D734" s="39" t="s">
        <v>1422</v>
      </c>
      <c r="E734" s="38" t="s">
        <v>3193</v>
      </c>
      <c r="F734" s="40"/>
      <c r="G734" s="40"/>
      <c r="H734" s="41" t="str">
        <f>VLOOKUP(C734,Stores!$A$200:$G$1118,3,0)</f>
        <v>Opened Stores</v>
      </c>
      <c r="I734" s="41" t="str">
        <f>VLOOKUP(C734,Stores!$A$200:$G$1118,4,0)</f>
        <v>Stage 7 - Installed</v>
      </c>
      <c r="J734" s="41" t="str">
        <f>VLOOKUP(C734,Stores!$A$200:$G$1118,5,0)</f>
        <v>ZKTECO</v>
      </c>
      <c r="K734" s="41" t="str">
        <f>VLOOKUP(C734,Stores!$A$200:$G$1118,6,0)</f>
        <v>AKDG012350208</v>
      </c>
      <c r="L734" s="41" t="str">
        <f>VLOOKUP(C734,Stores!$A$200:$G$1118,7,0)</f>
        <v>192.168.1.201</v>
      </c>
      <c r="M734" s="42" t="s">
        <v>3787</v>
      </c>
    </row>
    <row r="735">
      <c r="A735" s="38" t="s">
        <v>2962</v>
      </c>
      <c r="B735" s="38" t="s">
        <v>3871</v>
      </c>
      <c r="C735" s="38" t="s">
        <v>639</v>
      </c>
      <c r="D735" s="39" t="s">
        <v>640</v>
      </c>
      <c r="E735" s="38" t="s">
        <v>3193</v>
      </c>
      <c r="F735" s="40"/>
      <c r="G735" s="40"/>
      <c r="H735" s="41" t="str">
        <f>VLOOKUP(C735,Stores!$A$200:$G$1118,3,0)</f>
        <v>Opened Stores</v>
      </c>
      <c r="I735" s="41" t="str">
        <f>VLOOKUP(C735,Stores!$A$200:$G$1118,4,0)</f>
        <v>Stage 7 - Installed</v>
      </c>
      <c r="J735" s="41" t="str">
        <f>VLOOKUP(C735,Stores!$A$200:$G$1118,5,0)</f>
        <v/>
      </c>
      <c r="K735" s="41">
        <f>VLOOKUP(C735,Stores!$A$200:$G$1118,6,0)</f>
        <v>7421963</v>
      </c>
      <c r="L735" s="41" t="str">
        <f>VLOOKUP(C735,Stores!$A$200:$G$1118,7,0)</f>
        <v>192.168.1.201</v>
      </c>
      <c r="M735" s="42" t="s">
        <v>3787</v>
      </c>
    </row>
    <row r="736">
      <c r="A736" s="38" t="s">
        <v>2962</v>
      </c>
      <c r="B736" s="38" t="s">
        <v>3872</v>
      </c>
      <c r="C736" s="38" t="s">
        <v>1842</v>
      </c>
      <c r="D736" s="39" t="s">
        <v>1843</v>
      </c>
      <c r="E736" s="38" t="s">
        <v>3193</v>
      </c>
      <c r="F736" s="40"/>
      <c r="G736" s="40"/>
      <c r="H736" s="41" t="str">
        <f>VLOOKUP(C736,Stores!$A$200:$G$1118,3,0)</f>
        <v>Opened Stores</v>
      </c>
      <c r="I736" s="41" t="str">
        <f>VLOOKUP(C736,Stores!$A$200:$G$1118,4,0)</f>
        <v>Stage 7 - Installed</v>
      </c>
      <c r="J736" s="41" t="str">
        <f>VLOOKUP(C736,Stores!$A$200:$G$1118,5,0)</f>
        <v>ZKTECO</v>
      </c>
      <c r="K736" s="41" t="str">
        <f>VLOOKUP(C736,Stores!$A$200:$G$1118,6,0)</f>
        <v>CQUJ233560408</v>
      </c>
      <c r="L736" s="41" t="str">
        <f>VLOOKUP(C736,Stores!$A$200:$G$1118,7,0)</f>
        <v>192.168.1.201</v>
      </c>
      <c r="M736" s="42" t="s">
        <v>3787</v>
      </c>
    </row>
    <row r="737">
      <c r="A737" s="38" t="s">
        <v>2962</v>
      </c>
      <c r="B737" s="38" t="s">
        <v>3873</v>
      </c>
      <c r="C737" s="38" t="s">
        <v>1009</v>
      </c>
      <c r="D737" s="39" t="s">
        <v>1010</v>
      </c>
      <c r="E737" s="38" t="s">
        <v>3193</v>
      </c>
      <c r="F737" s="40"/>
      <c r="G737" s="40"/>
      <c r="H737" s="41" t="str">
        <f>VLOOKUP(C737,Stores!$A$200:$G$1118,3,0)</f>
        <v>Opened Stores</v>
      </c>
      <c r="I737" s="41" t="str">
        <f>VLOOKUP(C737,Stores!$A$200:$G$1118,4,0)</f>
        <v>Stage 7 - Installed</v>
      </c>
      <c r="J737" s="41" t="str">
        <f>VLOOKUP(C737,Stores!$A$200:$G$1118,5,0)</f>
        <v>ZKTECO</v>
      </c>
      <c r="K737" s="41" t="str">
        <f>VLOOKUP(C737,Stores!$A$200:$G$1118,6,0)</f>
        <v>A8N5221960180</v>
      </c>
      <c r="L737" s="41" t="str">
        <f>VLOOKUP(C737,Stores!$A$200:$G$1118,7,0)</f>
        <v>192.168.1.201</v>
      </c>
      <c r="M737" s="42" t="s">
        <v>3787</v>
      </c>
    </row>
    <row r="738">
      <c r="A738" s="38" t="s">
        <v>2962</v>
      </c>
      <c r="B738" s="38" t="s">
        <v>3874</v>
      </c>
      <c r="C738" s="38" t="s">
        <v>1773</v>
      </c>
      <c r="D738" s="39" t="s">
        <v>1774</v>
      </c>
      <c r="E738" s="38" t="s">
        <v>3193</v>
      </c>
      <c r="F738" s="40"/>
      <c r="G738" s="40"/>
      <c r="H738" s="41" t="str">
        <f>VLOOKUP(C738,Stores!$A$200:$G$1118,3,0)</f>
        <v>Opened Stores</v>
      </c>
      <c r="I738" s="41" t="str">
        <f>VLOOKUP(C738,Stores!$A$200:$G$1118,4,0)</f>
        <v>Stage 7 - Installed</v>
      </c>
      <c r="J738" s="41" t="str">
        <f>VLOOKUP(C738,Stores!$A$200:$G$1118,5,0)</f>
        <v>ZKTECO</v>
      </c>
      <c r="K738" s="41" t="str">
        <f>VLOOKUP(C738,Stores!$A$200:$G$1118,6,0)</f>
        <v>CQUJ233560453</v>
      </c>
      <c r="L738" s="41" t="str">
        <f>VLOOKUP(C738,Stores!$A$200:$G$1118,7,0)</f>
        <v>192.168.1.201</v>
      </c>
      <c r="M738" s="42" t="s">
        <v>3787</v>
      </c>
    </row>
    <row r="739">
      <c r="A739" s="38" t="s">
        <v>2962</v>
      </c>
      <c r="B739" s="38" t="s">
        <v>3875</v>
      </c>
      <c r="C739" s="38" t="s">
        <v>2375</v>
      </c>
      <c r="D739" s="39" t="s">
        <v>3876</v>
      </c>
      <c r="E739" s="38" t="s">
        <v>3193</v>
      </c>
      <c r="F739" s="40"/>
      <c r="G739" s="40"/>
      <c r="H739" s="41" t="str">
        <f>VLOOKUP(C739,Stores!$A$200:$G$1118,3,0)</f>
        <v>Opened Stores</v>
      </c>
      <c r="I739" s="41" t="str">
        <f>VLOOKUP(C739,Stores!$A$200:$G$1118,4,0)</f>
        <v>Stage 7 - Installed</v>
      </c>
      <c r="J739" s="41" t="str">
        <f>VLOOKUP(C739,Stores!$A$200:$G$1118,5,0)</f>
        <v>ZKTECO</v>
      </c>
      <c r="K739" s="41" t="str">
        <f>VLOOKUP(C739,Stores!$A$200:$G$1118,6,0)</f>
        <v>PAS4252900106</v>
      </c>
      <c r="L739" s="41" t="str">
        <f>VLOOKUP(C739,Stores!$A$200:$G$1118,7,0)</f>
        <v>192.168.1.201</v>
      </c>
      <c r="M739" s="42" t="s">
        <v>3787</v>
      </c>
    </row>
    <row r="740">
      <c r="A740" s="38" t="s">
        <v>2962</v>
      </c>
      <c r="B740" s="38" t="s">
        <v>3877</v>
      </c>
      <c r="C740" s="38" t="s">
        <v>1478</v>
      </c>
      <c r="D740" s="39" t="s">
        <v>1479</v>
      </c>
      <c r="E740" s="38" t="s">
        <v>3193</v>
      </c>
      <c r="F740" s="40"/>
      <c r="G740" s="40"/>
      <c r="H740" s="41" t="str">
        <f>VLOOKUP(C740,Stores!$A$200:$G$1118,3,0)</f>
        <v>Opened Stores</v>
      </c>
      <c r="I740" s="41" t="str">
        <f>VLOOKUP(C740,Stores!$A$200:$G$1118,4,0)</f>
        <v>Stage 7 - Installed</v>
      </c>
      <c r="J740" s="41" t="str">
        <f>VLOOKUP(C740,Stores!$A$200:$G$1118,5,0)</f>
        <v>ZKTECO</v>
      </c>
      <c r="K740" s="41" t="str">
        <f>VLOOKUP(C740,Stores!$A$200:$G$1118,6,0)</f>
        <v>AEYU082360217</v>
      </c>
      <c r="L740" s="41" t="str">
        <f>VLOOKUP(C740,Stores!$A$200:$G$1118,7,0)</f>
        <v>192.168.1.201</v>
      </c>
      <c r="M740" s="42" t="s">
        <v>3787</v>
      </c>
    </row>
    <row r="741">
      <c r="A741" s="38" t="s">
        <v>2962</v>
      </c>
      <c r="B741" s="38" t="s">
        <v>3878</v>
      </c>
      <c r="C741" s="38" t="s">
        <v>2685</v>
      </c>
      <c r="D741" s="39" t="s">
        <v>2686</v>
      </c>
      <c r="E741" s="38" t="s">
        <v>3193</v>
      </c>
      <c r="F741" s="40"/>
      <c r="G741" s="40"/>
      <c r="H741" s="41" t="str">
        <f>VLOOKUP(C741,Stores!$A$200:$G$1118,3,0)</f>
        <v>Opened Stores</v>
      </c>
      <c r="I741" s="41" t="str">
        <f>VLOOKUP(C741,Stores!$A$200:$G$1118,4,0)</f>
        <v>Stage 7 - Installed</v>
      </c>
      <c r="J741" s="41" t="str">
        <f>VLOOKUP(C741,Stores!$A$200:$G$1118,5,0)</f>
        <v>ZKTECO</v>
      </c>
      <c r="K741" s="41" t="str">
        <f>VLOOKUP(C741,Stores!$A$200:$G$1118,6,0)</f>
        <v>ZKM6251700180</v>
      </c>
      <c r="L741" s="41" t="str">
        <f>VLOOKUP(C741,Stores!$A$200:$G$1118,7,0)</f>
        <v>192.168.1.201</v>
      </c>
      <c r="M741" s="42" t="s">
        <v>3787</v>
      </c>
    </row>
    <row r="742">
      <c r="A742" s="38" t="s">
        <v>2962</v>
      </c>
      <c r="B742" s="38" t="s">
        <v>3879</v>
      </c>
      <c r="C742" s="38" t="s">
        <v>1300</v>
      </c>
      <c r="D742" s="39" t="s">
        <v>1301</v>
      </c>
      <c r="E742" s="38" t="s">
        <v>3193</v>
      </c>
      <c r="F742" s="40"/>
      <c r="G742" s="40"/>
      <c r="H742" s="41" t="str">
        <f>VLOOKUP(C742,Stores!$A$200:$G$1118,3,0)</f>
        <v>Opened Stores</v>
      </c>
      <c r="I742" s="41" t="str">
        <f>VLOOKUP(C742,Stores!$A$200:$G$1118,4,0)</f>
        <v>Stage 7 - Installed</v>
      </c>
      <c r="J742" s="41" t="str">
        <f>VLOOKUP(C742,Stores!$A$200:$G$1118,5,0)</f>
        <v>ZKTECO</v>
      </c>
      <c r="K742" s="41" t="str">
        <f>VLOOKUP(C742,Stores!$A$200:$G$1118,6,0)</f>
        <v>AKDG012351712</v>
      </c>
      <c r="L742" s="41" t="str">
        <f>VLOOKUP(C742,Stores!$A$200:$G$1118,7,0)</f>
        <v>192.168.1.201</v>
      </c>
      <c r="M742" s="42" t="s">
        <v>3787</v>
      </c>
    </row>
    <row r="743">
      <c r="A743" s="38" t="s">
        <v>2962</v>
      </c>
      <c r="B743" s="38" t="s">
        <v>3880</v>
      </c>
      <c r="C743" s="38" t="s">
        <v>1327</v>
      </c>
      <c r="D743" s="39" t="s">
        <v>1328</v>
      </c>
      <c r="E743" s="38" t="s">
        <v>3193</v>
      </c>
      <c r="F743" s="40"/>
      <c r="G743" s="40"/>
      <c r="H743" s="41" t="str">
        <f>VLOOKUP(C743,Stores!$A$200:$G$1118,3,0)</f>
        <v>Opened Stores</v>
      </c>
      <c r="I743" s="41" t="str">
        <f>VLOOKUP(C743,Stores!$A$200:$G$1118,4,0)</f>
        <v>Stage 7 - Installed</v>
      </c>
      <c r="J743" s="41" t="str">
        <f>VLOOKUP(C743,Stores!$A$200:$G$1118,5,0)</f>
        <v>ZKTECO</v>
      </c>
      <c r="K743" s="41" t="str">
        <f>VLOOKUP(C743,Stores!$A$200:$G$1118,6,0)</f>
        <v>AKDG012350237</v>
      </c>
      <c r="L743" s="41" t="str">
        <f>VLOOKUP(C743,Stores!$A$200:$G$1118,7,0)</f>
        <v>192.168.1.201</v>
      </c>
      <c r="M743" s="42" t="s">
        <v>3787</v>
      </c>
    </row>
    <row r="744">
      <c r="A744" s="38" t="s">
        <v>2962</v>
      </c>
      <c r="B744" s="38" t="s">
        <v>3881</v>
      </c>
      <c r="C744" s="38" t="s">
        <v>1949</v>
      </c>
      <c r="D744" s="39" t="s">
        <v>1950</v>
      </c>
      <c r="E744" s="38" t="s">
        <v>3193</v>
      </c>
      <c r="F744" s="40"/>
      <c r="G744" s="40"/>
      <c r="H744" s="41" t="str">
        <f>VLOOKUP(C744,Stores!$A$200:$G$1118,3,0)</f>
        <v>Opened Stores</v>
      </c>
      <c r="I744" s="41" t="str">
        <f>VLOOKUP(C744,Stores!$A$200:$G$1118,4,0)</f>
        <v>Stage 7 - Installed</v>
      </c>
      <c r="J744" s="41" t="str">
        <f>VLOOKUP(C744,Stores!$A$200:$G$1118,5,0)</f>
        <v>ZKTECO</v>
      </c>
      <c r="K744" s="41" t="str">
        <f>VLOOKUP(C744,Stores!$A$200:$G$1118,6,0)</f>
        <v>CQUJ233561468</v>
      </c>
      <c r="L744" s="41" t="str">
        <f>VLOOKUP(C744,Stores!$A$200:$G$1118,7,0)</f>
        <v>192.168.1.201</v>
      </c>
      <c r="M744" s="42" t="s">
        <v>3787</v>
      </c>
    </row>
    <row r="745">
      <c r="A745" s="38" t="s">
        <v>2962</v>
      </c>
      <c r="B745" s="38" t="s">
        <v>3882</v>
      </c>
      <c r="C745" s="38" t="s">
        <v>2766</v>
      </c>
      <c r="D745" s="39" t="s">
        <v>3883</v>
      </c>
      <c r="E745" s="38" t="s">
        <v>3193</v>
      </c>
      <c r="F745" s="40"/>
      <c r="G745" s="40"/>
      <c r="H745" s="41" t="str">
        <f>VLOOKUP(C745,Stores!$A$200:$G$1118,3,0)</f>
        <v>Opened Stores</v>
      </c>
      <c r="I745" s="41" t="str">
        <f>VLOOKUP(C745,Stores!$A$200:$G$1118,4,0)</f>
        <v>Stage 7 - Installed</v>
      </c>
      <c r="J745" s="41" t="str">
        <f>VLOOKUP(C745,Stores!$A$200:$G$1118,5,0)</f>
        <v>ZKTECO</v>
      </c>
      <c r="K745" s="41" t="str">
        <f>VLOOKUP(C745,Stores!$A$200:$G$1118,6,0)</f>
        <v>ZKM6251400027</v>
      </c>
      <c r="L745" s="41" t="str">
        <f>VLOOKUP(C745,Stores!$A$200:$G$1118,7,0)</f>
        <v>192.168.1.201</v>
      </c>
      <c r="M745" s="42" t="s">
        <v>3787</v>
      </c>
    </row>
    <row r="746">
      <c r="A746" s="38" t="s">
        <v>2962</v>
      </c>
      <c r="B746" s="38" t="s">
        <v>3884</v>
      </c>
      <c r="C746" s="38" t="s">
        <v>935</v>
      </c>
      <c r="D746" s="39" t="s">
        <v>936</v>
      </c>
      <c r="E746" s="38" t="s">
        <v>3193</v>
      </c>
      <c r="F746" s="40"/>
      <c r="G746" s="40"/>
      <c r="H746" s="41" t="str">
        <f>VLOOKUP(C746,Stores!$A$200:$G$1118,3,0)</f>
        <v>Opened Stores</v>
      </c>
      <c r="I746" s="41" t="str">
        <f>VLOOKUP(C746,Stores!$A$200:$G$1118,4,0)</f>
        <v>Stage 7 - Installed</v>
      </c>
      <c r="J746" s="41" t="str">
        <f>VLOOKUP(C746,Stores!$A$200:$G$1118,5,0)</f>
        <v>FINGERTEC</v>
      </c>
      <c r="K746" s="41">
        <f>VLOOKUP(C746,Stores!$A$200:$G$1118,6,0)</f>
        <v>7425859</v>
      </c>
      <c r="L746" s="41" t="str">
        <f>VLOOKUP(C746,Stores!$A$200:$G$1118,7,0)</f>
        <v>192.168.1.201</v>
      </c>
      <c r="M746" s="42" t="s">
        <v>3787</v>
      </c>
    </row>
    <row r="747">
      <c r="A747" s="38" t="s">
        <v>2962</v>
      </c>
      <c r="B747" s="38" t="s">
        <v>3885</v>
      </c>
      <c r="C747" s="38" t="s">
        <v>2024</v>
      </c>
      <c r="D747" s="39" t="s">
        <v>3886</v>
      </c>
      <c r="E747" s="38" t="s">
        <v>3193</v>
      </c>
      <c r="F747" s="40"/>
      <c r="G747" s="40"/>
      <c r="H747" s="41" t="str">
        <f>VLOOKUP(C747,Stores!$A$200:$G$1118,3,0)</f>
        <v>Opened Stores</v>
      </c>
      <c r="I747" s="41" t="str">
        <f>VLOOKUP(C747,Stores!$A$200:$G$1118,4,0)</f>
        <v>Stage 7 - Installed</v>
      </c>
      <c r="J747" s="41" t="str">
        <f>VLOOKUP(C747,Stores!$A$200:$G$1118,5,0)</f>
        <v>ZKTECO</v>
      </c>
      <c r="K747" s="41" t="str">
        <f>VLOOKUP(C747,Stores!$A$200:$G$1118,6,0)</f>
        <v>CQUJ232260321</v>
      </c>
      <c r="L747" s="41" t="str">
        <f>VLOOKUP(C747,Stores!$A$200:$G$1118,7,0)</f>
        <v>192.168.1.201</v>
      </c>
      <c r="M747" s="42" t="s">
        <v>3787</v>
      </c>
    </row>
    <row r="748">
      <c r="A748" s="38" t="s">
        <v>2962</v>
      </c>
      <c r="B748" s="38" t="s">
        <v>3887</v>
      </c>
      <c r="C748" s="38" t="s">
        <v>1585</v>
      </c>
      <c r="D748" s="39" t="s">
        <v>1586</v>
      </c>
      <c r="E748" s="38" t="s">
        <v>3193</v>
      </c>
      <c r="F748" s="40"/>
      <c r="G748" s="40"/>
      <c r="H748" s="41" t="str">
        <f>VLOOKUP(C748,Stores!$A$200:$G$1118,3,0)</f>
        <v>Opened Stores</v>
      </c>
      <c r="I748" s="41" t="str">
        <f>VLOOKUP(C748,Stores!$A$200:$G$1118,4,0)</f>
        <v>Stage 7 - Installed</v>
      </c>
      <c r="J748" s="41" t="str">
        <f>VLOOKUP(C748,Stores!$A$200:$G$1118,5,0)</f>
        <v>ZKTECO</v>
      </c>
      <c r="K748" s="41" t="str">
        <f>VLOOKUP(C748,Stores!$A$200:$G$1118,6,0)</f>
        <v>AEYU082356208</v>
      </c>
      <c r="L748" s="41" t="str">
        <f>VLOOKUP(C748,Stores!$A$200:$G$1118,7,0)</f>
        <v>192.168.1.201</v>
      </c>
      <c r="M748" s="42" t="s">
        <v>3787</v>
      </c>
    </row>
    <row r="749">
      <c r="A749" s="38" t="s">
        <v>2962</v>
      </c>
      <c r="B749" s="38" t="s">
        <v>3888</v>
      </c>
      <c r="C749" s="38" t="s">
        <v>1597</v>
      </c>
      <c r="D749" s="39" t="s">
        <v>1598</v>
      </c>
      <c r="E749" s="38" t="s">
        <v>3193</v>
      </c>
      <c r="F749" s="40"/>
      <c r="G749" s="40"/>
      <c r="H749" s="41" t="str">
        <f>VLOOKUP(C749,Stores!$A$200:$G$1118,3,0)</f>
        <v>Opened Stores</v>
      </c>
      <c r="I749" s="41" t="str">
        <f>VLOOKUP(C749,Stores!$A$200:$G$1118,4,0)</f>
        <v>Stage 7 - Installed</v>
      </c>
      <c r="J749" s="41" t="str">
        <f>VLOOKUP(C749,Stores!$A$200:$G$1118,5,0)</f>
        <v>ZKTECO</v>
      </c>
      <c r="K749" s="41" t="str">
        <f>VLOOKUP(C749,Stores!$A$200:$G$1118,6,0)</f>
        <v>AEYU082360271</v>
      </c>
      <c r="L749" s="41" t="str">
        <f>VLOOKUP(C749,Stores!$A$200:$G$1118,7,0)</f>
        <v>192.168.1.201</v>
      </c>
      <c r="M749" s="42" t="s">
        <v>3787</v>
      </c>
    </row>
    <row r="750">
      <c r="A750" s="38" t="s">
        <v>2962</v>
      </c>
      <c r="B750" s="38" t="s">
        <v>3889</v>
      </c>
      <c r="C750" s="38" t="s">
        <v>1860</v>
      </c>
      <c r="D750" s="39" t="s">
        <v>1861</v>
      </c>
      <c r="E750" s="38" t="s">
        <v>3193</v>
      </c>
      <c r="F750" s="40"/>
      <c r="G750" s="40"/>
      <c r="H750" s="41" t="str">
        <f>VLOOKUP(C750,Stores!$A$200:$G$1118,3,0)</f>
        <v>Opened Stores</v>
      </c>
      <c r="I750" s="41" t="str">
        <f>VLOOKUP(C750,Stores!$A$200:$G$1118,4,0)</f>
        <v>Stage 7 - Installed</v>
      </c>
      <c r="J750" s="41" t="str">
        <f>VLOOKUP(C750,Stores!$A$200:$G$1118,5,0)</f>
        <v>ZKTECO</v>
      </c>
      <c r="K750" s="41" t="str">
        <f>VLOOKUP(C750,Stores!$A$200:$G$1118,6,0)</f>
        <v>CQUJ233561245</v>
      </c>
      <c r="L750" s="41" t="str">
        <f>VLOOKUP(C750,Stores!$A$200:$G$1118,7,0)</f>
        <v>192.168.1.201</v>
      </c>
      <c r="M750" s="42" t="s">
        <v>3787</v>
      </c>
    </row>
    <row r="751">
      <c r="A751" s="38" t="s">
        <v>2962</v>
      </c>
      <c r="B751" s="38" t="s">
        <v>3890</v>
      </c>
      <c r="C751" s="38" t="s">
        <v>1716</v>
      </c>
      <c r="D751" s="39" t="s">
        <v>1717</v>
      </c>
      <c r="E751" s="38" t="s">
        <v>3193</v>
      </c>
      <c r="F751" s="40"/>
      <c r="G751" s="40"/>
      <c r="H751" s="41" t="str">
        <f>VLOOKUP(C751,Stores!$A$200:$G$1118,3,0)</f>
        <v>Opened Stores</v>
      </c>
      <c r="I751" s="41" t="str">
        <f>VLOOKUP(C751,Stores!$A$200:$G$1118,4,0)</f>
        <v>Stage 7 - Installed</v>
      </c>
      <c r="J751" s="41" t="str">
        <f>VLOOKUP(C751,Stores!$A$200:$G$1118,5,0)</f>
        <v>ZKTECO</v>
      </c>
      <c r="K751" s="41" t="str">
        <f>VLOOKUP(C751,Stores!$A$200:$G$1118,6,0)</f>
        <v>CQUJ233560478</v>
      </c>
      <c r="L751" s="41" t="str">
        <f>VLOOKUP(C751,Stores!$A$200:$G$1118,7,0)</f>
        <v>192.168.1.201</v>
      </c>
      <c r="M751" s="42" t="s">
        <v>3787</v>
      </c>
    </row>
    <row r="752">
      <c r="A752" s="38" t="s">
        <v>2962</v>
      </c>
      <c r="B752" s="38" t="s">
        <v>3891</v>
      </c>
      <c r="C752" s="38" t="s">
        <v>1119</v>
      </c>
      <c r="D752" s="39" t="s">
        <v>1120</v>
      </c>
      <c r="E752" s="38" t="s">
        <v>3193</v>
      </c>
      <c r="F752" s="40"/>
      <c r="G752" s="40"/>
      <c r="H752" s="41" t="str">
        <f>VLOOKUP(C752,Stores!$A$200:$G$1118,3,0)</f>
        <v>Opened Stores</v>
      </c>
      <c r="I752" s="41" t="str">
        <f>VLOOKUP(C752,Stores!$A$200:$G$1118,4,0)</f>
        <v>Stage 7 - Installed</v>
      </c>
      <c r="J752" s="41" t="str">
        <f>VLOOKUP(C752,Stores!$A$200:$G$1118,5,0)</f>
        <v>ZKTECO</v>
      </c>
      <c r="K752" s="41" t="str">
        <f>VLOOKUP(C752,Stores!$A$200:$G$1118,6,0)</f>
        <v>A8N5221960169</v>
      </c>
      <c r="L752" s="41" t="str">
        <f>VLOOKUP(C752,Stores!$A$200:$G$1118,7,0)</f>
        <v>192.168.1.201</v>
      </c>
      <c r="M752" s="42" t="s">
        <v>3787</v>
      </c>
    </row>
    <row r="753">
      <c r="A753" s="38" t="s">
        <v>2962</v>
      </c>
      <c r="B753" s="38" t="s">
        <v>3892</v>
      </c>
      <c r="C753" s="38" t="s">
        <v>2296</v>
      </c>
      <c r="D753" s="39" t="s">
        <v>3893</v>
      </c>
      <c r="E753" s="38" t="s">
        <v>3193</v>
      </c>
      <c r="F753" s="40"/>
      <c r="G753" s="40"/>
      <c r="H753" s="41" t="str">
        <f>VLOOKUP(C753,Stores!$A$200:$G$1118,3,0)</f>
        <v>Opened Stores</v>
      </c>
      <c r="I753" s="41" t="str">
        <f>VLOOKUP(C753,Stores!$A$200:$G$1118,4,0)</f>
        <v>Stage 7 - Installed</v>
      </c>
      <c r="J753" s="41" t="str">
        <f>VLOOKUP(C753,Stores!$A$200:$G$1118,5,0)</f>
        <v>ZKTECO</v>
      </c>
      <c r="K753" s="41" t="str">
        <f>VLOOKUP(C753,Stores!$A$200:$G$1118,6,0)</f>
        <v>CQUJ233560075</v>
      </c>
      <c r="L753" s="41" t="str">
        <f>VLOOKUP(C753,Stores!$A$200:$G$1118,7,0)</f>
        <v>192.168.1.201</v>
      </c>
      <c r="M753" s="42" t="s">
        <v>3787</v>
      </c>
    </row>
    <row r="754">
      <c r="A754" s="38" t="s">
        <v>2962</v>
      </c>
      <c r="B754" s="38" t="s">
        <v>3894</v>
      </c>
      <c r="C754" s="38" t="s">
        <v>2212</v>
      </c>
      <c r="D754" s="39" t="s">
        <v>3895</v>
      </c>
      <c r="E754" s="38" t="s">
        <v>3193</v>
      </c>
      <c r="F754" s="40"/>
      <c r="G754" s="40"/>
      <c r="H754" s="41" t="str">
        <f>VLOOKUP(C754,Stores!$A$200:$G$1118,3,0)</f>
        <v>Opened Stores</v>
      </c>
      <c r="I754" s="41" t="str">
        <f>VLOOKUP(C754,Stores!$A$200:$G$1118,4,0)</f>
        <v>Stage 7 - Installed</v>
      </c>
      <c r="J754" s="41" t="str">
        <f>VLOOKUP(C754,Stores!$A$200:$G$1118,5,0)</f>
        <v>ZKTECO</v>
      </c>
      <c r="K754" s="41" t="str">
        <f>VLOOKUP(C754,Stores!$A$200:$G$1118,6,0)</f>
        <v>CQUJ233560672</v>
      </c>
      <c r="L754" s="41" t="str">
        <f>VLOOKUP(C754,Stores!$A$200:$G$1118,7,0)</f>
        <v>192.168.1.201</v>
      </c>
      <c r="M754" s="42" t="s">
        <v>3787</v>
      </c>
    </row>
    <row r="755">
      <c r="A755" s="38" t="s">
        <v>2962</v>
      </c>
      <c r="B755" s="38" t="s">
        <v>3896</v>
      </c>
      <c r="C755" s="38" t="s">
        <v>1113</v>
      </c>
      <c r="D755" s="39" t="s">
        <v>1114</v>
      </c>
      <c r="E755" s="38" t="s">
        <v>3193</v>
      </c>
      <c r="F755" s="40"/>
      <c r="G755" s="40"/>
      <c r="H755" s="41" t="str">
        <f>VLOOKUP(C755,Stores!$A$200:$G$1118,3,0)</f>
        <v>Opened Stores</v>
      </c>
      <c r="I755" s="41" t="str">
        <f>VLOOKUP(C755,Stores!$A$200:$G$1118,4,0)</f>
        <v>Stage 7 - Installed</v>
      </c>
      <c r="J755" s="41" t="str">
        <f>VLOOKUP(C755,Stores!$A$200:$G$1118,5,0)</f>
        <v>ZKTECO</v>
      </c>
      <c r="K755" s="41" t="str">
        <f>VLOOKUP(C755,Stores!$A$200:$G$1118,6,0)</f>
        <v>ZKM6245100106</v>
      </c>
      <c r="L755" s="41" t="str">
        <f>VLOOKUP(C755,Stores!$A$200:$G$1118,7,0)</f>
        <v>192.168.1.201</v>
      </c>
      <c r="M755" s="42" t="s">
        <v>3787</v>
      </c>
    </row>
    <row r="756">
      <c r="A756" s="38" t="s">
        <v>2962</v>
      </c>
      <c r="B756" s="38" t="s">
        <v>3897</v>
      </c>
      <c r="C756" s="38" t="s">
        <v>1045</v>
      </c>
      <c r="D756" s="39" t="s">
        <v>1046</v>
      </c>
      <c r="E756" s="38" t="s">
        <v>3193</v>
      </c>
      <c r="F756" s="40"/>
      <c r="G756" s="40"/>
      <c r="H756" s="41" t="str">
        <f>VLOOKUP(C756,Stores!$A$200:$G$1118,3,0)</f>
        <v>Opened Stores</v>
      </c>
      <c r="I756" s="41" t="str">
        <f>VLOOKUP(C756,Stores!$A$200:$G$1118,4,0)</f>
        <v>Stage 7 - Installed</v>
      </c>
      <c r="J756" s="41" t="str">
        <f>VLOOKUP(C756,Stores!$A$200:$G$1118,5,0)</f>
        <v>ZKTECO</v>
      </c>
      <c r="K756" s="41" t="str">
        <f>VLOOKUP(C756,Stores!$A$200:$G$1118,6,0)</f>
        <v>A8N5221860513</v>
      </c>
      <c r="L756" s="41" t="str">
        <f>VLOOKUP(C756,Stores!$A$200:$G$1118,7,0)</f>
        <v>192.168.1.201</v>
      </c>
      <c r="M756" s="42" t="s">
        <v>3787</v>
      </c>
    </row>
    <row r="757">
      <c r="A757" s="38" t="s">
        <v>2962</v>
      </c>
      <c r="B757" s="38" t="s">
        <v>3898</v>
      </c>
      <c r="C757" s="38" t="s">
        <v>1663</v>
      </c>
      <c r="D757" s="39" t="s">
        <v>1664</v>
      </c>
      <c r="E757" s="38" t="s">
        <v>3193</v>
      </c>
      <c r="F757" s="40"/>
      <c r="G757" s="40"/>
      <c r="H757" s="41" t="str">
        <f>VLOOKUP(C757,Stores!$A$200:$G$1118,3,0)</f>
        <v>Opened Stores</v>
      </c>
      <c r="I757" s="41" t="str">
        <f>VLOOKUP(C757,Stores!$A$200:$G$1118,4,0)</f>
        <v>Stage 7 - Installed</v>
      </c>
      <c r="J757" s="41" t="str">
        <f>VLOOKUP(C757,Stores!$A$200:$G$1118,5,0)</f>
        <v>ZKTECO</v>
      </c>
      <c r="K757" s="41" t="str">
        <f>VLOOKUP(C757,Stores!$A$200:$G$1118,6,0)</f>
        <v>AEYU0823560288</v>
      </c>
      <c r="L757" s="41" t="str">
        <f>VLOOKUP(C757,Stores!$A$200:$G$1118,7,0)</f>
        <v>192.168.1.201</v>
      </c>
      <c r="M757" s="42" t="s">
        <v>3787</v>
      </c>
    </row>
    <row r="758">
      <c r="A758" s="38" t="s">
        <v>2962</v>
      </c>
      <c r="B758" s="38" t="s">
        <v>3899</v>
      </c>
      <c r="C758" s="38" t="s">
        <v>2438</v>
      </c>
      <c r="D758" s="39" t="s">
        <v>3900</v>
      </c>
      <c r="E758" s="38" t="s">
        <v>3193</v>
      </c>
      <c r="F758" s="40"/>
      <c r="G758" s="40"/>
      <c r="H758" s="41" t="str">
        <f>VLOOKUP(C758,Stores!$A$200:$G$1118,3,0)</f>
        <v>Opened Stores</v>
      </c>
      <c r="I758" s="41" t="str">
        <f>VLOOKUP(C758,Stores!$A$200:$G$1118,4,0)</f>
        <v>Stage 7 - Installed</v>
      </c>
      <c r="J758" s="41" t="str">
        <f>VLOOKUP(C758,Stores!$A$200:$G$1118,5,0)</f>
        <v>ZKTECO</v>
      </c>
      <c r="K758" s="41" t="str">
        <f>VLOOKUP(C758,Stores!$A$200:$G$1118,6,0)</f>
        <v>ZKM6245100042</v>
      </c>
      <c r="L758" s="41" t="str">
        <f>VLOOKUP(C758,Stores!$A$200:$G$1118,7,0)</f>
        <v>192.168.1.201</v>
      </c>
      <c r="M758" s="42" t="s">
        <v>3787</v>
      </c>
    </row>
    <row r="759">
      <c r="A759" s="38" t="s">
        <v>2962</v>
      </c>
      <c r="B759" s="38" t="s">
        <v>3901</v>
      </c>
      <c r="C759" s="38" t="s">
        <v>2757</v>
      </c>
      <c r="D759" s="39" t="s">
        <v>3902</v>
      </c>
      <c r="E759" s="38" t="s">
        <v>3193</v>
      </c>
      <c r="F759" s="40"/>
      <c r="G759" s="40"/>
      <c r="H759" s="41" t="str">
        <f>VLOOKUP(C759,Stores!$A$200:$G$1118,3,0)</f>
        <v>Opened Stores</v>
      </c>
      <c r="I759" s="41" t="str">
        <f>VLOOKUP(C759,Stores!$A$200:$G$1118,4,0)</f>
        <v>Stage 7 - Installed</v>
      </c>
      <c r="J759" s="41" t="str">
        <f>VLOOKUP(C759,Stores!$A$200:$G$1118,5,0)</f>
        <v>ZKTECO</v>
      </c>
      <c r="K759" s="41" t="str">
        <f>VLOOKUP(C759,Stores!$A$200:$G$1118,6,0)</f>
        <v>ZKM6251700051</v>
      </c>
      <c r="L759" s="41" t="str">
        <f>VLOOKUP(C759,Stores!$A$200:$G$1118,7,0)</f>
        <v>192.168.1.201</v>
      </c>
      <c r="M759" s="42" t="s">
        <v>3787</v>
      </c>
    </row>
    <row r="760">
      <c r="A760" s="38" t="s">
        <v>2962</v>
      </c>
      <c r="B760" s="38" t="s">
        <v>3903</v>
      </c>
      <c r="C760" s="38" t="s">
        <v>2556</v>
      </c>
      <c r="D760" s="39" t="s">
        <v>3904</v>
      </c>
      <c r="E760" s="38" t="s">
        <v>3193</v>
      </c>
      <c r="F760" s="40"/>
      <c r="G760" s="40"/>
      <c r="H760" s="41" t="str">
        <f>VLOOKUP(C760,Stores!$A$200:$G$1118,3,0)</f>
        <v>Opened Stores</v>
      </c>
      <c r="I760" s="41" t="str">
        <f>VLOOKUP(C760,Stores!$A$200:$G$1118,4,0)</f>
        <v>Stage 7 - Installed</v>
      </c>
      <c r="J760" s="41" t="str">
        <f>VLOOKUP(C760,Stores!$A$200:$G$1118,5,0)</f>
        <v>ZKTECO</v>
      </c>
      <c r="K760" s="41" t="str">
        <f>VLOOKUP(C760,Stores!$A$200:$G$1118,6,0)</f>
        <v>ZKM6251700413</v>
      </c>
      <c r="L760" s="41" t="str">
        <f>VLOOKUP(C760,Stores!$A$200:$G$1118,7,0)</f>
        <v>192.168.1.201</v>
      </c>
      <c r="M760" s="42" t="s">
        <v>3787</v>
      </c>
    </row>
    <row r="761">
      <c r="A761" s="38" t="s">
        <v>2962</v>
      </c>
      <c r="B761" s="38" t="s">
        <v>3905</v>
      </c>
      <c r="C761" s="38" t="s">
        <v>2236</v>
      </c>
      <c r="D761" s="39" t="s">
        <v>3906</v>
      </c>
      <c r="E761" s="38" t="s">
        <v>3193</v>
      </c>
      <c r="F761" s="40"/>
      <c r="G761" s="40"/>
      <c r="H761" s="41" t="str">
        <f>VLOOKUP(C761,Stores!$A$200:$G$1118,3,0)</f>
        <v>Opened Stores</v>
      </c>
      <c r="I761" s="41" t="str">
        <f>VLOOKUP(C761,Stores!$A$200:$G$1118,4,0)</f>
        <v>Stage 7 - Installed</v>
      </c>
      <c r="J761" s="41" t="str">
        <f>VLOOKUP(C761,Stores!$A$200:$G$1118,5,0)</f>
        <v>ZKTECO</v>
      </c>
      <c r="K761" s="41" t="str">
        <f>VLOOKUP(C761,Stores!$A$200:$G$1118,6,0)</f>
        <v>CQUJ233560035</v>
      </c>
      <c r="L761" s="41" t="str">
        <f>VLOOKUP(C761,Stores!$A$200:$G$1118,7,0)</f>
        <v>192.168.1.201</v>
      </c>
      <c r="M761" s="42" t="s">
        <v>3787</v>
      </c>
    </row>
    <row r="762">
      <c r="A762" s="38" t="s">
        <v>2962</v>
      </c>
      <c r="B762" s="38" t="s">
        <v>3907</v>
      </c>
      <c r="C762" s="38" t="s">
        <v>1695</v>
      </c>
      <c r="D762" s="39" t="s">
        <v>1696</v>
      </c>
      <c r="E762" s="38" t="s">
        <v>3193</v>
      </c>
      <c r="F762" s="40"/>
      <c r="G762" s="40"/>
      <c r="H762" s="41" t="str">
        <f>VLOOKUP(C762,Stores!$A$200:$G$1118,3,0)</f>
        <v>Opened Stores</v>
      </c>
      <c r="I762" s="41" t="str">
        <f>VLOOKUP(C762,Stores!$A$200:$G$1118,4,0)</f>
        <v>Stage 7 - Installed</v>
      </c>
      <c r="J762" s="41" t="str">
        <f>VLOOKUP(C762,Stores!$A$200:$G$1118,5,0)</f>
        <v>ZKTECO</v>
      </c>
      <c r="K762" s="41" t="str">
        <f>VLOOKUP(C762,Stores!$A$200:$G$1118,6,0)</f>
        <v>AEYU082360269</v>
      </c>
      <c r="L762" s="41" t="str">
        <f>VLOOKUP(C762,Stores!$A$200:$G$1118,7,0)</f>
        <v>192.168.1.201</v>
      </c>
      <c r="M762" s="42" t="s">
        <v>3787</v>
      </c>
    </row>
    <row r="763">
      <c r="A763" s="38" t="s">
        <v>2962</v>
      </c>
      <c r="B763" s="38" t="s">
        <v>3908</v>
      </c>
      <c r="C763" s="38" t="s">
        <v>1740</v>
      </c>
      <c r="D763" s="39" t="s">
        <v>1741</v>
      </c>
      <c r="E763" s="38" t="s">
        <v>3193</v>
      </c>
      <c r="F763" s="40"/>
      <c r="G763" s="40"/>
      <c r="H763" s="41" t="str">
        <f>VLOOKUP(C763,Stores!$A$200:$G$1118,3,0)</f>
        <v>Opened Stores</v>
      </c>
      <c r="I763" s="41" t="str">
        <f>VLOOKUP(C763,Stores!$A$200:$G$1118,4,0)</f>
        <v>Stage 7 - Installed</v>
      </c>
      <c r="J763" s="41" t="str">
        <f>VLOOKUP(C763,Stores!$A$200:$G$1118,5,0)</f>
        <v>ZKTECO</v>
      </c>
      <c r="K763" s="41" t="str">
        <f>VLOOKUP(C763,Stores!$A$200:$G$1118,6,0)</f>
        <v>CQUJ233560824</v>
      </c>
      <c r="L763" s="41" t="str">
        <f>VLOOKUP(C763,Stores!$A$200:$G$1118,7,0)</f>
        <v>192.168.1.201</v>
      </c>
      <c r="M763" s="42" t="s">
        <v>3787</v>
      </c>
    </row>
    <row r="764">
      <c r="A764" s="38" t="s">
        <v>2962</v>
      </c>
      <c r="B764" s="38" t="s">
        <v>3909</v>
      </c>
      <c r="C764" s="38" t="s">
        <v>652</v>
      </c>
      <c r="D764" s="39" t="s">
        <v>653</v>
      </c>
      <c r="E764" s="38" t="s">
        <v>3193</v>
      </c>
      <c r="F764" s="40"/>
      <c r="G764" s="40"/>
      <c r="H764" s="41" t="str">
        <f>VLOOKUP(C764,Stores!$A$200:$G$1118,3,0)</f>
        <v>Opened Stores</v>
      </c>
      <c r="I764" s="41" t="str">
        <f>VLOOKUP(C764,Stores!$A$200:$G$1118,4,0)</f>
        <v>Stage 7 - Installed</v>
      </c>
      <c r="J764" s="41" t="str">
        <f>VLOOKUP(C764,Stores!$A$200:$G$1118,5,0)</f>
        <v>FINGERTEC</v>
      </c>
      <c r="K764" s="41">
        <f>VLOOKUP(C764,Stores!$A$200:$G$1118,6,0)</f>
        <v>7421966</v>
      </c>
      <c r="L764" s="41" t="str">
        <f>VLOOKUP(C764,Stores!$A$200:$G$1118,7,0)</f>
        <v>192.168.1.201</v>
      </c>
      <c r="M764" s="42" t="s">
        <v>3787</v>
      </c>
    </row>
    <row r="765">
      <c r="A765" s="38" t="s">
        <v>2962</v>
      </c>
      <c r="B765" s="38" t="s">
        <v>3910</v>
      </c>
      <c r="C765" s="38" t="s">
        <v>1255</v>
      </c>
      <c r="D765" s="39" t="s">
        <v>1256</v>
      </c>
      <c r="E765" s="38" t="s">
        <v>3193</v>
      </c>
      <c r="F765" s="40"/>
      <c r="G765" s="40"/>
      <c r="H765" s="41" t="str">
        <f>VLOOKUP(C765,Stores!$A$200:$G$1118,3,0)</f>
        <v>Opened Stores</v>
      </c>
      <c r="I765" s="41" t="str">
        <f>VLOOKUP(C765,Stores!$A$200:$G$1118,4,0)</f>
        <v>Stage 7 - Installed</v>
      </c>
      <c r="J765" s="41" t="str">
        <f>VLOOKUP(C765,Stores!$A$200:$G$1118,5,0)</f>
        <v>ZKTECO</v>
      </c>
      <c r="K765" s="41" t="str">
        <f>VLOOKUP(C765,Stores!$A$200:$G$1118,6,0)</f>
        <v>AKDG012351685</v>
      </c>
      <c r="L765" s="41" t="str">
        <f>VLOOKUP(C765,Stores!$A$200:$G$1118,7,0)</f>
        <v>192.168.1.201</v>
      </c>
      <c r="M765" s="42" t="s">
        <v>3787</v>
      </c>
    </row>
    <row r="766">
      <c r="A766" s="38" t="s">
        <v>2962</v>
      </c>
      <c r="B766" s="38" t="s">
        <v>3911</v>
      </c>
      <c r="C766" s="38" t="s">
        <v>2287</v>
      </c>
      <c r="D766" s="39" t="s">
        <v>3912</v>
      </c>
      <c r="E766" s="38" t="s">
        <v>3193</v>
      </c>
      <c r="F766" s="40"/>
      <c r="G766" s="40"/>
      <c r="H766" s="41" t="str">
        <f>VLOOKUP(C766,Stores!$A$200:$G$1118,3,0)</f>
        <v>Opened Stores</v>
      </c>
      <c r="I766" s="41" t="str">
        <f>VLOOKUP(C766,Stores!$A$200:$G$1118,4,0)</f>
        <v>Stage 7 - Installed</v>
      </c>
      <c r="J766" s="41" t="str">
        <f>VLOOKUP(C766,Stores!$A$200:$G$1118,5,0)</f>
        <v>ZKTECO</v>
      </c>
      <c r="K766" s="41" t="str">
        <f>VLOOKUP(C766,Stores!$A$200:$G$1118,6,0)</f>
        <v>CQUJ233560439</v>
      </c>
      <c r="L766" s="41" t="str">
        <f>VLOOKUP(C766,Stores!$A$200:$G$1118,7,0)</f>
        <v>192.168.1.201</v>
      </c>
      <c r="M766" s="42" t="s">
        <v>3787</v>
      </c>
    </row>
    <row r="767">
      <c r="A767" s="38" t="s">
        <v>2962</v>
      </c>
      <c r="B767" s="38" t="s">
        <v>3913</v>
      </c>
      <c r="C767" s="38" t="s">
        <v>949</v>
      </c>
      <c r="D767" s="39" t="s">
        <v>950</v>
      </c>
      <c r="E767" s="38" t="s">
        <v>3193</v>
      </c>
      <c r="F767" s="40"/>
      <c r="G767" s="40"/>
      <c r="H767" s="41" t="str">
        <f>VLOOKUP(C767,Stores!$A$200:$G$1118,3,0)</f>
        <v>Opened Stores</v>
      </c>
      <c r="I767" s="41" t="str">
        <f>VLOOKUP(C767,Stores!$A$200:$G$1118,4,0)</f>
        <v>Stage 7 - Installed</v>
      </c>
      <c r="J767" s="41" t="str">
        <f>VLOOKUP(C767,Stores!$A$200:$G$1118,5,0)</f>
        <v>FINGERTEC</v>
      </c>
      <c r="K767" s="41">
        <f>VLOOKUP(C767,Stores!$A$200:$G$1118,6,0)</f>
        <v>7425890</v>
      </c>
      <c r="L767" s="41" t="str">
        <f>VLOOKUP(C767,Stores!$A$200:$G$1118,7,0)</f>
        <v>192.168.1.43</v>
      </c>
      <c r="M767" s="42" t="s">
        <v>3787</v>
      </c>
    </row>
    <row r="768">
      <c r="A768" s="38" t="s">
        <v>2962</v>
      </c>
      <c r="B768" s="38" t="s">
        <v>3914</v>
      </c>
      <c r="C768" s="38" t="s">
        <v>1800</v>
      </c>
      <c r="D768" s="39" t="s">
        <v>1801</v>
      </c>
      <c r="E768" s="38" t="s">
        <v>3081</v>
      </c>
      <c r="F768" s="40" t="s">
        <v>3795</v>
      </c>
      <c r="G768" s="45">
        <v>9.98974877E9</v>
      </c>
      <c r="H768" s="41" t="str">
        <f>VLOOKUP(C768,Stores!$A$200:$G$1118,3,0)</f>
        <v>Opened Stores</v>
      </c>
      <c r="I768" s="41" t="str">
        <f>VLOOKUP(C768,Stores!$A$200:$G$1118,4,0)</f>
        <v>Stage 7 - Installed</v>
      </c>
      <c r="J768" s="41" t="str">
        <f>VLOOKUP(C768,Stores!$A$200:$G$1118,5,0)</f>
        <v>ZKTECO</v>
      </c>
      <c r="K768" s="41" t="str">
        <f>VLOOKUP(C768,Stores!$A$200:$G$1118,6,0)</f>
        <v>CQUJ233560544</v>
      </c>
      <c r="L768" s="41" t="str">
        <f>VLOOKUP(C768,Stores!$A$200:$G$1118,7,0)</f>
        <v>192.168.1.201</v>
      </c>
      <c r="M768" s="42" t="s">
        <v>3915</v>
      </c>
    </row>
    <row r="769">
      <c r="A769" s="38" t="s">
        <v>2962</v>
      </c>
      <c r="B769" s="38" t="s">
        <v>3916</v>
      </c>
      <c r="C769" s="38" t="s">
        <v>825</v>
      </c>
      <c r="D769" s="39" t="s">
        <v>826</v>
      </c>
      <c r="E769" s="38" t="s">
        <v>3081</v>
      </c>
      <c r="F769" s="40" t="s">
        <v>3085</v>
      </c>
      <c r="G769" s="45">
        <v>9.171894643E9</v>
      </c>
      <c r="H769" s="41" t="str">
        <f>VLOOKUP(C769,Stores!$A$200:$G$1118,3,0)</f>
        <v>Opened Stores</v>
      </c>
      <c r="I769" s="41" t="str">
        <f>VLOOKUP(C769,Stores!$A$200:$G$1118,4,0)</f>
        <v>Stage 7 - Installed</v>
      </c>
      <c r="J769" s="41" t="str">
        <f>VLOOKUP(C769,Stores!$A$200:$G$1118,5,0)</f>
        <v>FINGERTEC</v>
      </c>
      <c r="K769" s="41">
        <f>VLOOKUP(C769,Stores!$A$200:$G$1118,6,0)</f>
        <v>7424187</v>
      </c>
      <c r="L769" s="41" t="str">
        <f>VLOOKUP(C769,Stores!$A$200:$G$1118,7,0)</f>
        <v>192.168.1.201</v>
      </c>
      <c r="M769" s="42" t="s">
        <v>3915</v>
      </c>
    </row>
    <row r="770">
      <c r="A770" s="38" t="s">
        <v>2962</v>
      </c>
      <c r="B770" s="38" t="s">
        <v>3917</v>
      </c>
      <c r="C770" s="38" t="s">
        <v>2835</v>
      </c>
      <c r="D770" s="39" t="s">
        <v>3918</v>
      </c>
      <c r="E770" s="38" t="s">
        <v>3081</v>
      </c>
      <c r="F770" s="40" t="s">
        <v>3789</v>
      </c>
      <c r="G770" s="45">
        <v>9.177056216E9</v>
      </c>
      <c r="H770" s="41" t="str">
        <f>VLOOKUP(C770,Stores!$A$200:$G$1118,3,0)</f>
        <v>Opened Stores</v>
      </c>
      <c r="I770" s="41" t="str">
        <f>VLOOKUP(C770,Stores!$A$200:$G$1118,4,0)</f>
        <v>Stage 7 - Installed</v>
      </c>
      <c r="J770" s="41" t="str">
        <f>VLOOKUP(C770,Stores!$A$200:$G$1118,5,0)</f>
        <v>ZKTECO</v>
      </c>
      <c r="K770" s="41" t="str">
        <f>VLOOKUP(C770,Stores!$A$200:$G$1118,6,0)</f>
        <v>ZKM6251700033</v>
      </c>
      <c r="L770" s="41" t="str">
        <f>VLOOKUP(C770,Stores!$A$200:$G$1118,7,0)</f>
        <v>192.168.1.201</v>
      </c>
      <c r="M770" s="42" t="s">
        <v>3915</v>
      </c>
    </row>
    <row r="771">
      <c r="A771" s="38" t="s">
        <v>2962</v>
      </c>
      <c r="B771" s="38" t="s">
        <v>3919</v>
      </c>
      <c r="C771" s="38" t="s">
        <v>510</v>
      </c>
      <c r="D771" s="39" t="s">
        <v>511</v>
      </c>
      <c r="E771" s="38" t="s">
        <v>3081</v>
      </c>
      <c r="F771" s="40" t="s">
        <v>3101</v>
      </c>
      <c r="G771" s="45">
        <v>9.171610089E9</v>
      </c>
      <c r="H771" s="41" t="str">
        <f>VLOOKUP(C771,Stores!$A$200:$G$1118,3,0)</f>
        <v>Opened Stores</v>
      </c>
      <c r="I771" s="41" t="str">
        <f>VLOOKUP(C771,Stores!$A$200:$G$1118,4,0)</f>
        <v>Stage 7 - Installed</v>
      </c>
      <c r="J771" s="41" t="str">
        <f>VLOOKUP(C771,Stores!$A$200:$G$1118,5,0)</f>
        <v>FINGERTEC</v>
      </c>
      <c r="K771" s="41">
        <f>VLOOKUP(C771,Stores!$A$200:$G$1118,6,0)</f>
        <v>7417487</v>
      </c>
      <c r="L771" s="41" t="str">
        <f>VLOOKUP(C771,Stores!$A$200:$G$1118,7,0)</f>
        <v>192.168.1.201</v>
      </c>
      <c r="M771" s="42" t="s">
        <v>3915</v>
      </c>
    </row>
    <row r="772">
      <c r="A772" s="38" t="s">
        <v>2962</v>
      </c>
      <c r="B772" s="38" t="s">
        <v>3920</v>
      </c>
      <c r="C772" s="38" t="s">
        <v>487</v>
      </c>
      <c r="D772" s="39" t="s">
        <v>488</v>
      </c>
      <c r="E772" s="38" t="s">
        <v>3081</v>
      </c>
      <c r="F772" s="40" t="s">
        <v>3795</v>
      </c>
      <c r="G772" s="45">
        <v>9.98974877E9</v>
      </c>
      <c r="H772" s="41" t="str">
        <f>VLOOKUP(C772,Stores!$A$200:$G$1118,3,0)</f>
        <v>Opened Stores</v>
      </c>
      <c r="I772" s="41" t="str">
        <f>VLOOKUP(C772,Stores!$A$200:$G$1118,4,0)</f>
        <v>Stage 7 - Installed</v>
      </c>
      <c r="J772" s="41" t="str">
        <f>VLOOKUP(C772,Stores!$A$200:$G$1118,5,0)</f>
        <v>FINGERTEC</v>
      </c>
      <c r="K772" s="41">
        <f>VLOOKUP(C772,Stores!$A$200:$G$1118,6,0)</f>
        <v>7417475</v>
      </c>
      <c r="L772" s="41" t="str">
        <f>VLOOKUP(C772,Stores!$A$200:$G$1118,7,0)</f>
        <v>192.168.1.201</v>
      </c>
      <c r="M772" s="42" t="s">
        <v>3915</v>
      </c>
    </row>
    <row r="773">
      <c r="A773" s="38" t="s">
        <v>2962</v>
      </c>
      <c r="B773" s="38" t="s">
        <v>3921</v>
      </c>
      <c r="C773" s="38" t="s">
        <v>1540</v>
      </c>
      <c r="D773" s="39" t="s">
        <v>1541</v>
      </c>
      <c r="E773" s="38" t="s">
        <v>3081</v>
      </c>
      <c r="F773" s="40" t="s">
        <v>3922</v>
      </c>
      <c r="G773" s="45">
        <v>9.171610118E9</v>
      </c>
      <c r="H773" s="41" t="str">
        <f>VLOOKUP(C773,Stores!$A$200:$G$1118,3,0)</f>
        <v>Opened Stores</v>
      </c>
      <c r="I773" s="41" t="str">
        <f>VLOOKUP(C773,Stores!$A$200:$G$1118,4,0)</f>
        <v>Stage 7 - Installed</v>
      </c>
      <c r="J773" s="41" t="str">
        <f>VLOOKUP(C773,Stores!$A$200:$G$1118,5,0)</f>
        <v>ZKTECO</v>
      </c>
      <c r="K773" s="41" t="str">
        <f>VLOOKUP(C773,Stores!$A$200:$G$1118,6,0)</f>
        <v>AEYU082360210</v>
      </c>
      <c r="L773" s="41" t="str">
        <f>VLOOKUP(C773,Stores!$A$200:$G$1118,7,0)</f>
        <v>192.168.1.201</v>
      </c>
      <c r="M773" s="42" t="s">
        <v>3915</v>
      </c>
    </row>
    <row r="774">
      <c r="A774" s="38" t="s">
        <v>2962</v>
      </c>
      <c r="B774" s="38" t="s">
        <v>3923</v>
      </c>
      <c r="C774" s="38" t="s">
        <v>1143</v>
      </c>
      <c r="D774" s="39" t="s">
        <v>1144</v>
      </c>
      <c r="E774" s="38" t="s">
        <v>3081</v>
      </c>
      <c r="F774" s="40" t="s">
        <v>3799</v>
      </c>
      <c r="G774" s="45">
        <v>9.989599745E9</v>
      </c>
      <c r="H774" s="41" t="str">
        <f>VLOOKUP(C774,Stores!$A$200:$G$1118,3,0)</f>
        <v>Opened Stores</v>
      </c>
      <c r="I774" s="41" t="str">
        <f>VLOOKUP(C774,Stores!$A$200:$G$1118,4,0)</f>
        <v>Stage 7 - Installed</v>
      </c>
      <c r="J774" s="41" t="str">
        <f>VLOOKUP(C774,Stores!$A$200:$G$1118,5,0)</f>
        <v>ZKTECO</v>
      </c>
      <c r="K774" s="41" t="str">
        <f>VLOOKUP(C774,Stores!$A$200:$G$1118,6,0)</f>
        <v>ZKM6245100215</v>
      </c>
      <c r="L774" s="41" t="str">
        <f>VLOOKUP(C774,Stores!$A$200:$G$1118,7,0)</f>
        <v>192.168.1.201</v>
      </c>
      <c r="M774" s="42" t="s">
        <v>3915</v>
      </c>
    </row>
    <row r="775">
      <c r="A775" s="38" t="s">
        <v>2962</v>
      </c>
      <c r="B775" s="38" t="s">
        <v>3924</v>
      </c>
      <c r="C775" s="38" t="s">
        <v>2841</v>
      </c>
      <c r="D775" s="39" t="s">
        <v>2842</v>
      </c>
      <c r="E775" s="38" t="s">
        <v>3081</v>
      </c>
      <c r="F775" s="40" t="s">
        <v>3925</v>
      </c>
      <c r="G775" s="45">
        <v>9.190015299E9</v>
      </c>
      <c r="H775" s="41" t="str">
        <f>VLOOKUP(C775,Stores!$A$200:$G$1118,3,0)</f>
        <v>Opened Stores</v>
      </c>
      <c r="I775" s="41" t="str">
        <f>VLOOKUP(C775,Stores!$A$200:$G$1118,4,0)</f>
        <v>Stage 7 - Installed</v>
      </c>
      <c r="J775" s="41" t="str">
        <f>VLOOKUP(C775,Stores!$A$200:$G$1118,5,0)</f>
        <v>ZKTECO</v>
      </c>
      <c r="K775" s="41" t="str">
        <f>VLOOKUP(C775,Stores!$A$200:$G$1118,6,0)</f>
        <v>PAS4252900279</v>
      </c>
      <c r="L775" s="41" t="str">
        <f>VLOOKUP(C775,Stores!$A$200:$G$1118,7,0)</f>
        <v>192.168.1.201</v>
      </c>
      <c r="M775" s="42" t="s">
        <v>3915</v>
      </c>
    </row>
    <row r="776">
      <c r="A776" s="38" t="s">
        <v>2962</v>
      </c>
      <c r="B776" s="38" t="s">
        <v>3926</v>
      </c>
      <c r="C776" s="38" t="s">
        <v>989</v>
      </c>
      <c r="D776" s="39" t="s">
        <v>990</v>
      </c>
      <c r="E776" s="38" t="s">
        <v>3081</v>
      </c>
      <c r="F776" s="40" t="s">
        <v>3805</v>
      </c>
      <c r="G776" s="45">
        <v>9.989602091E9</v>
      </c>
      <c r="H776" s="41" t="str">
        <f>VLOOKUP(C776,Stores!$A$200:$G$1118,3,0)</f>
        <v>Opened Stores</v>
      </c>
      <c r="I776" s="41" t="str">
        <f>VLOOKUP(C776,Stores!$A$200:$G$1118,4,0)</f>
        <v>Stage 7 - Installed</v>
      </c>
      <c r="J776" s="41" t="str">
        <f>VLOOKUP(C776,Stores!$A$200:$G$1118,5,0)</f>
        <v>FINGERTEC</v>
      </c>
      <c r="K776" s="41">
        <f>VLOOKUP(C776,Stores!$A$200:$G$1118,6,0)</f>
        <v>7425674</v>
      </c>
      <c r="L776" s="41" t="str">
        <f>VLOOKUP(C776,Stores!$A$200:$G$1118,7,0)</f>
        <v>192.168.1.201</v>
      </c>
      <c r="M776" s="42" t="s">
        <v>3915</v>
      </c>
    </row>
    <row r="777">
      <c r="A777" s="38" t="s">
        <v>2962</v>
      </c>
      <c r="B777" s="38" t="s">
        <v>3927</v>
      </c>
      <c r="C777" s="38" t="s">
        <v>2910</v>
      </c>
      <c r="D777" s="39" t="s">
        <v>2911</v>
      </c>
      <c r="E777" s="38" t="s">
        <v>3081</v>
      </c>
      <c r="F777" s="40" t="s">
        <v>3928</v>
      </c>
      <c r="G777" s="45">
        <v>6.39171894684E11</v>
      </c>
      <c r="H777" s="41" t="str">
        <f>VLOOKUP(C777,Stores!$A$200:$G$1118,3,0)</f>
        <v>Opened Stores</v>
      </c>
      <c r="I777" s="41" t="str">
        <f>VLOOKUP(C777,Stores!$A$200:$G$1118,4,0)</f>
        <v>Stage 7 - Installed</v>
      </c>
      <c r="J777" s="41" t="str">
        <f>VLOOKUP(C777,Stores!$A$200:$G$1118,5,0)</f>
        <v>ZKTECO</v>
      </c>
      <c r="K777" s="41" t="str">
        <f>VLOOKUP(C777,Stores!$A$200:$G$1118,6,0)</f>
        <v>PAS4252500078</v>
      </c>
      <c r="L777" s="41" t="str">
        <f>VLOOKUP(C777,Stores!$A$200:$G$1118,7,0)</f>
        <v>192.168.1.201</v>
      </c>
      <c r="M777" s="42" t="s">
        <v>3915</v>
      </c>
    </row>
    <row r="778">
      <c r="A778" s="38" t="s">
        <v>2962</v>
      </c>
      <c r="B778" s="38" t="s">
        <v>3929</v>
      </c>
      <c r="C778" s="38" t="s">
        <v>1066</v>
      </c>
      <c r="D778" s="39" t="s">
        <v>1067</v>
      </c>
      <c r="E778" s="38" t="s">
        <v>3081</v>
      </c>
      <c r="F778" s="40" t="s">
        <v>3101</v>
      </c>
      <c r="G778" s="45">
        <v>9.171610089E9</v>
      </c>
      <c r="H778" s="41" t="str">
        <f>VLOOKUP(C778,Stores!$A$200:$G$1118,3,0)</f>
        <v>Opened Stores</v>
      </c>
      <c r="I778" s="41" t="str">
        <f>VLOOKUP(C778,Stores!$A$200:$G$1118,4,0)</f>
        <v>Stage 7 - Installed</v>
      </c>
      <c r="J778" s="41" t="str">
        <f>VLOOKUP(C778,Stores!$A$200:$G$1118,5,0)</f>
        <v>ZKTECO</v>
      </c>
      <c r="K778" s="41" t="str">
        <f>VLOOKUP(C778,Stores!$A$200:$G$1118,6,0)</f>
        <v>A8N5221960315</v>
      </c>
      <c r="L778" s="41" t="str">
        <f>VLOOKUP(C778,Stores!$A$200:$G$1118,7,0)</f>
        <v>192.168.1.201</v>
      </c>
      <c r="M778" s="42" t="s">
        <v>3915</v>
      </c>
    </row>
    <row r="779">
      <c r="A779" s="38" t="s">
        <v>2962</v>
      </c>
      <c r="B779" s="38" t="s">
        <v>3930</v>
      </c>
      <c r="C779" s="38" t="s">
        <v>2634</v>
      </c>
      <c r="D779" s="39" t="s">
        <v>2635</v>
      </c>
      <c r="E779" s="38" t="s">
        <v>3081</v>
      </c>
      <c r="F779" s="40" t="s">
        <v>3928</v>
      </c>
      <c r="G779" s="45">
        <v>6.39171894684E11</v>
      </c>
      <c r="H779" s="41" t="str">
        <f>VLOOKUP(C779,Stores!$A$200:$G$1118,3,0)</f>
        <v>Opened Stores</v>
      </c>
      <c r="I779" s="41" t="str">
        <f>VLOOKUP(C779,Stores!$A$200:$G$1118,4,0)</f>
        <v>Stage 7 - Installed</v>
      </c>
      <c r="J779" s="41" t="str">
        <f>VLOOKUP(C779,Stores!$A$200:$G$1118,5,0)</f>
        <v>ZKTECO</v>
      </c>
      <c r="K779" s="41" t="str">
        <f>VLOOKUP(C779,Stores!$A$200:$G$1118,6,0)</f>
        <v>ZKM6251100012</v>
      </c>
      <c r="L779" s="41" t="str">
        <f>VLOOKUP(C779,Stores!$A$200:$G$1118,7,0)</f>
        <v>192.168.1.201</v>
      </c>
      <c r="M779" s="42" t="s">
        <v>3915</v>
      </c>
    </row>
    <row r="780">
      <c r="A780" s="38" t="s">
        <v>2962</v>
      </c>
      <c r="B780" s="38" t="s">
        <v>3931</v>
      </c>
      <c r="C780" s="38" t="s">
        <v>590</v>
      </c>
      <c r="D780" s="39" t="s">
        <v>591</v>
      </c>
      <c r="E780" s="38" t="s">
        <v>3081</v>
      </c>
      <c r="F780" s="40" t="s">
        <v>3791</v>
      </c>
      <c r="G780" s="45">
        <v>9.992237545E9</v>
      </c>
      <c r="H780" s="41" t="str">
        <f>VLOOKUP(C780,Stores!$A$200:$G$1118,3,0)</f>
        <v>Opened Stores</v>
      </c>
      <c r="I780" s="41" t="str">
        <f>VLOOKUP(C780,Stores!$A$200:$G$1118,4,0)</f>
        <v>Stage 7 - Installed</v>
      </c>
      <c r="J780" s="41" t="str">
        <f>VLOOKUP(C780,Stores!$A$200:$G$1118,5,0)</f>
        <v>FINGERTEC</v>
      </c>
      <c r="K780" s="41">
        <f>VLOOKUP(C780,Stores!$A$200:$G$1118,6,0)</f>
        <v>7421300</v>
      </c>
      <c r="L780" s="41" t="str">
        <f>VLOOKUP(C780,Stores!$A$200:$G$1118,7,0)</f>
        <v>192.168.1.9</v>
      </c>
      <c r="M780" s="42" t="s">
        <v>3915</v>
      </c>
    </row>
    <row r="781">
      <c r="A781" s="38" t="s">
        <v>2962</v>
      </c>
      <c r="B781" s="38" t="s">
        <v>3932</v>
      </c>
      <c r="C781" s="38" t="s">
        <v>2721</v>
      </c>
      <c r="D781" s="39" t="s">
        <v>2722</v>
      </c>
      <c r="E781" s="38" t="s">
        <v>3081</v>
      </c>
      <c r="F781" s="40" t="s">
        <v>3805</v>
      </c>
      <c r="G781" s="45">
        <v>9.989602091E9</v>
      </c>
      <c r="H781" s="41" t="str">
        <f>VLOOKUP(C781,Stores!$A$200:$G$1118,3,0)</f>
        <v>Opened Stores</v>
      </c>
      <c r="I781" s="41" t="str">
        <f>VLOOKUP(C781,Stores!$A$200:$G$1118,4,0)</f>
        <v>Stage 7 - Installed</v>
      </c>
      <c r="J781" s="41" t="str">
        <f>VLOOKUP(C781,Stores!$A$200:$G$1118,5,0)</f>
        <v>ZKTECO</v>
      </c>
      <c r="K781" s="41" t="str">
        <f>VLOOKUP(C781,Stores!$A$200:$G$1118,6,0)</f>
        <v>ZKM6251400197</v>
      </c>
      <c r="L781" s="41" t="str">
        <f>VLOOKUP(C781,Stores!$A$200:$G$1118,7,0)</f>
        <v>192.168.1.201</v>
      </c>
      <c r="M781" s="42" t="s">
        <v>3915</v>
      </c>
    </row>
    <row r="782">
      <c r="A782" s="38" t="s">
        <v>2962</v>
      </c>
      <c r="B782" s="38" t="s">
        <v>3933</v>
      </c>
      <c r="C782" s="38" t="s">
        <v>1258</v>
      </c>
      <c r="D782" s="39" t="s">
        <v>1259</v>
      </c>
      <c r="E782" s="38" t="s">
        <v>3081</v>
      </c>
      <c r="F782" s="40" t="s">
        <v>3795</v>
      </c>
      <c r="G782" s="45">
        <v>9.98974877E9</v>
      </c>
      <c r="H782" s="41" t="str">
        <f>VLOOKUP(C782,Stores!$A$200:$G$1118,3,0)</f>
        <v>Opened Stores</v>
      </c>
      <c r="I782" s="41" t="str">
        <f>VLOOKUP(C782,Stores!$A$200:$G$1118,4,0)</f>
        <v>Stage 7 - Installed</v>
      </c>
      <c r="J782" s="41" t="str">
        <f>VLOOKUP(C782,Stores!$A$200:$G$1118,5,0)</f>
        <v>ZKTECO</v>
      </c>
      <c r="K782" s="41" t="str">
        <f>VLOOKUP(C782,Stores!$A$200:$G$1118,6,0)</f>
        <v>CMZG122250777</v>
      </c>
      <c r="L782" s="41" t="str">
        <f>VLOOKUP(C782,Stores!$A$200:$G$1118,7,0)</f>
        <v>192.168.1.201</v>
      </c>
      <c r="M782" s="42" t="s">
        <v>3915</v>
      </c>
    </row>
    <row r="783">
      <c r="A783" s="38" t="s">
        <v>2962</v>
      </c>
      <c r="B783" s="38" t="s">
        <v>3934</v>
      </c>
      <c r="C783" s="38" t="s">
        <v>546</v>
      </c>
      <c r="D783" s="39" t="s">
        <v>547</v>
      </c>
      <c r="E783" s="38" t="s">
        <v>3081</v>
      </c>
      <c r="F783" s="40" t="s">
        <v>3935</v>
      </c>
      <c r="G783" s="45">
        <v>9.681814625E9</v>
      </c>
      <c r="H783" s="41" t="str">
        <f>VLOOKUP(C783,Stores!$A$200:$G$1118,3,0)</f>
        <v>Opened Stores</v>
      </c>
      <c r="I783" s="41" t="str">
        <f>VLOOKUP(C783,Stores!$A$200:$G$1118,4,0)</f>
        <v>Stage 7 - Installed</v>
      </c>
      <c r="J783" s="41" t="str">
        <f>VLOOKUP(C783,Stores!$A$200:$G$1118,5,0)</f>
        <v>FINGERTEC</v>
      </c>
      <c r="K783" s="41">
        <f>VLOOKUP(C783,Stores!$A$200:$G$1118,6,0)</f>
        <v>7419189</v>
      </c>
      <c r="L783" s="41" t="str">
        <f>VLOOKUP(C783,Stores!$A$200:$G$1118,7,0)</f>
        <v>192.168.1.201</v>
      </c>
      <c r="M783" s="42" t="s">
        <v>3915</v>
      </c>
    </row>
    <row r="784">
      <c r="A784" s="38" t="s">
        <v>2962</v>
      </c>
      <c r="B784" s="38" t="s">
        <v>3936</v>
      </c>
      <c r="C784" s="38" t="s">
        <v>2072</v>
      </c>
      <c r="D784" s="39" t="s">
        <v>3937</v>
      </c>
      <c r="E784" s="38" t="s">
        <v>3081</v>
      </c>
      <c r="F784" s="40" t="s">
        <v>3928</v>
      </c>
      <c r="G784" s="45">
        <v>6.39171894684E11</v>
      </c>
      <c r="H784" s="41" t="str">
        <f>VLOOKUP(C784,Stores!$A$200:$G$1118,3,0)</f>
        <v>Opened Stores</v>
      </c>
      <c r="I784" s="41" t="str">
        <f>VLOOKUP(C784,Stores!$A$200:$G$1118,4,0)</f>
        <v>Stage 7 - Installed</v>
      </c>
      <c r="J784" s="41" t="str">
        <f>VLOOKUP(C784,Stores!$A$200:$G$1118,5,0)</f>
        <v>ZKTECO</v>
      </c>
      <c r="K784" s="41" t="str">
        <f>VLOOKUP(C784,Stores!$A$200:$G$1118,6,0)</f>
        <v>CQUJ233561097</v>
      </c>
      <c r="L784" s="41" t="str">
        <f>VLOOKUP(C784,Stores!$A$200:$G$1118,7,0)</f>
        <v>192.168.1.201</v>
      </c>
      <c r="M784" s="42" t="s">
        <v>3915</v>
      </c>
    </row>
    <row r="785">
      <c r="A785" s="38" t="s">
        <v>2962</v>
      </c>
      <c r="B785" s="38" t="s">
        <v>3938</v>
      </c>
      <c r="C785" s="38" t="s">
        <v>2880</v>
      </c>
      <c r="D785" s="39" t="s">
        <v>2881</v>
      </c>
      <c r="E785" s="38" t="s">
        <v>3081</v>
      </c>
      <c r="F785" s="40" t="s">
        <v>3939</v>
      </c>
      <c r="G785" s="45">
        <v>9.171610238E9</v>
      </c>
      <c r="H785" s="41" t="str">
        <f>VLOOKUP(C785,Stores!$A$200:$G$1118,3,0)</f>
        <v>Opened Stores</v>
      </c>
      <c r="I785" s="41" t="str">
        <f>VLOOKUP(C785,Stores!$A$200:$G$1118,4,0)</f>
        <v>Stage 7 - Installed</v>
      </c>
      <c r="J785" s="41" t="str">
        <f>VLOOKUP(C785,Stores!$A$200:$G$1118,5,0)</f>
        <v>ZKTECO</v>
      </c>
      <c r="K785" s="41" t="str">
        <f>VLOOKUP(C785,Stores!$A$200:$G$1118,6,0)</f>
        <v>PAS4252500184</v>
      </c>
      <c r="L785" s="41" t="str">
        <f>VLOOKUP(C785,Stores!$A$200:$G$1118,7,0)</f>
        <v>192.168.1.201</v>
      </c>
      <c r="M785" s="42" t="s">
        <v>3915</v>
      </c>
    </row>
    <row r="786">
      <c r="A786" s="38" t="s">
        <v>2962</v>
      </c>
      <c r="B786" s="38" t="s">
        <v>3940</v>
      </c>
      <c r="C786" s="38" t="s">
        <v>2724</v>
      </c>
      <c r="D786" s="39" t="s">
        <v>2725</v>
      </c>
      <c r="E786" s="38" t="s">
        <v>3081</v>
      </c>
      <c r="F786" s="40" t="s">
        <v>3786</v>
      </c>
      <c r="G786" s="45">
        <v>9.399818337E9</v>
      </c>
      <c r="H786" s="41" t="str">
        <f>VLOOKUP(C786,Stores!$A$200:$G$1118,3,0)</f>
        <v>Opened Stores</v>
      </c>
      <c r="I786" s="41" t="str">
        <f>VLOOKUP(C786,Stores!$A$200:$G$1118,4,0)</f>
        <v>Stage 7 - Installed</v>
      </c>
      <c r="J786" s="41" t="str">
        <f>VLOOKUP(C786,Stores!$A$200:$G$1118,5,0)</f>
        <v>ZKTECO</v>
      </c>
      <c r="K786" s="41" t="str">
        <f>VLOOKUP(C786,Stores!$A$200:$G$1118,6,0)</f>
        <v>ZKM6251700338</v>
      </c>
      <c r="L786" s="41" t="str">
        <f>VLOOKUP(C786,Stores!$A$200:$G$1118,7,0)</f>
        <v>192.168.1.201</v>
      </c>
      <c r="M786" s="42" t="s">
        <v>3915</v>
      </c>
    </row>
    <row r="787">
      <c r="A787" s="38" t="s">
        <v>2962</v>
      </c>
      <c r="B787" s="38" t="s">
        <v>3941</v>
      </c>
      <c r="C787" s="38" t="s">
        <v>1952</v>
      </c>
      <c r="D787" s="39" t="s">
        <v>1953</v>
      </c>
      <c r="E787" s="38" t="s">
        <v>3081</v>
      </c>
      <c r="F787" s="40" t="s">
        <v>3942</v>
      </c>
      <c r="G787" s="45">
        <v>9.478962158E9</v>
      </c>
      <c r="H787" s="41" t="str">
        <f>VLOOKUP(C787,Stores!$A$200:$G$1118,3,0)</f>
        <v>Opened Stores</v>
      </c>
      <c r="I787" s="41" t="str">
        <f>VLOOKUP(C787,Stores!$A$200:$G$1118,4,0)</f>
        <v>Stage 7 - Installed</v>
      </c>
      <c r="J787" s="41" t="str">
        <f>VLOOKUP(C787,Stores!$A$200:$G$1118,5,0)</f>
        <v>ZKTECO</v>
      </c>
      <c r="K787" s="41" t="str">
        <f>VLOOKUP(C787,Stores!$A$200:$G$1118,6,0)</f>
        <v>CQUJ233561207</v>
      </c>
      <c r="L787" s="41" t="str">
        <f>VLOOKUP(C787,Stores!$A$200:$G$1118,7,0)</f>
        <v>192.168.1.201</v>
      </c>
      <c r="M787" s="42" t="s">
        <v>3915</v>
      </c>
    </row>
    <row r="788">
      <c r="A788" s="38" t="s">
        <v>2962</v>
      </c>
      <c r="B788" s="38" t="s">
        <v>3943</v>
      </c>
      <c r="C788" s="38" t="s">
        <v>2481</v>
      </c>
      <c r="D788" s="39" t="s">
        <v>2482</v>
      </c>
      <c r="E788" s="38" t="s">
        <v>3081</v>
      </c>
      <c r="F788" s="40" t="s">
        <v>3082</v>
      </c>
      <c r="G788" s="45">
        <v>9.658455599E9</v>
      </c>
      <c r="H788" s="41" t="str">
        <f>VLOOKUP(C788,Stores!$A$200:$G$1118,3,0)</f>
        <v>Opened Stores</v>
      </c>
      <c r="I788" s="41" t="str">
        <f>VLOOKUP(C788,Stores!$A$200:$G$1118,4,0)</f>
        <v>Stage 7 - Installed</v>
      </c>
      <c r="J788" s="41" t="str">
        <f>VLOOKUP(C788,Stores!$A$200:$G$1118,5,0)</f>
        <v>ZKTECO</v>
      </c>
      <c r="K788" s="41" t="str">
        <f>VLOOKUP(C788,Stores!$A$200:$G$1118,6,0)</f>
        <v>ZKM6245100232</v>
      </c>
      <c r="L788" s="41" t="str">
        <f>VLOOKUP(C788,Stores!$A$200:$G$1118,7,0)</f>
        <v>192.168.1.201</v>
      </c>
      <c r="M788" s="42" t="s">
        <v>3915</v>
      </c>
    </row>
    <row r="789">
      <c r="A789" s="38" t="s">
        <v>2962</v>
      </c>
      <c r="B789" s="38" t="s">
        <v>3944</v>
      </c>
      <c r="C789" s="38" t="s">
        <v>1824</v>
      </c>
      <c r="D789" s="39" t="s">
        <v>3945</v>
      </c>
      <c r="E789" s="38" t="s">
        <v>3081</v>
      </c>
      <c r="F789" s="40" t="s">
        <v>3946</v>
      </c>
      <c r="G789" s="45">
        <v>9.511449437E9</v>
      </c>
      <c r="H789" s="41" t="str">
        <f>VLOOKUP(C789,Stores!$A$200:$G$1118,3,0)</f>
        <v>Opened Stores</v>
      </c>
      <c r="I789" s="41" t="str">
        <f>VLOOKUP(C789,Stores!$A$200:$G$1118,4,0)</f>
        <v>Stage 7 - Installed</v>
      </c>
      <c r="J789" s="41" t="str">
        <f>VLOOKUP(C789,Stores!$A$200:$G$1118,5,0)</f>
        <v>ZKTECO</v>
      </c>
      <c r="K789" s="41" t="str">
        <f>VLOOKUP(C789,Stores!$A$200:$G$1118,6,0)</f>
        <v>CQUJ233561244</v>
      </c>
      <c r="L789" s="41" t="str">
        <f>VLOOKUP(C789,Stores!$A$200:$G$1118,7,0)</f>
        <v>192.168.1.201</v>
      </c>
      <c r="M789" s="42" t="s">
        <v>3915</v>
      </c>
    </row>
    <row r="790">
      <c r="A790" s="38" t="s">
        <v>2962</v>
      </c>
      <c r="B790" s="38" t="s">
        <v>3947</v>
      </c>
      <c r="C790" s="38" t="s">
        <v>1749</v>
      </c>
      <c r="D790" s="39" t="s">
        <v>1750</v>
      </c>
      <c r="E790" s="38" t="s">
        <v>3081</v>
      </c>
      <c r="F790" s="38" t="e">
        <v>#N/A</v>
      </c>
      <c r="G790" s="38" t="e">
        <v>#N/A</v>
      </c>
      <c r="H790" s="41" t="str">
        <f>VLOOKUP(C790,Stores!$A$200:$G$1118,3,0)</f>
        <v>Opened Stores</v>
      </c>
      <c r="I790" s="41" t="str">
        <f>VLOOKUP(C790,Stores!$A$200:$G$1118,4,0)</f>
        <v>Stage 7 - Installed</v>
      </c>
      <c r="J790" s="41" t="str">
        <f>VLOOKUP(C790,Stores!$A$200:$G$1118,5,0)</f>
        <v>ZKTECO</v>
      </c>
      <c r="K790" s="41" t="str">
        <f>VLOOKUP(C790,Stores!$A$200:$G$1118,6,0)</f>
        <v>CQUJ233560810</v>
      </c>
      <c r="L790" s="41" t="str">
        <f>VLOOKUP(C790,Stores!$A$200:$G$1118,7,0)</f>
        <v>192.168.1.201</v>
      </c>
      <c r="M790" s="42" t="s">
        <v>3915</v>
      </c>
    </row>
    <row r="791">
      <c r="A791" s="38" t="s">
        <v>2962</v>
      </c>
      <c r="B791" s="38" t="s">
        <v>3948</v>
      </c>
      <c r="C791" s="38" t="s">
        <v>1979</v>
      </c>
      <c r="D791" s="39" t="s">
        <v>3949</v>
      </c>
      <c r="E791" s="38" t="s">
        <v>3081</v>
      </c>
      <c r="F791" s="38" t="e">
        <v>#N/A</v>
      </c>
      <c r="G791" s="38" t="e">
        <v>#N/A</v>
      </c>
      <c r="H791" s="41" t="str">
        <f>VLOOKUP(C791,Stores!$A$200:$G$1118,3,0)</f>
        <v>Opened Stores</v>
      </c>
      <c r="I791" s="41" t="str">
        <f>VLOOKUP(C791,Stores!$A$200:$G$1118,4,0)</f>
        <v>Stage 7 - Installed</v>
      </c>
      <c r="J791" s="41" t="str">
        <f>VLOOKUP(C791,Stores!$A$200:$G$1118,5,0)</f>
        <v>ZKTECO</v>
      </c>
      <c r="K791" s="41" t="str">
        <f>VLOOKUP(C791,Stores!$A$200:$G$1118,6,0)</f>
        <v>CQUJ233560838</v>
      </c>
      <c r="L791" s="41" t="str">
        <f>VLOOKUP(C791,Stores!$A$200:$G$1118,7,0)</f>
        <v>192.168.1.201</v>
      </c>
      <c r="M791" s="42" t="s">
        <v>3915</v>
      </c>
    </row>
    <row r="792">
      <c r="A792" s="38" t="s">
        <v>2962</v>
      </c>
      <c r="B792" s="38" t="s">
        <v>3950</v>
      </c>
      <c r="C792" s="38" t="s">
        <v>2260</v>
      </c>
      <c r="D792" s="39" t="s">
        <v>3951</v>
      </c>
      <c r="E792" s="38" t="s">
        <v>3081</v>
      </c>
      <c r="F792" s="40" t="s">
        <v>3928</v>
      </c>
      <c r="G792" s="45">
        <v>6.39171894684E11</v>
      </c>
      <c r="H792" s="41" t="str">
        <f>VLOOKUP(C792,Stores!$A$200:$G$1118,3,0)</f>
        <v>Opened Stores</v>
      </c>
      <c r="I792" s="41" t="str">
        <f>VLOOKUP(C792,Stores!$A$200:$G$1118,4,0)</f>
        <v>Stage 7 - Installed</v>
      </c>
      <c r="J792" s="41" t="str">
        <f>VLOOKUP(C792,Stores!$A$200:$G$1118,5,0)</f>
        <v>ZKTECO</v>
      </c>
      <c r="K792" s="41" t="str">
        <f>VLOOKUP(C792,Stores!$A$200:$G$1118,6,0)</f>
        <v>ZKM6245100117</v>
      </c>
      <c r="L792" s="41" t="str">
        <f>VLOOKUP(C792,Stores!$A$200:$G$1118,7,0)</f>
        <v>192.168.1.201</v>
      </c>
      <c r="M792" s="42" t="s">
        <v>3915</v>
      </c>
    </row>
    <row r="793">
      <c r="A793" s="38" t="s">
        <v>2962</v>
      </c>
      <c r="B793" s="38" t="s">
        <v>3952</v>
      </c>
      <c r="C793" s="38" t="s">
        <v>2075</v>
      </c>
      <c r="D793" s="39" t="s">
        <v>3953</v>
      </c>
      <c r="E793" s="38" t="s">
        <v>3081</v>
      </c>
      <c r="F793" s="40" t="s">
        <v>3085</v>
      </c>
      <c r="G793" s="45">
        <v>9.171894643E9</v>
      </c>
      <c r="H793" s="41" t="str">
        <f>VLOOKUP(C793,Stores!$A$200:$G$1118,3,0)</f>
        <v>Opened Stores</v>
      </c>
      <c r="I793" s="41" t="str">
        <f>VLOOKUP(C793,Stores!$A$200:$G$1118,4,0)</f>
        <v>Stage 7 - Installed</v>
      </c>
      <c r="J793" s="41" t="str">
        <f>VLOOKUP(C793,Stores!$A$200:$G$1118,5,0)</f>
        <v>ZKTECO</v>
      </c>
      <c r="K793" s="41" t="str">
        <f>VLOOKUP(C793,Stores!$A$200:$G$1118,6,0)</f>
        <v>CQUJ233561136</v>
      </c>
      <c r="L793" s="41" t="str">
        <f>VLOOKUP(C793,Stores!$A$200:$G$1118,7,0)</f>
        <v>192.168.1.201</v>
      </c>
      <c r="M793" s="42" t="s">
        <v>3915</v>
      </c>
    </row>
    <row r="794">
      <c r="A794" s="38" t="s">
        <v>2962</v>
      </c>
      <c r="B794" s="38" t="s">
        <v>3954</v>
      </c>
      <c r="C794" s="38" t="s">
        <v>1997</v>
      </c>
      <c r="D794" s="39" t="s">
        <v>3955</v>
      </c>
      <c r="E794" s="38" t="s">
        <v>3081</v>
      </c>
      <c r="F794" s="40" t="s">
        <v>3956</v>
      </c>
      <c r="G794" s="45">
        <v>9.39903822E9</v>
      </c>
      <c r="H794" s="41" t="str">
        <f>VLOOKUP(C794,Stores!$A$200:$G$1118,3,0)</f>
        <v>Opened Stores</v>
      </c>
      <c r="I794" s="41" t="str">
        <f>VLOOKUP(C794,Stores!$A$200:$G$1118,4,0)</f>
        <v>Stage 7 - Installed</v>
      </c>
      <c r="J794" s="41" t="str">
        <f>VLOOKUP(C794,Stores!$A$200:$G$1118,5,0)</f>
        <v>ZKTECO</v>
      </c>
      <c r="K794" s="41" t="str">
        <f>VLOOKUP(C794,Stores!$A$200:$G$1118,6,0)</f>
        <v>ZKM6245100107</v>
      </c>
      <c r="L794" s="41" t="str">
        <f>VLOOKUP(C794,Stores!$A$200:$G$1118,7,0)</f>
        <v>192.168.1.201</v>
      </c>
      <c r="M794" s="42" t="s">
        <v>3915</v>
      </c>
    </row>
    <row r="795">
      <c r="A795" s="38" t="s">
        <v>2962</v>
      </c>
      <c r="B795" s="38" t="s">
        <v>3957</v>
      </c>
      <c r="C795" s="38" t="s">
        <v>2063</v>
      </c>
      <c r="D795" s="39" t="s">
        <v>2064</v>
      </c>
      <c r="E795" s="38" t="s">
        <v>3081</v>
      </c>
      <c r="F795" s="40" t="s">
        <v>3956</v>
      </c>
      <c r="G795" s="45">
        <v>9.39903822E9</v>
      </c>
      <c r="H795" s="41" t="str">
        <f>VLOOKUP(C795,Stores!$A$200:$G$1118,3,0)</f>
        <v>Opened Stores</v>
      </c>
      <c r="I795" s="41" t="str">
        <f>VLOOKUP(C795,Stores!$A$200:$G$1118,4,0)</f>
        <v>Stage 7 - Installed</v>
      </c>
      <c r="J795" s="41" t="str">
        <f>VLOOKUP(C795,Stores!$A$200:$G$1118,5,0)</f>
        <v>ZKTECO</v>
      </c>
      <c r="K795" s="41" t="str">
        <f>VLOOKUP(C795,Stores!$A$200:$G$1118,6,0)</f>
        <v>CQUJ232260322</v>
      </c>
      <c r="L795" s="41" t="str">
        <f>VLOOKUP(C795,Stores!$A$200:$G$1118,7,0)</f>
        <v>192.168.1.201</v>
      </c>
      <c r="M795" s="42" t="s">
        <v>3915</v>
      </c>
    </row>
    <row r="796">
      <c r="A796" s="38" t="s">
        <v>2962</v>
      </c>
      <c r="B796" s="38" t="s">
        <v>3958</v>
      </c>
      <c r="C796" s="38" t="s">
        <v>2805</v>
      </c>
      <c r="D796" s="39" t="s">
        <v>2806</v>
      </c>
      <c r="E796" s="38" t="s">
        <v>3081</v>
      </c>
      <c r="F796" s="40" t="s">
        <v>3088</v>
      </c>
      <c r="G796" s="45">
        <v>9.70251704E9</v>
      </c>
      <c r="H796" s="41" t="str">
        <f>VLOOKUP(C796,Stores!$A$200:$G$1118,3,0)</f>
        <v>Opened Stores</v>
      </c>
      <c r="I796" s="41" t="str">
        <f>VLOOKUP(C796,Stores!$A$200:$G$1118,4,0)</f>
        <v>Stage 7 - Installed</v>
      </c>
      <c r="J796" s="41" t="str">
        <f>VLOOKUP(C796,Stores!$A$200:$G$1118,5,0)</f>
        <v>ZKTECO</v>
      </c>
      <c r="K796" s="41" t="str">
        <f>VLOOKUP(C796,Stores!$A$200:$G$1118,6,0)</f>
        <v>ZKM6251700092</v>
      </c>
      <c r="L796" s="41" t="str">
        <f>VLOOKUP(C796,Stores!$A$200:$G$1118,7,0)</f>
        <v>192.168.1.201</v>
      </c>
      <c r="M796" s="42" t="s">
        <v>3915</v>
      </c>
    </row>
    <row r="797">
      <c r="A797" s="38" t="s">
        <v>2962</v>
      </c>
      <c r="B797" s="38" t="s">
        <v>3959</v>
      </c>
      <c r="C797" s="38" t="s">
        <v>2754</v>
      </c>
      <c r="D797" s="39" t="s">
        <v>2755</v>
      </c>
      <c r="E797" s="38" t="s">
        <v>3081</v>
      </c>
      <c r="F797" s="40" t="s">
        <v>3922</v>
      </c>
      <c r="G797" s="45">
        <v>9.171610118E9</v>
      </c>
      <c r="H797" s="41" t="str">
        <f>VLOOKUP(C797,Stores!$A$200:$G$1118,3,0)</f>
        <v>Opened Stores</v>
      </c>
      <c r="I797" s="41" t="str">
        <f>VLOOKUP(C797,Stores!$A$200:$G$1118,4,0)</f>
        <v>Stage 7 - Installed</v>
      </c>
      <c r="J797" s="41" t="str">
        <f>VLOOKUP(C797,Stores!$A$200:$G$1118,5,0)</f>
        <v>ZKTECO</v>
      </c>
      <c r="K797" s="41" t="str">
        <f>VLOOKUP(C797,Stores!$A$200:$G$1118,6,0)</f>
        <v>ZKM6251400064</v>
      </c>
      <c r="L797" s="41" t="str">
        <f>VLOOKUP(C797,Stores!$A$200:$G$1118,7,0)</f>
        <v>192.168.1.201</v>
      </c>
      <c r="M797" s="42" t="s">
        <v>3915</v>
      </c>
    </row>
    <row r="798">
      <c r="A798" s="38" t="s">
        <v>2962</v>
      </c>
      <c r="B798" s="38" t="s">
        <v>3960</v>
      </c>
      <c r="C798" s="38" t="s">
        <v>1988</v>
      </c>
      <c r="D798" s="39" t="s">
        <v>3961</v>
      </c>
      <c r="E798" s="38" t="s">
        <v>3081</v>
      </c>
      <c r="F798" s="40" t="s">
        <v>3786</v>
      </c>
      <c r="G798" s="45">
        <v>9.399818337E9</v>
      </c>
      <c r="H798" s="41" t="str">
        <f>VLOOKUP(C798,Stores!$A$200:$G$1118,3,0)</f>
        <v>Opened Stores</v>
      </c>
      <c r="I798" s="41" t="str">
        <f>VLOOKUP(C798,Stores!$A$200:$G$1118,4,0)</f>
        <v>Stage 7 - Installed</v>
      </c>
      <c r="J798" s="41" t="str">
        <f>VLOOKUP(C798,Stores!$A$200:$G$1118,5,0)</f>
        <v>ZKTECO</v>
      </c>
      <c r="K798" s="41" t="str">
        <f>VLOOKUP(C798,Stores!$A$200:$G$1118,6,0)</f>
        <v>CQUJ233560971</v>
      </c>
      <c r="L798" s="41" t="str">
        <f>VLOOKUP(C798,Stores!$A$200:$G$1118,7,0)</f>
        <v>192.168.1.201</v>
      </c>
      <c r="M798" s="42" t="s">
        <v>3915</v>
      </c>
    </row>
    <row r="799">
      <c r="A799" s="38" t="s">
        <v>2962</v>
      </c>
      <c r="B799" s="38" t="s">
        <v>3962</v>
      </c>
      <c r="C799" s="38" t="s">
        <v>1469</v>
      </c>
      <c r="D799" s="39" t="s">
        <v>1470</v>
      </c>
      <c r="E799" s="38" t="s">
        <v>3081</v>
      </c>
      <c r="F799" s="40" t="s">
        <v>3789</v>
      </c>
      <c r="G799" s="45">
        <v>9.177056216E9</v>
      </c>
      <c r="H799" s="41" t="str">
        <f>VLOOKUP(C799,Stores!$A$200:$G$1118,3,0)</f>
        <v>Opened Stores</v>
      </c>
      <c r="I799" s="41" t="str">
        <f>VLOOKUP(C799,Stores!$A$200:$G$1118,4,0)</f>
        <v>Stage 7 - Installed</v>
      </c>
      <c r="J799" s="41" t="str">
        <f>VLOOKUP(C799,Stores!$A$200:$G$1118,5,0)</f>
        <v>ZKTECO</v>
      </c>
      <c r="K799" s="41" t="str">
        <f>VLOOKUP(C799,Stores!$A$200:$G$1118,6,0)</f>
        <v>AKDG012350196</v>
      </c>
      <c r="L799" s="41" t="str">
        <f>VLOOKUP(C799,Stores!$A$200:$G$1118,7,0)</f>
        <v>192.168.1.201</v>
      </c>
      <c r="M799" s="42" t="s">
        <v>3915</v>
      </c>
    </row>
    <row r="800">
      <c r="A800" s="38" t="s">
        <v>2962</v>
      </c>
      <c r="B800" s="38" t="s">
        <v>3963</v>
      </c>
      <c r="C800" s="38" t="s">
        <v>2306</v>
      </c>
      <c r="D800" s="39" t="s">
        <v>2307</v>
      </c>
      <c r="E800" s="38" t="s">
        <v>3081</v>
      </c>
      <c r="F800" s="40" t="s">
        <v>3786</v>
      </c>
      <c r="G800" s="45">
        <v>9.399818337E9</v>
      </c>
      <c r="H800" s="41" t="str">
        <f>VLOOKUP(C800,Stores!$A$200:$G$1118,3,0)</f>
        <v>Opened Stores</v>
      </c>
      <c r="I800" s="41" t="str">
        <f>VLOOKUP(C800,Stores!$A$200:$G$1118,4,0)</f>
        <v>Stage 7 - Installed</v>
      </c>
      <c r="J800" s="41" t="str">
        <f>VLOOKUP(C800,Stores!$A$200:$G$1118,5,0)</f>
        <v>ZKTECO</v>
      </c>
      <c r="K800" s="41" t="str">
        <f>VLOOKUP(C800,Stores!$A$200:$G$1118,6,0)</f>
        <v>CQUJ233560454</v>
      </c>
      <c r="L800" s="41" t="str">
        <f>VLOOKUP(C800,Stores!$A$200:$G$1118,7,0)</f>
        <v>192.168.1.201</v>
      </c>
      <c r="M800" s="42" t="s">
        <v>3915</v>
      </c>
    </row>
    <row r="801">
      <c r="A801" s="38" t="s">
        <v>2962</v>
      </c>
      <c r="B801" s="38" t="s">
        <v>3964</v>
      </c>
      <c r="C801" s="38" t="s">
        <v>1576</v>
      </c>
      <c r="D801" s="39" t="s">
        <v>1577</v>
      </c>
      <c r="E801" s="38" t="s">
        <v>3081</v>
      </c>
      <c r="F801" s="40" t="s">
        <v>3090</v>
      </c>
      <c r="G801" s="45">
        <v>9.088671744E9</v>
      </c>
      <c r="H801" s="41" t="str">
        <f>VLOOKUP(C801,Stores!$A$200:$G$1118,3,0)</f>
        <v>Opened Stores</v>
      </c>
      <c r="I801" s="41" t="str">
        <f>VLOOKUP(C801,Stores!$A$200:$G$1118,4,0)</f>
        <v>Stage 7 - Installed</v>
      </c>
      <c r="J801" s="41" t="str">
        <f>VLOOKUP(C801,Stores!$A$200:$G$1118,5,0)</f>
        <v>ZKTECO</v>
      </c>
      <c r="K801" s="41" t="str">
        <f>VLOOKUP(C801,Stores!$A$200:$G$1118,6,0)</f>
        <v>AEYU082360292</v>
      </c>
      <c r="L801" s="41" t="str">
        <f>VLOOKUP(C801,Stores!$A$200:$G$1118,7,0)</f>
        <v>192.168.1.201</v>
      </c>
      <c r="M801" s="42" t="s">
        <v>3915</v>
      </c>
    </row>
    <row r="802">
      <c r="A802" s="38" t="s">
        <v>2962</v>
      </c>
      <c r="B802" s="38" t="s">
        <v>3965</v>
      </c>
      <c r="C802" s="38" t="s">
        <v>2587</v>
      </c>
      <c r="D802" s="39" t="s">
        <v>2588</v>
      </c>
      <c r="E802" s="38" t="s">
        <v>3081</v>
      </c>
      <c r="F802" s="40" t="s">
        <v>3797</v>
      </c>
      <c r="G802" s="45">
        <v>9.305225661E9</v>
      </c>
      <c r="H802" s="41" t="str">
        <f>VLOOKUP(C802,Stores!$A$200:$G$1118,3,0)</f>
        <v>Opened Stores</v>
      </c>
      <c r="I802" s="41" t="str">
        <f>VLOOKUP(C802,Stores!$A$200:$G$1118,4,0)</f>
        <v>Stage 7 - Installed</v>
      </c>
      <c r="J802" s="41" t="str">
        <f>VLOOKUP(C802,Stores!$A$200:$G$1118,5,0)</f>
        <v>ZKTECO</v>
      </c>
      <c r="K802" s="41" t="str">
        <f>VLOOKUP(C802,Stores!$A$200:$G$1118,6,0)</f>
        <v>ZKM6251400198</v>
      </c>
      <c r="L802" s="41" t="str">
        <f>VLOOKUP(C802,Stores!$A$200:$G$1118,7,0)</f>
        <v>192.168.1.201</v>
      </c>
      <c r="M802" s="42" t="s">
        <v>3915</v>
      </c>
    </row>
    <row r="803">
      <c r="A803" s="38" t="s">
        <v>2962</v>
      </c>
      <c r="B803" s="38" t="s">
        <v>3966</v>
      </c>
      <c r="C803" s="38" t="s">
        <v>1600</v>
      </c>
      <c r="D803" s="39" t="s">
        <v>1601</v>
      </c>
      <c r="E803" s="38" t="s">
        <v>3081</v>
      </c>
      <c r="F803" s="40" t="s">
        <v>3942</v>
      </c>
      <c r="G803" s="45">
        <v>9.478962158E9</v>
      </c>
      <c r="H803" s="41" t="str">
        <f>VLOOKUP(C803,Stores!$A$200:$G$1118,3,0)</f>
        <v>Opened Stores</v>
      </c>
      <c r="I803" s="41" t="str">
        <f>VLOOKUP(C803,Stores!$A$200:$G$1118,4,0)</f>
        <v>Stage 7 - Installed</v>
      </c>
      <c r="J803" s="41" t="str">
        <f>VLOOKUP(C803,Stores!$A$200:$G$1118,5,0)</f>
        <v>ZKTECO</v>
      </c>
      <c r="K803" s="41" t="str">
        <f>VLOOKUP(C803,Stores!$A$200:$G$1118,6,0)</f>
        <v>AEYU082360278</v>
      </c>
      <c r="L803" s="41" t="str">
        <f>VLOOKUP(C803,Stores!$A$200:$G$1118,7,0)</f>
        <v>192.168.1.201</v>
      </c>
      <c r="M803" s="42" t="s">
        <v>3915</v>
      </c>
    </row>
    <row r="804">
      <c r="A804" s="38" t="s">
        <v>2962</v>
      </c>
      <c r="B804" s="38" t="s">
        <v>3967</v>
      </c>
      <c r="C804" s="38" t="s">
        <v>1294</v>
      </c>
      <c r="D804" s="39" t="s">
        <v>1295</v>
      </c>
      <c r="E804" s="38" t="s">
        <v>3081</v>
      </c>
      <c r="F804" s="40" t="s">
        <v>3922</v>
      </c>
      <c r="G804" s="45">
        <v>9.171610118E9</v>
      </c>
      <c r="H804" s="41" t="str">
        <f>VLOOKUP(C804,Stores!$A$200:$G$1118,3,0)</f>
        <v>Opened Stores</v>
      </c>
      <c r="I804" s="41" t="str">
        <f>VLOOKUP(C804,Stores!$A$200:$G$1118,4,0)</f>
        <v>Stage 7 - Installed</v>
      </c>
      <c r="J804" s="41" t="str">
        <f>VLOOKUP(C804,Stores!$A$200:$G$1118,5,0)</f>
        <v>ZKTECO</v>
      </c>
      <c r="K804" s="41" t="str">
        <f>VLOOKUP(C804,Stores!$A$200:$G$1118,6,0)</f>
        <v>AKDG012351720</v>
      </c>
      <c r="L804" s="41" t="str">
        <f>VLOOKUP(C804,Stores!$A$200:$G$1118,7,0)</f>
        <v>192.168.1.201</v>
      </c>
      <c r="M804" s="42" t="s">
        <v>3915</v>
      </c>
    </row>
    <row r="805">
      <c r="A805" s="38" t="s">
        <v>2962</v>
      </c>
      <c r="B805" s="38" t="s">
        <v>3968</v>
      </c>
      <c r="C805" s="38" t="s">
        <v>2670</v>
      </c>
      <c r="D805" s="39" t="s">
        <v>2671</v>
      </c>
      <c r="E805" s="38" t="s">
        <v>3081</v>
      </c>
      <c r="F805" s="40" t="s">
        <v>3942</v>
      </c>
      <c r="G805" s="45">
        <v>9.478962158E9</v>
      </c>
      <c r="H805" s="41" t="str">
        <f>VLOOKUP(C805,Stores!$A$200:$G$1118,3,0)</f>
        <v>Opened Stores</v>
      </c>
      <c r="I805" s="41" t="str">
        <f>VLOOKUP(C805,Stores!$A$200:$G$1118,4,0)</f>
        <v>Stage 7 - Installed</v>
      </c>
      <c r="J805" s="41" t="str">
        <f>VLOOKUP(C805,Stores!$A$200:$G$1118,5,0)</f>
        <v>ZKTECO</v>
      </c>
      <c r="K805" s="41" t="str">
        <f>VLOOKUP(C805,Stores!$A$200:$G$1118,6,0)</f>
        <v>ZKM6251500187</v>
      </c>
      <c r="L805" s="41" t="str">
        <f>VLOOKUP(C805,Stores!$A$200:$G$1118,7,0)</f>
        <v>192.168.1.201</v>
      </c>
      <c r="M805" s="42" t="s">
        <v>3915</v>
      </c>
    </row>
    <row r="806">
      <c r="A806" s="38" t="s">
        <v>2962</v>
      </c>
      <c r="B806" s="38" t="s">
        <v>3969</v>
      </c>
      <c r="C806" s="38" t="s">
        <v>1758</v>
      </c>
      <c r="D806" s="39" t="s">
        <v>1759</v>
      </c>
      <c r="E806" s="38" t="s">
        <v>3081</v>
      </c>
      <c r="F806" s="40" t="s">
        <v>3791</v>
      </c>
      <c r="G806" s="45">
        <v>9.992237545E9</v>
      </c>
      <c r="H806" s="41" t="str">
        <f>VLOOKUP(C806,Stores!$A$200:$G$1118,3,0)</f>
        <v>Opened Stores</v>
      </c>
      <c r="I806" s="41" t="str">
        <f>VLOOKUP(C806,Stores!$A$200:$G$1118,4,0)</f>
        <v>Stage 7 - Installed</v>
      </c>
      <c r="J806" s="41" t="str">
        <f>VLOOKUP(C806,Stores!$A$200:$G$1118,5,0)</f>
        <v>ZKTECO</v>
      </c>
      <c r="K806" s="41" t="str">
        <f>VLOOKUP(C806,Stores!$A$200:$G$1118,6,0)</f>
        <v>CQUJ233560830</v>
      </c>
      <c r="L806" s="41" t="str">
        <f>VLOOKUP(C806,Stores!$A$200:$G$1118,7,0)</f>
        <v>192.168.1.201</v>
      </c>
      <c r="M806" s="42" t="s">
        <v>3915</v>
      </c>
    </row>
    <row r="807">
      <c r="A807" s="38" t="s">
        <v>2962</v>
      </c>
      <c r="B807" s="38" t="s">
        <v>3970</v>
      </c>
      <c r="C807" s="38" t="s">
        <v>1538</v>
      </c>
      <c r="D807" s="39" t="s">
        <v>1539</v>
      </c>
      <c r="E807" s="38" t="s">
        <v>3081</v>
      </c>
      <c r="F807" s="40" t="s">
        <v>3971</v>
      </c>
      <c r="G807" s="45">
        <v>9.190065781E9</v>
      </c>
      <c r="H807" s="41" t="str">
        <f>VLOOKUP(C807,Stores!$A$200:$G$1118,3,0)</f>
        <v>Opened Stores</v>
      </c>
      <c r="I807" s="41" t="str">
        <f>VLOOKUP(C807,Stores!$A$200:$G$1118,4,0)</f>
        <v>Stage 7 - Installed</v>
      </c>
      <c r="J807" s="41" t="str">
        <f>VLOOKUP(C807,Stores!$A$200:$G$1118,5,0)</f>
        <v>ZKTECO</v>
      </c>
      <c r="K807" s="41" t="str">
        <f>VLOOKUP(C807,Stores!$A$200:$G$1118,6,0)</f>
        <v>AEYU082360283</v>
      </c>
      <c r="L807" s="41" t="str">
        <f>VLOOKUP(C807,Stores!$A$200:$G$1118,7,0)</f>
        <v>192.168.1.201</v>
      </c>
      <c r="M807" s="42" t="s">
        <v>3915</v>
      </c>
    </row>
    <row r="808">
      <c r="A808" s="38" t="s">
        <v>2962</v>
      </c>
      <c r="B808" s="38" t="s">
        <v>3972</v>
      </c>
      <c r="C808" s="38" t="s">
        <v>1332</v>
      </c>
      <c r="D808" s="39" t="s">
        <v>3973</v>
      </c>
      <c r="E808" s="38" t="s">
        <v>3081</v>
      </c>
      <c r="F808" s="40" t="s">
        <v>3093</v>
      </c>
      <c r="G808" s="45">
        <v>9.763291296E9</v>
      </c>
      <c r="H808" s="41" t="str">
        <f>VLOOKUP(C808,Stores!$A$200:$G$1118,3,0)</f>
        <v>Opened Stores</v>
      </c>
      <c r="I808" s="41" t="str">
        <f>VLOOKUP(C808,Stores!$A$200:$G$1118,4,0)</f>
        <v>Stage 7 - Installed</v>
      </c>
      <c r="J808" s="41" t="str">
        <f>VLOOKUP(C808,Stores!$A$200:$G$1118,5,0)</f>
        <v>ZKTECO</v>
      </c>
      <c r="K808" s="41" t="str">
        <f>VLOOKUP(C808,Stores!$A$200:$G$1118,6,0)</f>
        <v>ZKM6245100139</v>
      </c>
      <c r="L808" s="41" t="str">
        <f>VLOOKUP(C808,Stores!$A$200:$G$1118,7,0)</f>
        <v>192.168.1.201</v>
      </c>
      <c r="M808" s="42" t="s">
        <v>3915</v>
      </c>
    </row>
    <row r="809">
      <c r="A809" s="38" t="s">
        <v>2962</v>
      </c>
      <c r="B809" s="38" t="s">
        <v>3974</v>
      </c>
      <c r="C809" s="38" t="s">
        <v>1755</v>
      </c>
      <c r="D809" s="39" t="s">
        <v>1756</v>
      </c>
      <c r="E809" s="38" t="s">
        <v>3081</v>
      </c>
      <c r="F809" s="40" t="s">
        <v>3975</v>
      </c>
      <c r="G809" s="45">
        <v>9.17114392E9</v>
      </c>
      <c r="H809" s="41" t="str">
        <f>VLOOKUP(C809,Stores!$A$200:$G$1118,3,0)</f>
        <v>Opened Stores</v>
      </c>
      <c r="I809" s="41" t="str">
        <f>VLOOKUP(C809,Stores!$A$200:$G$1118,4,0)</f>
        <v>Stage 7 - Installed</v>
      </c>
      <c r="J809" s="41" t="str">
        <f>VLOOKUP(C809,Stores!$A$200:$G$1118,5,0)</f>
        <v>ZKTECO</v>
      </c>
      <c r="K809" s="41" t="str">
        <f>VLOOKUP(C809,Stores!$A$200:$G$1118,6,0)</f>
        <v>CQUJ233560811</v>
      </c>
      <c r="L809" s="41" t="str">
        <f>VLOOKUP(C809,Stores!$A$200:$G$1118,7,0)</f>
        <v>192.168.1.201</v>
      </c>
      <c r="M809" s="42" t="s">
        <v>3915</v>
      </c>
    </row>
    <row r="810">
      <c r="A810" s="38" t="s">
        <v>2962</v>
      </c>
      <c r="B810" s="38" t="s">
        <v>3976</v>
      </c>
      <c r="C810" s="38" t="s">
        <v>2251</v>
      </c>
      <c r="D810" s="39" t="s">
        <v>2252</v>
      </c>
      <c r="E810" s="38" t="s">
        <v>3081</v>
      </c>
      <c r="F810" s="40" t="s">
        <v>3925</v>
      </c>
      <c r="G810" s="45">
        <v>9.190015299E9</v>
      </c>
      <c r="H810" s="41" t="str">
        <f>VLOOKUP(C810,Stores!$A$200:$G$1118,3,0)</f>
        <v>Opened Stores</v>
      </c>
      <c r="I810" s="41" t="str">
        <f>VLOOKUP(C810,Stores!$A$200:$G$1118,4,0)</f>
        <v>Stage 7 - Installed</v>
      </c>
      <c r="J810" s="41" t="str">
        <f>VLOOKUP(C810,Stores!$A$200:$G$1118,5,0)</f>
        <v>ZKTECO</v>
      </c>
      <c r="K810" s="41" t="str">
        <f>VLOOKUP(C810,Stores!$A$200:$G$1118,6,0)</f>
        <v>CQUJ233560681</v>
      </c>
      <c r="L810" s="41" t="str">
        <f>VLOOKUP(C810,Stores!$A$200:$G$1118,7,0)</f>
        <v>192.168.1.201</v>
      </c>
      <c r="M810" s="42" t="s">
        <v>3915</v>
      </c>
    </row>
    <row r="811">
      <c r="A811" s="38" t="s">
        <v>2962</v>
      </c>
      <c r="B811" s="38" t="s">
        <v>3977</v>
      </c>
      <c r="C811" s="38" t="s">
        <v>1946</v>
      </c>
      <c r="D811" s="39" t="s">
        <v>1947</v>
      </c>
      <c r="E811" s="38" t="s">
        <v>3081</v>
      </c>
      <c r="F811" s="40" t="s">
        <v>3925</v>
      </c>
      <c r="G811" s="45">
        <v>9.190015299E9</v>
      </c>
      <c r="H811" s="41" t="str">
        <f>VLOOKUP(C811,Stores!$A$200:$G$1118,3,0)</f>
        <v>Opened Stores</v>
      </c>
      <c r="I811" s="41" t="str">
        <f>VLOOKUP(C811,Stores!$A$200:$G$1118,4,0)</f>
        <v>Stage 7 - Installed</v>
      </c>
      <c r="J811" s="41" t="str">
        <f>VLOOKUP(C811,Stores!$A$200:$G$1118,5,0)</f>
        <v>ZKTECO</v>
      </c>
      <c r="K811" s="41" t="str">
        <f>VLOOKUP(C811,Stores!$A$200:$G$1118,6,0)</f>
        <v>CQUJ233561108</v>
      </c>
      <c r="L811" s="41" t="str">
        <f>VLOOKUP(C811,Stores!$A$200:$G$1118,7,0)</f>
        <v>192.168.1.201</v>
      </c>
      <c r="M811" s="42" t="s">
        <v>3915</v>
      </c>
    </row>
    <row r="812">
      <c r="A812" s="38" t="s">
        <v>2962</v>
      </c>
      <c r="B812" s="38" t="s">
        <v>3978</v>
      </c>
      <c r="C812" s="38" t="s">
        <v>2039</v>
      </c>
      <c r="D812" s="39" t="s">
        <v>3979</v>
      </c>
      <c r="E812" s="38" t="s">
        <v>3081</v>
      </c>
      <c r="F812" s="40" t="s">
        <v>3082</v>
      </c>
      <c r="G812" s="45">
        <v>9.658455599E9</v>
      </c>
      <c r="H812" s="41" t="str">
        <f>VLOOKUP(C812,Stores!$A$200:$G$1118,3,0)</f>
        <v>Opened Stores</v>
      </c>
      <c r="I812" s="41" t="str">
        <f>VLOOKUP(C812,Stores!$A$200:$G$1118,4,0)</f>
        <v>Stage 7 - Installed</v>
      </c>
      <c r="J812" s="41" t="str">
        <f>VLOOKUP(C812,Stores!$A$200:$G$1118,5,0)</f>
        <v>ZKTECO</v>
      </c>
      <c r="K812" s="41" t="str">
        <f>VLOOKUP(C812,Stores!$A$200:$G$1118,6,0)</f>
        <v>CQUJ233560965</v>
      </c>
      <c r="L812" s="41" t="str">
        <f>VLOOKUP(C812,Stores!$A$200:$G$1118,7,0)</f>
        <v>192.168.1.201</v>
      </c>
      <c r="M812" s="42" t="s">
        <v>3915</v>
      </c>
    </row>
    <row r="813">
      <c r="A813" s="38" t="s">
        <v>2962</v>
      </c>
      <c r="B813" s="38" t="s">
        <v>3980</v>
      </c>
      <c r="C813" s="38" t="s">
        <v>2173</v>
      </c>
      <c r="D813" s="39" t="s">
        <v>2174</v>
      </c>
      <c r="E813" s="38" t="s">
        <v>3081</v>
      </c>
      <c r="F813" s="40" t="s">
        <v>3942</v>
      </c>
      <c r="G813" s="45">
        <v>9.478962158E9</v>
      </c>
      <c r="H813" s="41" t="str">
        <f>VLOOKUP(C813,Stores!$A$200:$G$1118,3,0)</f>
        <v>Opened Stores</v>
      </c>
      <c r="I813" s="41" t="str">
        <f>VLOOKUP(C813,Stores!$A$200:$G$1118,4,0)</f>
        <v>Stage 7 - Installed</v>
      </c>
      <c r="J813" s="41" t="str">
        <f>VLOOKUP(C813,Stores!$A$200:$G$1118,5,0)</f>
        <v>ZKTECO</v>
      </c>
      <c r="K813" s="41" t="str">
        <f>VLOOKUP(C813,Stores!$A$200:$G$1118,6,0)</f>
        <v>ZKM6245100152</v>
      </c>
      <c r="L813" s="41" t="str">
        <f>VLOOKUP(C813,Stores!$A$200:$G$1118,7,0)</f>
        <v>192.168.1.201</v>
      </c>
      <c r="M813" s="42" t="s">
        <v>3915</v>
      </c>
    </row>
    <row r="814">
      <c r="A814" s="38" t="s">
        <v>2962</v>
      </c>
      <c r="B814" s="38" t="s">
        <v>3981</v>
      </c>
      <c r="C814" s="38" t="s">
        <v>1866</v>
      </c>
      <c r="D814" s="39" t="s">
        <v>1867</v>
      </c>
      <c r="E814" s="38" t="s">
        <v>3081</v>
      </c>
      <c r="F814" s="40" t="s">
        <v>3935</v>
      </c>
      <c r="G814" s="45">
        <v>9.681814625E9</v>
      </c>
      <c r="H814" s="41" t="str">
        <f>VLOOKUP(C814,Stores!$A$200:$G$1118,3,0)</f>
        <v>Opened Stores</v>
      </c>
      <c r="I814" s="41" t="str">
        <f>VLOOKUP(C814,Stores!$A$200:$G$1118,4,0)</f>
        <v>Stage 7 - Installed</v>
      </c>
      <c r="J814" s="41" t="str">
        <f>VLOOKUP(C814,Stores!$A$200:$G$1118,5,0)</f>
        <v>ZKTECO</v>
      </c>
      <c r="K814" s="41" t="str">
        <f>VLOOKUP(C814,Stores!$A$200:$G$1118,6,0)</f>
        <v>CQUJ233561154</v>
      </c>
      <c r="L814" s="41" t="str">
        <f>VLOOKUP(C814,Stores!$A$200:$G$1118,7,0)</f>
        <v>192.168.1.201</v>
      </c>
      <c r="M814" s="42" t="s">
        <v>3915</v>
      </c>
    </row>
    <row r="815">
      <c r="A815" s="38" t="s">
        <v>2962</v>
      </c>
      <c r="B815" s="38" t="s">
        <v>3982</v>
      </c>
      <c r="C815" s="38" t="s">
        <v>2078</v>
      </c>
      <c r="D815" s="39" t="s">
        <v>3983</v>
      </c>
      <c r="E815" s="38" t="s">
        <v>3081</v>
      </c>
      <c r="F815" s="40" t="s">
        <v>3975</v>
      </c>
      <c r="G815" s="45">
        <v>9.17114392E9</v>
      </c>
      <c r="H815" s="41" t="str">
        <f>VLOOKUP(C815,Stores!$A$200:$G$1118,3,0)</f>
        <v>Opened Stores</v>
      </c>
      <c r="I815" s="41" t="str">
        <f>VLOOKUP(C815,Stores!$A$200:$G$1118,4,0)</f>
        <v>Stage 7 - Installed</v>
      </c>
      <c r="J815" s="41" t="str">
        <f>VLOOKUP(C815,Stores!$A$200:$G$1118,5,0)</f>
        <v>ZKTECO</v>
      </c>
      <c r="K815" s="41" t="str">
        <f>VLOOKUP(C815,Stores!$A$200:$G$1118,6,0)</f>
        <v>CQUJ232260318</v>
      </c>
      <c r="L815" s="41" t="str">
        <f>VLOOKUP(C815,Stores!$A$200:$G$1118,7,0)</f>
        <v>192.168.1.201</v>
      </c>
      <c r="M815" s="42" t="s">
        <v>3915</v>
      </c>
    </row>
    <row r="816">
      <c r="A816" s="38" t="s">
        <v>2962</v>
      </c>
      <c r="B816" s="38" t="s">
        <v>3984</v>
      </c>
      <c r="C816" s="38" t="s">
        <v>1973</v>
      </c>
      <c r="D816" s="39" t="s">
        <v>1974</v>
      </c>
      <c r="E816" s="38" t="s">
        <v>3081</v>
      </c>
      <c r="F816" s="40" t="s">
        <v>3975</v>
      </c>
      <c r="G816" s="45">
        <v>9.17114392E9</v>
      </c>
      <c r="H816" s="41" t="str">
        <f>VLOOKUP(C816,Stores!$A$200:$G$1118,3,0)</f>
        <v>Opened Stores</v>
      </c>
      <c r="I816" s="41" t="str">
        <f>VLOOKUP(C816,Stores!$A$200:$G$1118,4,0)</f>
        <v>Stage 7 - Installed</v>
      </c>
      <c r="J816" s="41" t="str">
        <f>VLOOKUP(C816,Stores!$A$200:$G$1118,5,0)</f>
        <v>ZKTECO</v>
      </c>
      <c r="K816" s="41" t="str">
        <f>VLOOKUP(C816,Stores!$A$200:$G$1118,6,0)</f>
        <v>CQUJ233560844</v>
      </c>
      <c r="L816" s="41" t="str">
        <f>VLOOKUP(C816,Stores!$A$200:$G$1118,7,0)</f>
        <v>192.168.1.201</v>
      </c>
      <c r="M816" s="42" t="s">
        <v>3915</v>
      </c>
    </row>
    <row r="817">
      <c r="A817" s="38" t="s">
        <v>2962</v>
      </c>
      <c r="B817" s="38" t="s">
        <v>3985</v>
      </c>
      <c r="C817" s="38" t="s">
        <v>1365</v>
      </c>
      <c r="D817" s="39" t="s">
        <v>1366</v>
      </c>
      <c r="E817" s="38" t="s">
        <v>3081</v>
      </c>
      <c r="F817" s="40" t="s">
        <v>3986</v>
      </c>
      <c r="G817" s="45">
        <v>9.065635039E9</v>
      </c>
      <c r="H817" s="41" t="str">
        <f>VLOOKUP(C817,Stores!$A$200:$G$1118,3,0)</f>
        <v>Opened Stores</v>
      </c>
      <c r="I817" s="41" t="str">
        <f>VLOOKUP(C817,Stores!$A$200:$G$1118,4,0)</f>
        <v>Stage 7 - Installed</v>
      </c>
      <c r="J817" s="41" t="str">
        <f>VLOOKUP(C817,Stores!$A$200:$G$1118,5,0)</f>
        <v>ZKTECO</v>
      </c>
      <c r="K817" s="41" t="str">
        <f>VLOOKUP(C817,Stores!$A$200:$G$1118,6,0)</f>
        <v>AKDG012350231</v>
      </c>
      <c r="L817" s="41" t="str">
        <f>VLOOKUP(C817,Stores!$A$200:$G$1118,7,0)</f>
        <v>192.168.1.201</v>
      </c>
      <c r="M817" s="42" t="s">
        <v>3915</v>
      </c>
    </row>
    <row r="818">
      <c r="A818" s="38" t="s">
        <v>2962</v>
      </c>
      <c r="B818" s="38" t="s">
        <v>3987</v>
      </c>
      <c r="C818" s="38" t="s">
        <v>1237</v>
      </c>
      <c r="D818" s="39" t="s">
        <v>1238</v>
      </c>
      <c r="E818" s="38" t="s">
        <v>3081</v>
      </c>
      <c r="F818" s="40" t="s">
        <v>3988</v>
      </c>
      <c r="G818" s="45">
        <v>0.0</v>
      </c>
      <c r="H818" s="41" t="str">
        <f>VLOOKUP(C818,Stores!$A$200:$G$1118,3,0)</f>
        <v>Opened Stores</v>
      </c>
      <c r="I818" s="41" t="str">
        <f>VLOOKUP(C818,Stores!$A$200:$G$1118,4,0)</f>
        <v>Stage 7 - Installed</v>
      </c>
      <c r="J818" s="41" t="str">
        <f>VLOOKUP(C818,Stores!$A$200:$G$1118,5,0)</f>
        <v>ZKTECO</v>
      </c>
      <c r="K818" s="41" t="str">
        <f>VLOOKUP(C818,Stores!$A$200:$G$1118,6,0)</f>
        <v>AKDG012351686</v>
      </c>
      <c r="L818" s="41" t="str">
        <f>VLOOKUP(C818,Stores!$A$200:$G$1118,7,0)</f>
        <v>192.168.1.202</v>
      </c>
      <c r="M818" s="42" t="s">
        <v>3915</v>
      </c>
    </row>
    <row r="819">
      <c r="A819" s="38" t="s">
        <v>2962</v>
      </c>
      <c r="B819" s="38" t="s">
        <v>3989</v>
      </c>
      <c r="C819" s="38" t="s">
        <v>1558</v>
      </c>
      <c r="D819" s="39" t="s">
        <v>1559</v>
      </c>
      <c r="E819" s="38" t="s">
        <v>3081</v>
      </c>
      <c r="F819" s="40" t="s">
        <v>3099</v>
      </c>
      <c r="G819" s="45">
        <v>9.209473589E9</v>
      </c>
      <c r="H819" s="41" t="str">
        <f>VLOOKUP(C819,Stores!$A$200:$G$1118,3,0)</f>
        <v>Opened Stores</v>
      </c>
      <c r="I819" s="41" t="str">
        <f>VLOOKUP(C819,Stores!$A$200:$G$1118,4,0)</f>
        <v>Stage 7 - Installed</v>
      </c>
      <c r="J819" s="41" t="str">
        <f>VLOOKUP(C819,Stores!$A$200:$G$1118,5,0)</f>
        <v>ZKTECO</v>
      </c>
      <c r="K819" s="41" t="str">
        <f>VLOOKUP(C819,Stores!$A$200:$G$1118,6,0)</f>
        <v>AEYU082360231</v>
      </c>
      <c r="L819" s="41" t="str">
        <f>VLOOKUP(C819,Stores!$A$200:$G$1118,7,0)</f>
        <v>192.168.1.201</v>
      </c>
      <c r="M819" s="42" t="s">
        <v>3915</v>
      </c>
    </row>
    <row r="820">
      <c r="A820" s="38" t="s">
        <v>2962</v>
      </c>
      <c r="B820" s="38" t="s">
        <v>3990</v>
      </c>
      <c r="C820" s="38" t="s">
        <v>1403</v>
      </c>
      <c r="D820" s="39" t="s">
        <v>1404</v>
      </c>
      <c r="E820" s="38" t="s">
        <v>3081</v>
      </c>
      <c r="F820" s="40" t="s">
        <v>3986</v>
      </c>
      <c r="G820" s="45">
        <v>9.065635039E9</v>
      </c>
      <c r="H820" s="41" t="str">
        <f>VLOOKUP(C820,Stores!$A$200:$G$1118,3,0)</f>
        <v>Opened Stores</v>
      </c>
      <c r="I820" s="41" t="str">
        <f>VLOOKUP(C820,Stores!$A$200:$G$1118,4,0)</f>
        <v>Stage 7 - Installed</v>
      </c>
      <c r="J820" s="41" t="str">
        <f>VLOOKUP(C820,Stores!$A$200:$G$1118,5,0)</f>
        <v>ZKTECO</v>
      </c>
      <c r="K820" s="41" t="str">
        <f>VLOOKUP(C820,Stores!$A$200:$G$1118,6,0)</f>
        <v>AKDG012350199</v>
      </c>
      <c r="L820" s="41" t="str">
        <f>VLOOKUP(C820,Stores!$A$200:$G$1118,7,0)</f>
        <v>192.168.1.201</v>
      </c>
      <c r="M820" s="42" t="s">
        <v>3915</v>
      </c>
    </row>
    <row r="821">
      <c r="A821" s="38" t="s">
        <v>2962</v>
      </c>
      <c r="B821" s="38" t="s">
        <v>3991</v>
      </c>
      <c r="C821" s="38" t="s">
        <v>1110</v>
      </c>
      <c r="D821" s="39" t="s">
        <v>1111</v>
      </c>
      <c r="E821" s="38" t="s">
        <v>3081</v>
      </c>
      <c r="F821" s="40" t="s">
        <v>3971</v>
      </c>
      <c r="G821" s="45">
        <v>9.190065781E9</v>
      </c>
      <c r="H821" s="41" t="str">
        <f>VLOOKUP(C821,Stores!$A$200:$G$1118,3,0)</f>
        <v>Opened Stores</v>
      </c>
      <c r="I821" s="41" t="str">
        <f>VLOOKUP(C821,Stores!$A$200:$G$1118,4,0)</f>
        <v>Stage 7 - Installed</v>
      </c>
      <c r="J821" s="41" t="str">
        <f>VLOOKUP(C821,Stores!$A$200:$G$1118,5,0)</f>
        <v>ZKTECO</v>
      </c>
      <c r="K821" s="41" t="str">
        <f>VLOOKUP(C821,Stores!$A$200:$G$1118,6,0)</f>
        <v>A8N5221960301</v>
      </c>
      <c r="L821" s="41" t="str">
        <f>VLOOKUP(C821,Stores!$A$200:$G$1118,7,0)</f>
        <v>192.168.1.201</v>
      </c>
      <c r="M821" s="42" t="s">
        <v>3915</v>
      </c>
    </row>
    <row r="822">
      <c r="A822" s="38" t="s">
        <v>2962</v>
      </c>
      <c r="B822" s="38" t="s">
        <v>3992</v>
      </c>
      <c r="C822" s="38" t="s">
        <v>1081</v>
      </c>
      <c r="D822" s="39" t="s">
        <v>1082</v>
      </c>
      <c r="E822" s="38" t="s">
        <v>3081</v>
      </c>
      <c r="F822" s="40" t="s">
        <v>3946</v>
      </c>
      <c r="G822" s="45">
        <v>9.511449437E9</v>
      </c>
      <c r="H822" s="41" t="str">
        <f>VLOOKUP(C822,Stores!$A$200:$G$1118,3,0)</f>
        <v>Opened Stores</v>
      </c>
      <c r="I822" s="41" t="str">
        <f>VLOOKUP(C822,Stores!$A$200:$G$1118,4,0)</f>
        <v>Stage 7 - Installed</v>
      </c>
      <c r="J822" s="41" t="str">
        <f>VLOOKUP(C822,Stores!$A$200:$G$1118,5,0)</f>
        <v>ZKTECO</v>
      </c>
      <c r="K822" s="41" t="str">
        <f>VLOOKUP(C822,Stores!$A$200:$G$1118,6,0)</f>
        <v>A8N5221960256</v>
      </c>
      <c r="L822" s="41" t="str">
        <f>VLOOKUP(C822,Stores!$A$200:$G$1118,7,0)</f>
        <v>192.168.1.201</v>
      </c>
      <c r="M822" s="42" t="s">
        <v>3915</v>
      </c>
    </row>
    <row r="823">
      <c r="A823" s="38" t="s">
        <v>2962</v>
      </c>
      <c r="B823" s="38" t="s">
        <v>3993</v>
      </c>
      <c r="C823" s="38" t="s">
        <v>2736</v>
      </c>
      <c r="D823" s="39" t="s">
        <v>3994</v>
      </c>
      <c r="E823" s="38" t="s">
        <v>3081</v>
      </c>
      <c r="F823" s="40" t="s">
        <v>3946</v>
      </c>
      <c r="G823" s="45">
        <v>9.511449437E9</v>
      </c>
      <c r="H823" s="41" t="str">
        <f>VLOOKUP(C823,Stores!$A$200:$G$1118,3,0)</f>
        <v>Opened Stores</v>
      </c>
      <c r="I823" s="41" t="str">
        <f>VLOOKUP(C823,Stores!$A$200:$G$1118,4,0)</f>
        <v>Stage 7 - Installed</v>
      </c>
      <c r="J823" s="41" t="str">
        <f>VLOOKUP(C823,Stores!$A$200:$G$1118,5,0)</f>
        <v>ZKTECO</v>
      </c>
      <c r="K823" s="41" t="str">
        <f>VLOOKUP(C823,Stores!$A$200:$G$1118,6,0)</f>
        <v>ZKM6245100089</v>
      </c>
      <c r="L823" s="41" t="str">
        <f>VLOOKUP(C823,Stores!$A$200:$G$1118,7,0)</f>
        <v>192.168.1.201</v>
      </c>
      <c r="M823" s="42" t="s">
        <v>3915</v>
      </c>
    </row>
    <row r="824">
      <c r="A824" s="38" t="s">
        <v>2962</v>
      </c>
      <c r="B824" s="38" t="s">
        <v>3995</v>
      </c>
      <c r="C824" s="38" t="s">
        <v>2499</v>
      </c>
      <c r="D824" s="39" t="s">
        <v>2500</v>
      </c>
      <c r="E824" s="38" t="s">
        <v>3081</v>
      </c>
      <c r="F824" s="40" t="s">
        <v>3799</v>
      </c>
      <c r="G824" s="45">
        <v>9.989599745E9</v>
      </c>
      <c r="H824" s="41" t="str">
        <f>VLOOKUP(C824,Stores!$A$200:$G$1118,3,0)</f>
        <v>Opened Stores</v>
      </c>
      <c r="I824" s="41" t="str">
        <f>VLOOKUP(C824,Stores!$A$200:$G$1118,4,0)</f>
        <v>Stage 7 - Installed</v>
      </c>
      <c r="J824" s="41" t="str">
        <f>VLOOKUP(C824,Stores!$A$200:$G$1118,5,0)</f>
        <v>ZKTECO</v>
      </c>
      <c r="K824" s="41" t="str">
        <f>VLOOKUP(C824,Stores!$A$200:$G$1118,6,0)</f>
        <v>ZKM6251500177</v>
      </c>
      <c r="L824" s="41" t="str">
        <f>VLOOKUP(C824,Stores!$A$200:$G$1118,7,0)</f>
        <v>192.168.1.201</v>
      </c>
      <c r="M824" s="42" t="s">
        <v>3915</v>
      </c>
    </row>
    <row r="825">
      <c r="A825" s="38" t="s">
        <v>2962</v>
      </c>
      <c r="B825" s="38" t="s">
        <v>3996</v>
      </c>
      <c r="C825" s="38" t="s">
        <v>2432</v>
      </c>
      <c r="D825" s="39" t="s">
        <v>2433</v>
      </c>
      <c r="E825" s="38" t="s">
        <v>3081</v>
      </c>
      <c r="F825" s="40" t="s">
        <v>3085</v>
      </c>
      <c r="G825" s="45">
        <v>9.171894643E9</v>
      </c>
      <c r="H825" s="41" t="str">
        <f>VLOOKUP(C825,Stores!$A$200:$G$1118,3,0)</f>
        <v>Opened Stores</v>
      </c>
      <c r="I825" s="41" t="str">
        <f>VLOOKUP(C825,Stores!$A$200:$G$1118,4,0)</f>
        <v>Stage 7 - Installed</v>
      </c>
      <c r="J825" s="41" t="str">
        <f>VLOOKUP(C825,Stores!$A$200:$G$1118,5,0)</f>
        <v>ZKTECO</v>
      </c>
      <c r="K825" s="41" t="str">
        <f>VLOOKUP(C825,Stores!$A$200:$G$1118,6,0)</f>
        <v>ZKM6245100176</v>
      </c>
      <c r="L825" s="41" t="str">
        <f>VLOOKUP(C825,Stores!$A$200:$G$1118,7,0)</f>
        <v>192.168.1.201</v>
      </c>
      <c r="M825" s="42" t="s">
        <v>3915</v>
      </c>
    </row>
    <row r="826">
      <c r="A826" s="38" t="s">
        <v>2962</v>
      </c>
      <c r="B826" s="38" t="s">
        <v>3997</v>
      </c>
      <c r="C826" s="38" t="s">
        <v>1436</v>
      </c>
      <c r="D826" s="39" t="s">
        <v>1437</v>
      </c>
      <c r="E826" s="38" t="s">
        <v>3081</v>
      </c>
      <c r="F826" s="40" t="s">
        <v>3986</v>
      </c>
      <c r="G826" s="45">
        <v>9.065635039E9</v>
      </c>
      <c r="H826" s="41" t="str">
        <f>VLOOKUP(C826,Stores!$A$200:$G$1118,3,0)</f>
        <v>Opened Stores</v>
      </c>
      <c r="I826" s="41" t="str">
        <f>VLOOKUP(C826,Stores!$A$200:$G$1118,4,0)</f>
        <v>Stage 7 - Installed</v>
      </c>
      <c r="J826" s="41" t="str">
        <f>VLOOKUP(C826,Stores!$A$200:$G$1118,5,0)</f>
        <v>ZKTECO</v>
      </c>
      <c r="K826" s="41" t="str">
        <f>VLOOKUP(C826,Stores!$A$200:$G$1118,6,0)</f>
        <v>AKDG012350192</v>
      </c>
      <c r="L826" s="41" t="str">
        <f>VLOOKUP(C826,Stores!$A$200:$G$1118,7,0)</f>
        <v>192.168.1.201</v>
      </c>
      <c r="M826" s="42" t="s">
        <v>3915</v>
      </c>
    </row>
    <row r="827">
      <c r="A827" s="38" t="s">
        <v>2962</v>
      </c>
      <c r="B827" s="38" t="s">
        <v>3998</v>
      </c>
      <c r="C827" s="38" t="s">
        <v>1209</v>
      </c>
      <c r="D827" s="39" t="s">
        <v>1210</v>
      </c>
      <c r="E827" s="38" t="s">
        <v>3081</v>
      </c>
      <c r="F827" s="40" t="s">
        <v>3986</v>
      </c>
      <c r="G827" s="45">
        <v>9.065635039E9</v>
      </c>
      <c r="H827" s="41" t="str">
        <f>VLOOKUP(C827,Stores!$A$200:$G$1118,3,0)</f>
        <v>Opened Stores</v>
      </c>
      <c r="I827" s="41" t="str">
        <f>VLOOKUP(C827,Stores!$A$200:$G$1118,4,0)</f>
        <v>Stage 7 - Installed</v>
      </c>
      <c r="J827" s="41" t="str">
        <f>VLOOKUP(C827,Stores!$A$200:$G$1118,5,0)</f>
        <v>ZKTECO</v>
      </c>
      <c r="K827" s="41" t="str">
        <f>VLOOKUP(C827,Stores!$A$200:$G$1118,6,0)</f>
        <v>AKDG012351691</v>
      </c>
      <c r="L827" s="41" t="str">
        <f>VLOOKUP(C827,Stores!$A$200:$G$1118,7,0)</f>
        <v>192.168.1.201</v>
      </c>
      <c r="M827" s="42" t="s">
        <v>3915</v>
      </c>
    </row>
    <row r="828">
      <c r="A828" s="38" t="s">
        <v>2962</v>
      </c>
      <c r="B828" s="38" t="s">
        <v>3999</v>
      </c>
      <c r="C828" s="38" t="s">
        <v>2493</v>
      </c>
      <c r="D828" s="39" t="s">
        <v>4000</v>
      </c>
      <c r="E828" s="38" t="s">
        <v>3081</v>
      </c>
      <c r="F828" s="40" t="s">
        <v>4001</v>
      </c>
      <c r="G828" s="45">
        <v>9.976522053E9</v>
      </c>
      <c r="H828" s="41" t="str">
        <f>VLOOKUP(C828,Stores!$A$200:$G$1118,3,0)</f>
        <v>Opened Stores</v>
      </c>
      <c r="I828" s="41" t="str">
        <f>VLOOKUP(C828,Stores!$A$200:$G$1118,4,0)</f>
        <v>Stage 7 - Installed</v>
      </c>
      <c r="J828" s="41" t="str">
        <f>VLOOKUP(C828,Stores!$A$200:$G$1118,5,0)</f>
        <v>ZKTECO</v>
      </c>
      <c r="K828" s="41" t="str">
        <f>VLOOKUP(C828,Stores!$A$200:$G$1118,6,0)</f>
        <v>ZKM6245100229</v>
      </c>
      <c r="L828" s="41" t="str">
        <f>VLOOKUP(C828,Stores!$A$200:$G$1118,7,0)</f>
        <v>192.168.1.201</v>
      </c>
      <c r="M828" s="42" t="s">
        <v>3915</v>
      </c>
    </row>
    <row r="829">
      <c r="A829" s="38" t="s">
        <v>2962</v>
      </c>
      <c r="B829" s="38" t="s">
        <v>4002</v>
      </c>
      <c r="C829" s="38" t="s">
        <v>1672</v>
      </c>
      <c r="D829" s="39" t="s">
        <v>1673</v>
      </c>
      <c r="E829" s="38" t="s">
        <v>3081</v>
      </c>
      <c r="F829" s="40" t="s">
        <v>3088</v>
      </c>
      <c r="G829" s="45">
        <v>9.70251704E9</v>
      </c>
      <c r="H829" s="41" t="str">
        <f>VLOOKUP(C829,Stores!$A$200:$G$1118,3,0)</f>
        <v>Opened Stores</v>
      </c>
      <c r="I829" s="41" t="str">
        <f>VLOOKUP(C829,Stores!$A$200:$G$1118,4,0)</f>
        <v>Stage 7 - Installed</v>
      </c>
      <c r="J829" s="41" t="str">
        <f>VLOOKUP(C829,Stores!$A$200:$G$1118,5,0)</f>
        <v>ZKTECO</v>
      </c>
      <c r="K829" s="41" t="str">
        <f>VLOOKUP(C829,Stores!$A$200:$G$1118,6,0)</f>
        <v>AEYU082360197</v>
      </c>
      <c r="L829" s="41" t="str">
        <f>VLOOKUP(C829,Stores!$A$200:$G$1118,7,0)</f>
        <v>192.168.1.201</v>
      </c>
      <c r="M829" s="42" t="s">
        <v>3915</v>
      </c>
    </row>
    <row r="830">
      <c r="A830" s="38" t="s">
        <v>2962</v>
      </c>
      <c r="B830" s="38" t="s">
        <v>4003</v>
      </c>
      <c r="C830" s="38" t="s">
        <v>1021</v>
      </c>
      <c r="D830" s="39" t="s">
        <v>1022</v>
      </c>
      <c r="E830" s="38" t="s">
        <v>3081</v>
      </c>
      <c r="F830" s="40" t="s">
        <v>3801</v>
      </c>
      <c r="G830" s="45">
        <v>9.190931486E9</v>
      </c>
      <c r="H830" s="41" t="str">
        <f>VLOOKUP(C830,Stores!$A$200:$G$1118,3,0)</f>
        <v>Opened Stores</v>
      </c>
      <c r="I830" s="41" t="str">
        <f>VLOOKUP(C830,Stores!$A$200:$G$1118,4,0)</f>
        <v>Stage 7 - Installed</v>
      </c>
      <c r="J830" s="41" t="str">
        <f>VLOOKUP(C830,Stores!$A$200:$G$1118,5,0)</f>
        <v>ZKTECO</v>
      </c>
      <c r="K830" s="41" t="str">
        <f>VLOOKUP(C830,Stores!$A$200:$G$1118,6,0)</f>
        <v>A8N5221960296</v>
      </c>
      <c r="L830" s="41" t="str">
        <f>VLOOKUP(C830,Stores!$A$200:$G$1118,7,0)</f>
        <v>192.168.1.201</v>
      </c>
      <c r="M830" s="42" t="s">
        <v>3915</v>
      </c>
    </row>
    <row r="831">
      <c r="A831" s="38" t="s">
        <v>2962</v>
      </c>
      <c r="B831" s="38" t="s">
        <v>4004</v>
      </c>
      <c r="C831" s="38" t="s">
        <v>1561</v>
      </c>
      <c r="D831" s="39" t="s">
        <v>1562</v>
      </c>
      <c r="E831" s="38" t="s">
        <v>3081</v>
      </c>
      <c r="F831" s="40" t="s">
        <v>3099</v>
      </c>
      <c r="G831" s="45">
        <v>9.209473589E9</v>
      </c>
      <c r="H831" s="41" t="str">
        <f>VLOOKUP(C831,Stores!$A$200:$G$1118,3,0)</f>
        <v>Opened Stores</v>
      </c>
      <c r="I831" s="41" t="str">
        <f>VLOOKUP(C831,Stores!$A$200:$G$1118,4,0)</f>
        <v>Stage 7 - Installed</v>
      </c>
      <c r="J831" s="41" t="str">
        <f>VLOOKUP(C831,Stores!$A$200:$G$1118,5,0)</f>
        <v>ZKTECO</v>
      </c>
      <c r="K831" s="41" t="str">
        <f>VLOOKUP(C831,Stores!$A$200:$G$1118,6,0)</f>
        <v>AEYU082360247</v>
      </c>
      <c r="L831" s="41" t="str">
        <f>VLOOKUP(C831,Stores!$A$200:$G$1118,7,0)</f>
        <v>192.168.1.201</v>
      </c>
      <c r="M831" s="42" t="s">
        <v>3915</v>
      </c>
    </row>
    <row r="832">
      <c r="A832" s="38" t="s">
        <v>2962</v>
      </c>
      <c r="B832" s="38" t="s">
        <v>4005</v>
      </c>
      <c r="C832" s="38" t="s">
        <v>2182</v>
      </c>
      <c r="D832" s="39" t="s">
        <v>2183</v>
      </c>
      <c r="E832" s="38" t="s">
        <v>3081</v>
      </c>
      <c r="F832" s="40" t="s">
        <v>3082</v>
      </c>
      <c r="G832" s="45">
        <v>9.658455599E9</v>
      </c>
      <c r="H832" s="41" t="str">
        <f>VLOOKUP(C832,Stores!$A$200:$G$1118,3,0)</f>
        <v>Opened Stores</v>
      </c>
      <c r="I832" s="41" t="str">
        <f>VLOOKUP(C832,Stores!$A$200:$G$1118,4,0)</f>
        <v>Stage 7 - Installed</v>
      </c>
      <c r="J832" s="41" t="str">
        <f>VLOOKUP(C832,Stores!$A$200:$G$1118,5,0)</f>
        <v>ZKTECO</v>
      </c>
      <c r="K832" s="41" t="str">
        <f>VLOOKUP(C832,Stores!$A$200:$G$1118,6,0)</f>
        <v>CQUJ233560143</v>
      </c>
      <c r="L832" s="41" t="str">
        <f>VLOOKUP(C832,Stores!$A$200:$G$1118,7,0)</f>
        <v>192.168.1.201</v>
      </c>
      <c r="M832" s="42" t="s">
        <v>3915</v>
      </c>
    </row>
    <row r="833">
      <c r="A833" s="38" t="s">
        <v>2962</v>
      </c>
      <c r="B833" s="38" t="s">
        <v>4006</v>
      </c>
      <c r="C833" s="38" t="s">
        <v>2706</v>
      </c>
      <c r="D833" s="39" t="s">
        <v>2707</v>
      </c>
      <c r="E833" s="38" t="s">
        <v>3081</v>
      </c>
      <c r="F833" s="40" t="s">
        <v>3939</v>
      </c>
      <c r="G833" s="45">
        <v>9.171610238E9</v>
      </c>
      <c r="H833" s="41" t="str">
        <f>VLOOKUP(C833,Stores!$A$200:$G$1118,3,0)</f>
        <v>Opened Stores</v>
      </c>
      <c r="I833" s="41" t="str">
        <f>VLOOKUP(C833,Stores!$A$200:$G$1118,4,0)</f>
        <v>Stage 7 - Installed</v>
      </c>
      <c r="J833" s="41" t="str">
        <f>VLOOKUP(C833,Stores!$A$200:$G$1118,5,0)</f>
        <v>ZKTECO</v>
      </c>
      <c r="K833" s="41" t="str">
        <f>VLOOKUP(C833,Stores!$A$200:$G$1118,6,0)</f>
        <v>ZKM6251700166</v>
      </c>
      <c r="L833" s="41" t="str">
        <f>VLOOKUP(C833,Stores!$A$200:$G$1118,7,0)</f>
        <v>192.168.1.201</v>
      </c>
      <c r="M833" s="42" t="s">
        <v>3915</v>
      </c>
    </row>
    <row r="834">
      <c r="A834" s="38" t="s">
        <v>2962</v>
      </c>
      <c r="B834" s="38" t="s">
        <v>4007</v>
      </c>
      <c r="C834" s="38" t="s">
        <v>2336</v>
      </c>
      <c r="D834" s="39" t="s">
        <v>4008</v>
      </c>
      <c r="E834" s="38" t="s">
        <v>3081</v>
      </c>
      <c r="F834" s="40" t="s">
        <v>3801</v>
      </c>
      <c r="G834" s="45">
        <v>9.190931486E9</v>
      </c>
      <c r="H834" s="41" t="str">
        <f>VLOOKUP(C834,Stores!$A$200:$G$1118,3,0)</f>
        <v>Opened Stores</v>
      </c>
      <c r="I834" s="41" t="str">
        <f>VLOOKUP(C834,Stores!$A$200:$G$1118,4,0)</f>
        <v>Stage 7 - Installed</v>
      </c>
      <c r="J834" s="41" t="str">
        <f>VLOOKUP(C834,Stores!$A$200:$G$1118,5,0)</f>
        <v>ZKTECO</v>
      </c>
      <c r="K834" s="41" t="str">
        <f>VLOOKUP(C834,Stores!$A$200:$G$1118,6,0)</f>
        <v>ZKM6245100269</v>
      </c>
      <c r="L834" s="41" t="str">
        <f>VLOOKUP(C834,Stores!$A$200:$G$1118,7,0)</f>
        <v>192.168.1.201</v>
      </c>
      <c r="M834" s="42" t="s">
        <v>3915</v>
      </c>
    </row>
    <row r="835">
      <c r="A835" s="38" t="s">
        <v>2962</v>
      </c>
      <c r="B835" s="38" t="s">
        <v>4009</v>
      </c>
      <c r="C835" s="38" t="s">
        <v>1391</v>
      </c>
      <c r="D835" s="39" t="s">
        <v>1392</v>
      </c>
      <c r="E835" s="38" t="s">
        <v>3081</v>
      </c>
      <c r="F835" s="40" t="s">
        <v>3809</v>
      </c>
      <c r="G835" s="45">
        <v>9.285019882E9</v>
      </c>
      <c r="H835" s="41" t="str">
        <f>VLOOKUP(C835,Stores!$A$200:$G$1118,3,0)</f>
        <v>Opened Stores</v>
      </c>
      <c r="I835" s="41" t="str">
        <f>VLOOKUP(C835,Stores!$A$200:$G$1118,4,0)</f>
        <v>Stage 7 - Installed</v>
      </c>
      <c r="J835" s="41" t="str">
        <f>VLOOKUP(C835,Stores!$A$200:$G$1118,5,0)</f>
        <v>ZKTECO</v>
      </c>
      <c r="K835" s="41" t="str">
        <f>VLOOKUP(C835,Stores!$A$200:$G$1118,6,0)</f>
        <v>AKDG012350215</v>
      </c>
      <c r="L835" s="41" t="str">
        <f>VLOOKUP(C835,Stores!$A$200:$G$1118,7,0)</f>
        <v>192.168.1.201</v>
      </c>
      <c r="M835" s="42" t="s">
        <v>3915</v>
      </c>
    </row>
    <row r="836">
      <c r="A836" s="38" t="s">
        <v>2962</v>
      </c>
      <c r="B836" s="38" t="s">
        <v>4010</v>
      </c>
      <c r="C836" s="38" t="s">
        <v>2608</v>
      </c>
      <c r="D836" s="39" t="s">
        <v>2609</v>
      </c>
      <c r="E836" s="38" t="s">
        <v>3081</v>
      </c>
      <c r="F836" s="40" t="s">
        <v>3797</v>
      </c>
      <c r="G836" s="45">
        <v>9.305225661E9</v>
      </c>
      <c r="H836" s="41" t="str">
        <f>VLOOKUP(C836,Stores!$A$200:$G$1118,3,0)</f>
        <v>Opened Stores</v>
      </c>
      <c r="I836" s="41" t="str">
        <f>VLOOKUP(C836,Stores!$A$200:$G$1118,4,0)</f>
        <v>Stage 7 - Installed</v>
      </c>
      <c r="J836" s="41" t="str">
        <f>VLOOKUP(C836,Stores!$A$200:$G$1118,5,0)</f>
        <v>ZKTECO</v>
      </c>
      <c r="K836" s="41" t="str">
        <f>VLOOKUP(C836,Stores!$A$200:$G$1118,6,0)</f>
        <v>ZKM6251400181</v>
      </c>
      <c r="L836" s="41" t="str">
        <f>VLOOKUP(C836,Stores!$A$200:$G$1118,7,0)</f>
        <v>192.168.1.201</v>
      </c>
      <c r="M836" s="42" t="s">
        <v>3915</v>
      </c>
    </row>
    <row r="837">
      <c r="A837" s="38" t="s">
        <v>2962</v>
      </c>
      <c r="B837" s="38" t="s">
        <v>4011</v>
      </c>
      <c r="C837" s="38" t="s">
        <v>2926</v>
      </c>
      <c r="D837" s="39" t="s">
        <v>2927</v>
      </c>
      <c r="E837" s="38" t="s">
        <v>3081</v>
      </c>
      <c r="F837" s="40" t="s">
        <v>3088</v>
      </c>
      <c r="G837" s="45">
        <v>9.70251704E9</v>
      </c>
      <c r="H837" s="41" t="str">
        <f>VLOOKUP(C837,Stores!$A$200:$G$1118,3,0)</f>
        <v>Opened Stores</v>
      </c>
      <c r="I837" s="41" t="str">
        <f>VLOOKUP(C837,Stores!$A$200:$G$1118,4,0)</f>
        <v>Stage 7 - Installed</v>
      </c>
      <c r="J837" s="41" t="str">
        <f>VLOOKUP(C837,Stores!$A$200:$G$1118,5,0)</f>
        <v>ZKTECO</v>
      </c>
      <c r="K837" s="41" t="str">
        <f>VLOOKUP(C837,Stores!$A$200:$G$1118,6,0)</f>
        <v>PAS4253000024</v>
      </c>
      <c r="L837" s="41" t="str">
        <f>VLOOKUP(C837,Stores!$A$200:$G$1118,7,0)</f>
        <v>192.168.1.201</v>
      </c>
      <c r="M837" s="42" t="s">
        <v>3915</v>
      </c>
    </row>
    <row r="838">
      <c r="A838" s="38" t="s">
        <v>2962</v>
      </c>
      <c r="B838" s="38" t="s">
        <v>4012</v>
      </c>
      <c r="C838" s="38" t="s">
        <v>1182</v>
      </c>
      <c r="D838" s="39" t="s">
        <v>1183</v>
      </c>
      <c r="E838" s="38" t="s">
        <v>3081</v>
      </c>
      <c r="F838" s="40" t="s">
        <v>3928</v>
      </c>
      <c r="G838" s="45">
        <v>6.39171894684E11</v>
      </c>
      <c r="H838" s="41" t="str">
        <f>VLOOKUP(C838,Stores!$A$200:$G$1118,3,0)</f>
        <v>Opened Stores</v>
      </c>
      <c r="I838" s="41" t="str">
        <f>VLOOKUP(C838,Stores!$A$200:$G$1118,4,0)</f>
        <v>Stage 7 - Installed</v>
      </c>
      <c r="J838" s="41" t="str">
        <f>VLOOKUP(C838,Stores!$A$200:$G$1118,5,0)</f>
        <v>ZKTECO</v>
      </c>
      <c r="K838" s="41" t="str">
        <f>VLOOKUP(C838,Stores!$A$200:$G$1118,6,0)</f>
        <v>A8N5221960160</v>
      </c>
      <c r="L838" s="41" t="str">
        <f>VLOOKUP(C838,Stores!$A$200:$G$1118,7,0)</f>
        <v>192.168.1.201</v>
      </c>
      <c r="M838" s="42" t="s">
        <v>3915</v>
      </c>
    </row>
    <row r="839">
      <c r="A839" s="38" t="s">
        <v>2962</v>
      </c>
      <c r="B839" s="38" t="s">
        <v>4013</v>
      </c>
      <c r="C839" s="38" t="s">
        <v>1886</v>
      </c>
      <c r="D839" s="39" t="s">
        <v>1887</v>
      </c>
      <c r="E839" s="38" t="s">
        <v>3081</v>
      </c>
      <c r="F839" s="40" t="s">
        <v>3104</v>
      </c>
      <c r="G839" s="45">
        <v>6.39176341749E11</v>
      </c>
      <c r="H839" s="41" t="str">
        <f>VLOOKUP(C839,Stores!$A$200:$G$1118,3,0)</f>
        <v>Opened Stores</v>
      </c>
      <c r="I839" s="41" t="str">
        <f>VLOOKUP(C839,Stores!$A$200:$G$1118,4,0)</f>
        <v>Stage 7 - Installed</v>
      </c>
      <c r="J839" s="41" t="str">
        <f>VLOOKUP(C839,Stores!$A$200:$G$1118,5,0)</f>
        <v>ZKTECO</v>
      </c>
      <c r="K839" s="41" t="str">
        <f>VLOOKUP(C839,Stores!$A$200:$G$1118,6,0)</f>
        <v>CQUJ233561101</v>
      </c>
      <c r="L839" s="41" t="str">
        <f>VLOOKUP(C839,Stores!$A$200:$G$1118,7,0)</f>
        <v>192.168.1.201</v>
      </c>
      <c r="M839" s="42" t="s">
        <v>3915</v>
      </c>
    </row>
    <row r="840">
      <c r="A840" s="38" t="s">
        <v>2962</v>
      </c>
      <c r="B840" s="38" t="s">
        <v>4014</v>
      </c>
      <c r="C840" s="38" t="s">
        <v>1379</v>
      </c>
      <c r="D840" s="39" t="s">
        <v>1380</v>
      </c>
      <c r="E840" s="38" t="s">
        <v>3081</v>
      </c>
      <c r="F840" s="40" t="s">
        <v>3104</v>
      </c>
      <c r="G840" s="45">
        <v>6.39176341749E11</v>
      </c>
      <c r="H840" s="41" t="str">
        <f>VLOOKUP(C840,Stores!$A$200:$G$1118,3,0)</f>
        <v>Opened Stores</v>
      </c>
      <c r="I840" s="41" t="str">
        <f>VLOOKUP(C840,Stores!$A$200:$G$1118,4,0)</f>
        <v>Stage 7 - Installed</v>
      </c>
      <c r="J840" s="41" t="str">
        <f>VLOOKUP(C840,Stores!$A$200:$G$1118,5,0)</f>
        <v>ZKTECO</v>
      </c>
      <c r="K840" s="41" t="str">
        <f>VLOOKUP(C840,Stores!$A$200:$G$1118,6,0)</f>
        <v>AKDG012350207</v>
      </c>
      <c r="L840" s="41" t="str">
        <f>VLOOKUP(C840,Stores!$A$200:$G$1118,7,0)</f>
        <v>192.168.1.201</v>
      </c>
      <c r="M840" s="42" t="s">
        <v>3915</v>
      </c>
    </row>
    <row r="841">
      <c r="A841" s="38" t="s">
        <v>2962</v>
      </c>
      <c r="B841" s="38" t="s">
        <v>4015</v>
      </c>
      <c r="C841" s="38" t="s">
        <v>2751</v>
      </c>
      <c r="D841" s="39" t="s">
        <v>2752</v>
      </c>
      <c r="E841" s="38" t="s">
        <v>3081</v>
      </c>
      <c r="F841" s="40" t="s">
        <v>3922</v>
      </c>
      <c r="G841" s="45">
        <v>9.171610118E9</v>
      </c>
      <c r="H841" s="41" t="str">
        <f>VLOOKUP(C841,Stores!$A$200:$G$1118,3,0)</f>
        <v>Opened Stores</v>
      </c>
      <c r="I841" s="41" t="str">
        <f>VLOOKUP(C841,Stores!$A$200:$G$1118,4,0)</f>
        <v>Stage 7 - Installed</v>
      </c>
      <c r="J841" s="41" t="str">
        <f>VLOOKUP(C841,Stores!$A$200:$G$1118,5,0)</f>
        <v>ZKTECO</v>
      </c>
      <c r="K841" s="41" t="str">
        <f>VLOOKUP(C841,Stores!$A$200:$G$1118,6,0)</f>
        <v>ZKM6251500287</v>
      </c>
      <c r="L841" s="41" t="str">
        <f>VLOOKUP(C841,Stores!$A$200:$G$1118,7,0)</f>
        <v>192.168.1.201</v>
      </c>
      <c r="M841" s="42" t="s">
        <v>3915</v>
      </c>
    </row>
    <row r="842">
      <c r="A842" s="38" t="s">
        <v>2962</v>
      </c>
      <c r="B842" s="38" t="s">
        <v>4016</v>
      </c>
      <c r="C842" s="38" t="s">
        <v>1517</v>
      </c>
      <c r="D842" s="39" t="s">
        <v>1518</v>
      </c>
      <c r="E842" s="38" t="s">
        <v>3081</v>
      </c>
      <c r="F842" s="40" t="s">
        <v>4001</v>
      </c>
      <c r="G842" s="45">
        <v>9.976522053E9</v>
      </c>
      <c r="H842" s="41" t="str">
        <f>VLOOKUP(C842,Stores!$A$200:$G$1118,3,0)</f>
        <v>Opened Stores</v>
      </c>
      <c r="I842" s="41" t="str">
        <f>VLOOKUP(C842,Stores!$A$200:$G$1118,4,0)</f>
        <v>Stage 7 - Installed</v>
      </c>
      <c r="J842" s="41" t="str">
        <f>VLOOKUP(C842,Stores!$A$200:$G$1118,5,0)</f>
        <v>ZKTECO</v>
      </c>
      <c r="K842" s="41" t="str">
        <f>VLOOKUP(C842,Stores!$A$200:$G$1118,6,0)</f>
        <v>AEYU082360261</v>
      </c>
      <c r="L842" s="41" t="str">
        <f>VLOOKUP(C842,Stores!$A$200:$G$1118,7,0)</f>
        <v>192.168.1.201</v>
      </c>
      <c r="M842" s="42" t="s">
        <v>3915</v>
      </c>
    </row>
    <row r="843">
      <c r="A843" s="38" t="s">
        <v>2962</v>
      </c>
      <c r="B843" s="38" t="s">
        <v>4017</v>
      </c>
      <c r="C843" s="38" t="s">
        <v>2420</v>
      </c>
      <c r="D843" s="39" t="s">
        <v>4018</v>
      </c>
      <c r="E843" s="38" t="s">
        <v>3081</v>
      </c>
      <c r="F843" s="40" t="s">
        <v>3935</v>
      </c>
      <c r="G843" s="45">
        <v>9.681814625E9</v>
      </c>
      <c r="H843" s="41" t="str">
        <f>VLOOKUP(C843,Stores!$A$200:$G$1118,3,0)</f>
        <v>Opened Stores</v>
      </c>
      <c r="I843" s="41" t="str">
        <f>VLOOKUP(C843,Stores!$A$200:$G$1118,4,0)</f>
        <v>Stage 7 - Installed</v>
      </c>
      <c r="J843" s="41" t="str">
        <f>VLOOKUP(C843,Stores!$A$200:$G$1118,5,0)</f>
        <v>ZKTECO</v>
      </c>
      <c r="K843" s="41" t="str">
        <f>VLOOKUP(C843,Stores!$A$200:$G$1118,6,0)</f>
        <v>ZKM6245100114</v>
      </c>
      <c r="L843" s="41" t="str">
        <f>VLOOKUP(C843,Stores!$A$200:$G$1118,7,0)</f>
        <v>192.168.1.201</v>
      </c>
      <c r="M843" s="42" t="s">
        <v>3915</v>
      </c>
    </row>
    <row r="844">
      <c r="A844" s="38" t="s">
        <v>2962</v>
      </c>
      <c r="B844" s="38" t="s">
        <v>4019</v>
      </c>
      <c r="C844" s="38" t="s">
        <v>1279</v>
      </c>
      <c r="D844" s="39" t="s">
        <v>1280</v>
      </c>
      <c r="E844" s="38" t="s">
        <v>3081</v>
      </c>
      <c r="F844" s="40" t="s">
        <v>3925</v>
      </c>
      <c r="G844" s="45">
        <v>9.190015299E9</v>
      </c>
      <c r="H844" s="41" t="str">
        <f>VLOOKUP(C844,Stores!$A$200:$G$1118,3,0)</f>
        <v>Opened Stores</v>
      </c>
      <c r="I844" s="41" t="str">
        <f>VLOOKUP(C844,Stores!$A$200:$G$1118,4,0)</f>
        <v>Stage 7 - Installed</v>
      </c>
      <c r="J844" s="41" t="str">
        <f>VLOOKUP(C844,Stores!$A$200:$G$1118,5,0)</f>
        <v>ZKTECO</v>
      </c>
      <c r="K844" s="41" t="str">
        <f>VLOOKUP(C844,Stores!$A$200:$G$1118,6,0)</f>
        <v>CMZG122250771</v>
      </c>
      <c r="L844" s="41" t="str">
        <f>VLOOKUP(C844,Stores!$A$200:$G$1118,7,0)</f>
        <v>192.168.1.201</v>
      </c>
      <c r="M844" s="42" t="s">
        <v>3915</v>
      </c>
    </row>
    <row r="845">
      <c r="A845" s="38" t="s">
        <v>2962</v>
      </c>
      <c r="B845" s="38" t="s">
        <v>4020</v>
      </c>
      <c r="C845" s="38" t="s">
        <v>1234</v>
      </c>
      <c r="D845" s="39" t="s">
        <v>1235</v>
      </c>
      <c r="E845" s="38" t="s">
        <v>3081</v>
      </c>
      <c r="F845" s="40" t="s">
        <v>3093</v>
      </c>
      <c r="G845" s="45">
        <v>9.763291296E9</v>
      </c>
      <c r="H845" s="41" t="str">
        <f>VLOOKUP(C845,Stores!$A$200:$G$1118,3,0)</f>
        <v>Opened Stores</v>
      </c>
      <c r="I845" s="41" t="str">
        <f>VLOOKUP(C845,Stores!$A$200:$G$1118,4,0)</f>
        <v>Stage 7 - Installed</v>
      </c>
      <c r="J845" s="41" t="str">
        <f>VLOOKUP(C845,Stores!$A$200:$G$1118,5,0)</f>
        <v>ZKTECO</v>
      </c>
      <c r="K845" s="41" t="str">
        <f>VLOOKUP(C845,Stores!$A$200:$G$1118,6,0)</f>
        <v>CMZG122250770</v>
      </c>
      <c r="L845" s="41" t="str">
        <f>VLOOKUP(C845,Stores!$A$200:$G$1118,7,0)</f>
        <v>192.168.1.202</v>
      </c>
      <c r="M845" s="42" t="s">
        <v>3915</v>
      </c>
    </row>
    <row r="846">
      <c r="A846" s="38" t="s">
        <v>2962</v>
      </c>
      <c r="B846" s="38" t="s">
        <v>4021</v>
      </c>
      <c r="C846" s="38" t="s">
        <v>2081</v>
      </c>
      <c r="D846" s="39" t="s">
        <v>4022</v>
      </c>
      <c r="E846" s="38" t="s">
        <v>3081</v>
      </c>
      <c r="F846" s="40" t="s">
        <v>4001</v>
      </c>
      <c r="G846" s="45">
        <v>9.976522053E9</v>
      </c>
      <c r="H846" s="41" t="str">
        <f>VLOOKUP(C846,Stores!$A$200:$G$1118,3,0)</f>
        <v>Opened Stores</v>
      </c>
      <c r="I846" s="41" t="str">
        <f>VLOOKUP(C846,Stores!$A$200:$G$1118,4,0)</f>
        <v>Stage 7 - Installed</v>
      </c>
      <c r="J846" s="41" t="str">
        <f>VLOOKUP(C846,Stores!$A$200:$G$1118,5,0)</f>
        <v>ZKTECO</v>
      </c>
      <c r="K846" s="41" t="str">
        <f>VLOOKUP(C846,Stores!$A$200:$G$1118,6,0)</f>
        <v>CQUJ233561141</v>
      </c>
      <c r="L846" s="41" t="str">
        <f>VLOOKUP(C846,Stores!$A$200:$G$1118,7,0)</f>
        <v>192.168.1.201</v>
      </c>
      <c r="M846" s="42" t="s">
        <v>3915</v>
      </c>
    </row>
    <row r="847">
      <c r="A847" s="38" t="s">
        <v>2962</v>
      </c>
      <c r="B847" s="38" t="s">
        <v>4023</v>
      </c>
      <c r="C847" s="38" t="s">
        <v>2572</v>
      </c>
      <c r="D847" s="39" t="s">
        <v>4024</v>
      </c>
      <c r="E847" s="38" t="s">
        <v>3081</v>
      </c>
      <c r="F847" s="40" t="s">
        <v>3939</v>
      </c>
      <c r="G847" s="45">
        <v>9.171610238E9</v>
      </c>
      <c r="H847" s="41" t="str">
        <f>VLOOKUP(C847,Stores!$A$200:$G$1118,3,0)</f>
        <v>Opened Stores</v>
      </c>
      <c r="I847" s="41" t="str">
        <f>VLOOKUP(C847,Stores!$A$200:$G$1118,4,0)</f>
        <v>Stage 7 - Installed</v>
      </c>
      <c r="J847" s="41" t="str">
        <f>VLOOKUP(C847,Stores!$A$200:$G$1118,5,0)</f>
        <v>ZKTECO</v>
      </c>
      <c r="K847" s="41" t="str">
        <f>VLOOKUP(C847,Stores!$A$200:$G$1118,6,0)</f>
        <v>PAS4252500026</v>
      </c>
      <c r="L847" s="41" t="str">
        <f>VLOOKUP(C847,Stores!$A$200:$G$1118,7,0)</f>
        <v>192.168.1.201</v>
      </c>
      <c r="M847" s="42" t="s">
        <v>3915</v>
      </c>
    </row>
    <row r="848">
      <c r="A848" s="38" t="s">
        <v>2962</v>
      </c>
      <c r="B848" s="38" t="s">
        <v>4025</v>
      </c>
      <c r="C848" s="38" t="s">
        <v>1356</v>
      </c>
      <c r="D848" s="39" t="s">
        <v>1357</v>
      </c>
      <c r="E848" s="38" t="s">
        <v>3081</v>
      </c>
      <c r="F848" s="40" t="s">
        <v>3791</v>
      </c>
      <c r="G848" s="45">
        <v>9.992237545E9</v>
      </c>
      <c r="H848" s="41" t="str">
        <f>VLOOKUP(C848,Stores!$A$200:$G$1118,3,0)</f>
        <v>Opened Stores</v>
      </c>
      <c r="I848" s="41" t="str">
        <f>VLOOKUP(C848,Stores!$A$200:$G$1118,4,0)</f>
        <v>Stage 7 - Installed</v>
      </c>
      <c r="J848" s="41" t="str">
        <f>VLOOKUP(C848,Stores!$A$200:$G$1118,5,0)</f>
        <v>ZKTECO</v>
      </c>
      <c r="K848" s="41" t="str">
        <f>VLOOKUP(C848,Stores!$A$200:$G$1118,6,0)</f>
        <v>AKDG012350209</v>
      </c>
      <c r="L848" s="41" t="str">
        <f>VLOOKUP(C848,Stores!$A$200:$G$1118,7,0)</f>
        <v>192.168.1.201</v>
      </c>
      <c r="M848" s="42" t="s">
        <v>3915</v>
      </c>
    </row>
    <row r="849">
      <c r="A849" s="38" t="s">
        <v>2962</v>
      </c>
      <c r="B849" s="38" t="s">
        <v>4026</v>
      </c>
      <c r="C849" s="38" t="s">
        <v>1603</v>
      </c>
      <c r="D849" s="39" t="s">
        <v>1604</v>
      </c>
      <c r="E849" s="38" t="s">
        <v>3081</v>
      </c>
      <c r="F849" s="40" t="s">
        <v>3939</v>
      </c>
      <c r="G849" s="45">
        <v>9.171610238E9</v>
      </c>
      <c r="H849" s="41" t="str">
        <f>VLOOKUP(C849,Stores!$A$200:$G$1118,3,0)</f>
        <v>Opened Stores</v>
      </c>
      <c r="I849" s="41" t="str">
        <f>VLOOKUP(C849,Stores!$A$200:$G$1118,4,0)</f>
        <v>Stage 7 - Installed</v>
      </c>
      <c r="J849" s="41" t="str">
        <f>VLOOKUP(C849,Stores!$A$200:$G$1118,5,0)</f>
        <v>ZKTECO</v>
      </c>
      <c r="K849" s="41" t="str">
        <f>VLOOKUP(C849,Stores!$A$200:$G$1118,6,0)</f>
        <v>AEYU082360240</v>
      </c>
      <c r="L849" s="41" t="str">
        <f>VLOOKUP(C849,Stores!$A$200:$G$1118,7,0)</f>
        <v>192.168.1.201</v>
      </c>
      <c r="M849" s="42" t="s">
        <v>3915</v>
      </c>
    </row>
    <row r="850">
      <c r="A850" s="38" t="s">
        <v>2962</v>
      </c>
      <c r="B850" s="38" t="s">
        <v>4027</v>
      </c>
      <c r="C850" s="38" t="s">
        <v>2426</v>
      </c>
      <c r="D850" s="39" t="s">
        <v>2427</v>
      </c>
      <c r="E850" s="38" t="s">
        <v>3081</v>
      </c>
      <c r="F850" s="40" t="s">
        <v>3809</v>
      </c>
      <c r="G850" s="45">
        <v>9.285019882E9</v>
      </c>
      <c r="H850" s="41" t="str">
        <f>VLOOKUP(C850,Stores!$A$200:$G$1118,3,0)</f>
        <v>Opened Stores</v>
      </c>
      <c r="I850" s="41" t="str">
        <f>VLOOKUP(C850,Stores!$A$200:$G$1118,4,0)</f>
        <v>Stage 7 - Installed</v>
      </c>
      <c r="J850" s="41" t="str">
        <f>VLOOKUP(C850,Stores!$A$200:$G$1118,5,0)</f>
        <v>ZKTECO</v>
      </c>
      <c r="K850" s="41" t="str">
        <f>VLOOKUP(C850,Stores!$A$200:$G$1118,6,0)</f>
        <v>ZKM6245100178</v>
      </c>
      <c r="L850" s="41" t="str">
        <f>VLOOKUP(C850,Stores!$A$200:$G$1118,7,0)</f>
        <v>192.168.1.201</v>
      </c>
      <c r="M850" s="42" t="s">
        <v>3915</v>
      </c>
    </row>
    <row r="851">
      <c r="A851" s="38" t="s">
        <v>2962</v>
      </c>
      <c r="B851" s="38" t="s">
        <v>4028</v>
      </c>
      <c r="C851" s="38" t="s">
        <v>2748</v>
      </c>
      <c r="D851" s="39" t="s">
        <v>2749</v>
      </c>
      <c r="E851" s="38" t="s">
        <v>3081</v>
      </c>
      <c r="F851" s="40" t="s">
        <v>3090</v>
      </c>
      <c r="G851" s="45">
        <v>9.088671744E9</v>
      </c>
      <c r="H851" s="41" t="str">
        <f>VLOOKUP(C851,Stores!$A$200:$G$1118,3,0)</f>
        <v>Opened Stores</v>
      </c>
      <c r="I851" s="41" t="str">
        <f>VLOOKUP(C851,Stores!$A$200:$G$1118,4,0)</f>
        <v>Stage 7 - Installed</v>
      </c>
      <c r="J851" s="41" t="str">
        <f>VLOOKUP(C851,Stores!$A$200:$G$1118,5,0)</f>
        <v>ZKTECO</v>
      </c>
      <c r="K851" s="41" t="str">
        <f>VLOOKUP(C851,Stores!$A$200:$G$1118,6,0)</f>
        <v>PAS4252900101</v>
      </c>
      <c r="L851" s="41" t="str">
        <f>VLOOKUP(C851,Stores!$A$200:$G$1118,7,0)</f>
        <v>192.168.1.201</v>
      </c>
      <c r="M851" s="42" t="s">
        <v>3915</v>
      </c>
    </row>
    <row r="852">
      <c r="A852" s="38" t="s">
        <v>2962</v>
      </c>
      <c r="B852" s="38" t="s">
        <v>4029</v>
      </c>
      <c r="C852" s="38" t="s">
        <v>1101</v>
      </c>
      <c r="D852" s="39" t="s">
        <v>1102</v>
      </c>
      <c r="E852" s="38" t="s">
        <v>3106</v>
      </c>
      <c r="F852" s="40" t="s">
        <v>4030</v>
      </c>
      <c r="G852" s="45">
        <v>6.39059234279E11</v>
      </c>
      <c r="H852" s="41" t="str">
        <f>VLOOKUP(C852,Stores!$A$200:$G$1118,3,0)</f>
        <v>Opened Stores</v>
      </c>
      <c r="I852" s="41" t="str">
        <f>VLOOKUP(C852,Stores!$A$200:$G$1118,4,0)</f>
        <v>Stage 7 - Installed</v>
      </c>
      <c r="J852" s="41" t="str">
        <f>VLOOKUP(C852,Stores!$A$200:$G$1118,5,0)</f>
        <v>ZKTECO</v>
      </c>
      <c r="K852" s="41" t="str">
        <f>VLOOKUP(C852,Stores!$A$200:$G$1118,6,0)</f>
        <v>A8N5221960249</v>
      </c>
      <c r="L852" s="41" t="str">
        <f>VLOOKUP(C852,Stores!$A$200:$G$1118,7,0)</f>
        <v>192.168.1.201</v>
      </c>
      <c r="M852" s="42" t="s">
        <v>3915</v>
      </c>
    </row>
    <row r="853">
      <c r="A853" s="38" t="s">
        <v>2962</v>
      </c>
      <c r="B853" s="38" t="s">
        <v>4031</v>
      </c>
      <c r="C853" s="38" t="s">
        <v>1815</v>
      </c>
      <c r="D853" s="39" t="s">
        <v>1816</v>
      </c>
      <c r="E853" s="38" t="s">
        <v>3106</v>
      </c>
      <c r="F853" s="45">
        <v>0.0</v>
      </c>
      <c r="G853" s="45">
        <v>0.0</v>
      </c>
      <c r="H853" s="41" t="str">
        <f>VLOOKUP(C853,Stores!$A$200:$G$1118,3,0)</f>
        <v>Opened Stores</v>
      </c>
      <c r="I853" s="41" t="str">
        <f>VLOOKUP(C853,Stores!$A$200:$G$1118,4,0)</f>
        <v>Stage 7 - Installed</v>
      </c>
      <c r="J853" s="41" t="str">
        <f>VLOOKUP(C853,Stores!$A$200:$G$1118,5,0)</f>
        <v>ZKTECO</v>
      </c>
      <c r="K853" s="41" t="str">
        <f>VLOOKUP(C853,Stores!$A$200:$G$1118,6,0)</f>
        <v>CQUJ233561236</v>
      </c>
      <c r="L853" s="41" t="str">
        <f>VLOOKUP(C853,Stores!$A$200:$G$1118,7,0)</f>
        <v>192.168.1.201</v>
      </c>
      <c r="M853" s="42" t="s">
        <v>3915</v>
      </c>
    </row>
    <row r="854">
      <c r="A854" s="38" t="s">
        <v>2962</v>
      </c>
      <c r="B854" s="38" t="s">
        <v>4032</v>
      </c>
      <c r="C854" s="38" t="s">
        <v>2784</v>
      </c>
      <c r="D854" s="39" t="s">
        <v>2785</v>
      </c>
      <c r="E854" s="38" t="s">
        <v>3106</v>
      </c>
      <c r="F854" s="40" t="s">
        <v>4033</v>
      </c>
      <c r="G854" s="45">
        <v>9.189455877E9</v>
      </c>
      <c r="H854" s="41" t="str">
        <f>VLOOKUP(C854,Stores!$A$200:$G$1118,3,0)</f>
        <v>Opened Stores</v>
      </c>
      <c r="I854" s="41" t="str">
        <f>VLOOKUP(C854,Stores!$A$200:$G$1118,4,0)</f>
        <v>Stage 7 - Installed</v>
      </c>
      <c r="J854" s="41" t="str">
        <f>VLOOKUP(C854,Stores!$A$200:$G$1118,5,0)</f>
        <v>ZKTECO</v>
      </c>
      <c r="K854" s="41" t="str">
        <f>VLOOKUP(C854,Stores!$A$200:$G$1118,6,0)</f>
        <v>ZKM6251400030</v>
      </c>
      <c r="L854" s="41" t="str">
        <f>VLOOKUP(C854,Stores!$A$200:$G$1118,7,0)</f>
        <v>192.168.1.201</v>
      </c>
      <c r="M854" s="42" t="s">
        <v>3915</v>
      </c>
    </row>
    <row r="855">
      <c r="A855" s="38" t="s">
        <v>2962</v>
      </c>
      <c r="B855" s="38" t="s">
        <v>4034</v>
      </c>
      <c r="C855" s="38" t="s">
        <v>2036</v>
      </c>
      <c r="D855" s="39" t="s">
        <v>2037</v>
      </c>
      <c r="E855" s="38" t="s">
        <v>3106</v>
      </c>
      <c r="F855" s="40" t="s">
        <v>4035</v>
      </c>
      <c r="G855" s="45">
        <v>9.190996105E9</v>
      </c>
      <c r="H855" s="41" t="str">
        <f>VLOOKUP(C855,Stores!$A$200:$G$1118,3,0)</f>
        <v>Opened Stores</v>
      </c>
      <c r="I855" s="41" t="str">
        <f>VLOOKUP(C855,Stores!$A$200:$G$1118,4,0)</f>
        <v>Stage 7 - Installed</v>
      </c>
      <c r="J855" s="41" t="str">
        <f>VLOOKUP(C855,Stores!$A$200:$G$1118,5,0)</f>
        <v>ZKTECO</v>
      </c>
      <c r="K855" s="41" t="str">
        <f>VLOOKUP(C855,Stores!$A$200:$G$1118,6,0)</f>
        <v>CQUJ233560970</v>
      </c>
      <c r="L855" s="41" t="str">
        <f>VLOOKUP(C855,Stores!$A$200:$G$1118,7,0)</f>
        <v>192.168.1.201</v>
      </c>
      <c r="M855" s="42" t="s">
        <v>3915</v>
      </c>
    </row>
    <row r="856">
      <c r="A856" s="38" t="s">
        <v>2962</v>
      </c>
      <c r="B856" s="38" t="s">
        <v>4036</v>
      </c>
      <c r="C856" s="38" t="s">
        <v>2167</v>
      </c>
      <c r="D856" s="39" t="s">
        <v>2168</v>
      </c>
      <c r="E856" s="38" t="s">
        <v>3106</v>
      </c>
      <c r="F856" s="40" t="s">
        <v>4037</v>
      </c>
      <c r="G856" s="45">
        <v>9.985877953E9</v>
      </c>
      <c r="H856" s="41" t="str">
        <f>VLOOKUP(C856,Stores!$A$200:$G$1118,3,0)</f>
        <v>Opened Stores</v>
      </c>
      <c r="I856" s="41" t="str">
        <f>VLOOKUP(C856,Stores!$A$200:$G$1118,4,0)</f>
        <v>Stage 7 - Installed</v>
      </c>
      <c r="J856" s="41" t="str">
        <f>VLOOKUP(C856,Stores!$A$200:$G$1118,5,0)</f>
        <v>ZKTECO</v>
      </c>
      <c r="K856" s="41" t="str">
        <f>VLOOKUP(C856,Stores!$A$200:$G$1118,6,0)</f>
        <v>ZKM6245100155</v>
      </c>
      <c r="L856" s="41" t="str">
        <f>VLOOKUP(C856,Stores!$A$200:$G$1118,7,0)</f>
        <v>192.168.1.201</v>
      </c>
      <c r="M856" s="42" t="s">
        <v>3915</v>
      </c>
    </row>
    <row r="857">
      <c r="A857" s="38" t="s">
        <v>2962</v>
      </c>
      <c r="B857" s="38" t="s">
        <v>4038</v>
      </c>
      <c r="C857" s="38" t="s">
        <v>624</v>
      </c>
      <c r="D857" s="39" t="s">
        <v>625</v>
      </c>
      <c r="E857" s="38" t="s">
        <v>3106</v>
      </c>
      <c r="F857" s="40" t="s">
        <v>4039</v>
      </c>
      <c r="G857" s="45">
        <v>9.399864552E9</v>
      </c>
      <c r="H857" s="41" t="str">
        <f>VLOOKUP(C857,Stores!$A$200:$G$1118,3,0)</f>
        <v>Opened Stores</v>
      </c>
      <c r="I857" s="41" t="str">
        <f>VLOOKUP(C857,Stores!$A$200:$G$1118,4,0)</f>
        <v>Stage 7 - Installed</v>
      </c>
      <c r="J857" s="41" t="str">
        <f>VLOOKUP(C857,Stores!$A$200:$G$1118,5,0)</f>
        <v>FINGERTEC</v>
      </c>
      <c r="K857" s="41">
        <f>VLOOKUP(C857,Stores!$A$200:$G$1118,6,0)</f>
        <v>7421820</v>
      </c>
      <c r="L857" s="41" t="str">
        <f>VLOOKUP(C857,Stores!$A$200:$G$1118,7,0)</f>
        <v>192.168.1.201</v>
      </c>
      <c r="M857" s="42" t="s">
        <v>3915</v>
      </c>
    </row>
    <row r="858">
      <c r="A858" s="38" t="s">
        <v>2962</v>
      </c>
      <c r="B858" s="38" t="s">
        <v>4040</v>
      </c>
      <c r="C858" s="38" t="s">
        <v>738</v>
      </c>
      <c r="D858" s="39" t="s">
        <v>739</v>
      </c>
      <c r="E858" s="38" t="s">
        <v>3106</v>
      </c>
      <c r="F858" s="40" t="s">
        <v>4041</v>
      </c>
      <c r="G858" s="45">
        <v>9.985723087E9</v>
      </c>
      <c r="H858" s="41" t="str">
        <f>VLOOKUP(C858,Stores!$A$200:$G$1118,3,0)</f>
        <v>Opened Stores</v>
      </c>
      <c r="I858" s="41" t="str">
        <f>VLOOKUP(C858,Stores!$A$200:$G$1118,4,0)</f>
        <v>Stage 7 - Installed</v>
      </c>
      <c r="J858" s="41" t="str">
        <f>VLOOKUP(C858,Stores!$A$200:$G$1118,5,0)</f>
        <v>FINGERTEC</v>
      </c>
      <c r="K858" s="41">
        <f>VLOOKUP(C858,Stores!$A$200:$G$1118,6,0)</f>
        <v>7423464</v>
      </c>
      <c r="L858" s="41" t="str">
        <f>VLOOKUP(C858,Stores!$A$200:$G$1118,7,0)</f>
        <v>192.168.1.201</v>
      </c>
      <c r="M858" s="42" t="s">
        <v>3915</v>
      </c>
    </row>
    <row r="859">
      <c r="A859" s="38" t="s">
        <v>2962</v>
      </c>
      <c r="B859" s="38" t="s">
        <v>4042</v>
      </c>
      <c r="C859" s="38" t="s">
        <v>430</v>
      </c>
      <c r="D859" s="39" t="s">
        <v>431</v>
      </c>
      <c r="E859" s="38" t="s">
        <v>3106</v>
      </c>
      <c r="F859" s="40" t="s">
        <v>4043</v>
      </c>
      <c r="G859" s="45">
        <v>9.688502731E9</v>
      </c>
      <c r="H859" s="41" t="str">
        <f>VLOOKUP(C859,Stores!$A$200:$G$1118,3,0)</f>
        <v>Opened Stores</v>
      </c>
      <c r="I859" s="41" t="str">
        <f>VLOOKUP(C859,Stores!$A$200:$G$1118,4,0)</f>
        <v>Stage 7 - Installed</v>
      </c>
      <c r="J859" s="41" t="str">
        <f>VLOOKUP(C859,Stores!$A$200:$G$1118,5,0)</f>
        <v>ZKTECO</v>
      </c>
      <c r="K859" s="41" t="str">
        <f>VLOOKUP(C859,Stores!$A$200:$G$1118,6,0)</f>
        <v>ZKM6251700391</v>
      </c>
      <c r="L859" s="41" t="str">
        <f>VLOOKUP(C859,Stores!$A$200:$G$1118,7,0)</f>
        <v>192.168.1.201</v>
      </c>
      <c r="M859" s="42" t="s">
        <v>3915</v>
      </c>
    </row>
    <row r="860">
      <c r="A860" s="38" t="s">
        <v>2962</v>
      </c>
      <c r="B860" s="38" t="s">
        <v>4044</v>
      </c>
      <c r="C860" s="38" t="s">
        <v>2456</v>
      </c>
      <c r="D860" s="39" t="s">
        <v>4045</v>
      </c>
      <c r="E860" s="38" t="s">
        <v>3106</v>
      </c>
      <c r="F860" s="40" t="s">
        <v>4046</v>
      </c>
      <c r="G860" s="45">
        <v>9.209118742E9</v>
      </c>
      <c r="H860" s="41" t="str">
        <f>VLOOKUP(C860,Stores!$A$200:$G$1118,3,0)</f>
        <v>Opened Stores</v>
      </c>
      <c r="I860" s="41" t="str">
        <f>VLOOKUP(C860,Stores!$A$200:$G$1118,4,0)</f>
        <v>Stage 7 - Installed</v>
      </c>
      <c r="J860" s="41" t="str">
        <f>VLOOKUP(C860,Stores!$A$200:$G$1118,5,0)</f>
        <v>ZKTECO</v>
      </c>
      <c r="K860" s="41" t="str">
        <f>VLOOKUP(C860,Stores!$A$200:$G$1118,6,0)</f>
        <v>ZKM6251700140</v>
      </c>
      <c r="L860" s="41" t="str">
        <f>VLOOKUP(C860,Stores!$A$200:$G$1118,7,0)</f>
        <v>192.168.1.201</v>
      </c>
      <c r="M860" s="42" t="s">
        <v>3915</v>
      </c>
    </row>
    <row r="861">
      <c r="A861" s="38" t="s">
        <v>2962</v>
      </c>
      <c r="B861" s="38" t="s">
        <v>4047</v>
      </c>
      <c r="C861" s="38" t="s">
        <v>920</v>
      </c>
      <c r="D861" s="39" t="s">
        <v>4048</v>
      </c>
      <c r="E861" s="38" t="s">
        <v>3106</v>
      </c>
      <c r="F861" s="40" t="s">
        <v>4049</v>
      </c>
      <c r="G861" s="45">
        <v>9.662966086E9</v>
      </c>
      <c r="H861" s="41" t="str">
        <f>VLOOKUP(C861,Stores!$A$200:$G$1118,3,0)</f>
        <v>Opened Stores</v>
      </c>
      <c r="I861" s="41" t="str">
        <f>VLOOKUP(C861,Stores!$A$200:$G$1118,4,0)</f>
        <v>Stage 7 - Installed</v>
      </c>
      <c r="J861" s="41" t="str">
        <f>VLOOKUP(C861,Stores!$A$200:$G$1118,5,0)</f>
        <v>FINGERTEC</v>
      </c>
      <c r="K861" s="41">
        <f>VLOOKUP(C861,Stores!$A$200:$G$1118,6,0)</f>
        <v>7425665</v>
      </c>
      <c r="L861" s="41" t="str">
        <f>VLOOKUP(C861,Stores!$A$200:$G$1118,7,0)</f>
        <v>192.168.1.202</v>
      </c>
      <c r="M861" s="42" t="s">
        <v>3915</v>
      </c>
    </row>
    <row r="862">
      <c r="A862" s="38" t="s">
        <v>2962</v>
      </c>
      <c r="B862" s="38" t="s">
        <v>4050</v>
      </c>
      <c r="C862" s="38" t="s">
        <v>912</v>
      </c>
      <c r="D862" s="39" t="s">
        <v>913</v>
      </c>
      <c r="E862" s="38" t="s">
        <v>3106</v>
      </c>
      <c r="F862" s="40" t="s">
        <v>4051</v>
      </c>
      <c r="G862" s="45">
        <v>9.98545728E9</v>
      </c>
      <c r="H862" s="41" t="str">
        <f>VLOOKUP(C862,Stores!$A$200:$G$1118,3,0)</f>
        <v>Opened Stores</v>
      </c>
      <c r="I862" s="41" t="str">
        <f>VLOOKUP(C862,Stores!$A$200:$G$1118,4,0)</f>
        <v>Stage 7 - Installed</v>
      </c>
      <c r="J862" s="41" t="str">
        <f>VLOOKUP(C862,Stores!$A$200:$G$1118,5,0)</f>
        <v>FINGERTEC</v>
      </c>
      <c r="K862" s="41">
        <f>VLOOKUP(C862,Stores!$A$200:$G$1118,6,0)</f>
        <v>7425666</v>
      </c>
      <c r="L862" s="41" t="str">
        <f>VLOOKUP(C862,Stores!$A$200:$G$1118,7,0)</f>
        <v>192.168.1.220</v>
      </c>
      <c r="M862" s="42" t="s">
        <v>3915</v>
      </c>
    </row>
    <row r="863">
      <c r="A863" s="38" t="s">
        <v>2962</v>
      </c>
      <c r="B863" s="38" t="s">
        <v>4052</v>
      </c>
      <c r="C863" s="38" t="s">
        <v>1621</v>
      </c>
      <c r="D863" s="39" t="s">
        <v>1622</v>
      </c>
      <c r="E863" s="38" t="s">
        <v>3106</v>
      </c>
      <c r="F863" s="40" t="s">
        <v>4051</v>
      </c>
      <c r="G863" s="45">
        <v>9.98545728E9</v>
      </c>
      <c r="H863" s="41" t="str">
        <f>VLOOKUP(C863,Stores!$A$200:$G$1118,3,0)</f>
        <v>Opened Stores</v>
      </c>
      <c r="I863" s="41" t="str">
        <f>VLOOKUP(C863,Stores!$A$200:$G$1118,4,0)</f>
        <v>Stage 7 - Installed</v>
      </c>
      <c r="J863" s="41" t="str">
        <f>VLOOKUP(C863,Stores!$A$200:$G$1118,5,0)</f>
        <v>ZKTECO</v>
      </c>
      <c r="K863" s="41" t="str">
        <f>VLOOKUP(C863,Stores!$A$200:$G$1118,6,0)</f>
        <v>AEYU082360270</v>
      </c>
      <c r="L863" s="41" t="str">
        <f>VLOOKUP(C863,Stores!$A$200:$G$1118,7,0)</f>
        <v>192.168.1.201</v>
      </c>
      <c r="M863" s="42" t="s">
        <v>3915</v>
      </c>
    </row>
    <row r="864">
      <c r="A864" s="38" t="s">
        <v>2962</v>
      </c>
      <c r="B864" s="38" t="s">
        <v>4053</v>
      </c>
      <c r="C864" s="38" t="s">
        <v>2913</v>
      </c>
      <c r="D864" s="39" t="s">
        <v>2914</v>
      </c>
      <c r="E864" s="38" t="s">
        <v>3106</v>
      </c>
      <c r="F864" s="40" t="s">
        <v>4054</v>
      </c>
      <c r="G864" s="45">
        <v>6.39209700973E11</v>
      </c>
      <c r="H864" s="41" t="str">
        <f>VLOOKUP(C864,Stores!$A$200:$G$1118,3,0)</f>
        <v>Opened Stores</v>
      </c>
      <c r="I864" s="41" t="str">
        <f>VLOOKUP(C864,Stores!$A$200:$G$1118,4,0)</f>
        <v>Stage 7 - Installed</v>
      </c>
      <c r="J864" s="41" t="str">
        <f>VLOOKUP(C864,Stores!$A$200:$G$1118,5,0)</f>
        <v>ZKTECO</v>
      </c>
      <c r="K864" s="41" t="str">
        <f>VLOOKUP(C864,Stores!$A$200:$G$1118,6,0)</f>
        <v>PAS4252900285</v>
      </c>
      <c r="L864" s="41" t="str">
        <f>VLOOKUP(C864,Stores!$A$200:$G$1118,7,0)</f>
        <v>192.168.1.201</v>
      </c>
      <c r="M864" s="42" t="s">
        <v>3915</v>
      </c>
    </row>
    <row r="865">
      <c r="A865" s="38" t="s">
        <v>2962</v>
      </c>
      <c r="B865" s="38" t="s">
        <v>4055</v>
      </c>
      <c r="C865" s="38" t="s">
        <v>829</v>
      </c>
      <c r="D865" s="39" t="s">
        <v>830</v>
      </c>
      <c r="E865" s="38" t="s">
        <v>3106</v>
      </c>
      <c r="F865" s="40" t="s">
        <v>3119</v>
      </c>
      <c r="G865" s="45">
        <v>9.199105902E9</v>
      </c>
      <c r="H865" s="41" t="str">
        <f>VLOOKUP(C865,Stores!$A$200:$G$1118,3,0)</f>
        <v>Opened Stores</v>
      </c>
      <c r="I865" s="41" t="str">
        <f>VLOOKUP(C865,Stores!$A$200:$G$1118,4,0)</f>
        <v>Stage 7 - Installed</v>
      </c>
      <c r="J865" s="41" t="str">
        <f>VLOOKUP(C865,Stores!$A$200:$G$1118,5,0)</f>
        <v>FINGERTEC</v>
      </c>
      <c r="K865" s="41">
        <f>VLOOKUP(C865,Stores!$A$200:$G$1118,6,0)</f>
        <v>7425407</v>
      </c>
      <c r="L865" s="41" t="str">
        <f>VLOOKUP(C865,Stores!$A$200:$G$1118,7,0)</f>
        <v>192.168.1.201</v>
      </c>
      <c r="M865" s="42" t="s">
        <v>3915</v>
      </c>
    </row>
    <row r="866">
      <c r="A866" s="38" t="s">
        <v>2962</v>
      </c>
      <c r="B866" s="38" t="s">
        <v>4056</v>
      </c>
      <c r="C866" s="38" t="s">
        <v>2730</v>
      </c>
      <c r="D866" s="39" t="s">
        <v>2731</v>
      </c>
      <c r="E866" s="38" t="s">
        <v>3106</v>
      </c>
      <c r="F866" s="40" t="s">
        <v>4037</v>
      </c>
      <c r="G866" s="45">
        <v>9.985877953E9</v>
      </c>
      <c r="H866" s="41" t="str">
        <f>VLOOKUP(C866,Stores!$A$200:$G$1118,3,0)</f>
        <v>Opened Stores</v>
      </c>
      <c r="I866" s="41" t="str">
        <f>VLOOKUP(C866,Stores!$A$200:$G$1118,4,0)</f>
        <v>Stage 7 - Installed</v>
      </c>
      <c r="J866" s="41" t="str">
        <f>VLOOKUP(C866,Stores!$A$200:$G$1118,5,0)</f>
        <v>ZKTECO</v>
      </c>
      <c r="K866" s="41" t="str">
        <f>VLOOKUP(C866,Stores!$A$200:$G$1118,6,0)</f>
        <v>ZKM6251700113</v>
      </c>
      <c r="L866" s="41" t="str">
        <f>VLOOKUP(C866,Stores!$A$200:$G$1118,7,0)</f>
        <v>192.168.1.201</v>
      </c>
      <c r="M866" s="42" t="s">
        <v>3915</v>
      </c>
    </row>
    <row r="867">
      <c r="A867" s="38" t="s">
        <v>2962</v>
      </c>
      <c r="B867" s="38" t="s">
        <v>4057</v>
      </c>
      <c r="C867" s="38" t="s">
        <v>947</v>
      </c>
      <c r="D867" s="39" t="s">
        <v>4058</v>
      </c>
      <c r="E867" s="38" t="s">
        <v>3106</v>
      </c>
      <c r="F867" s="40" t="s">
        <v>4039</v>
      </c>
      <c r="G867" s="45">
        <v>9.399864552E9</v>
      </c>
      <c r="H867" s="41" t="str">
        <f>VLOOKUP(C867,Stores!$A$200:$G$1118,3,0)</f>
        <v>Opened Stores</v>
      </c>
      <c r="I867" s="41" t="str">
        <f>VLOOKUP(C867,Stores!$A$200:$G$1118,4,0)</f>
        <v>Stage 7 - Installed</v>
      </c>
      <c r="J867" s="41" t="str">
        <f>VLOOKUP(C867,Stores!$A$200:$G$1118,5,0)</f>
        <v>FINGERTEC</v>
      </c>
      <c r="K867" s="41">
        <f>VLOOKUP(C867,Stores!$A$200:$G$1118,6,0)</f>
        <v>7425671</v>
      </c>
      <c r="L867" s="41" t="str">
        <f>VLOOKUP(C867,Stores!$A$200:$G$1118,7,0)</f>
        <v>192.168.1.201</v>
      </c>
      <c r="M867" s="42" t="s">
        <v>3915</v>
      </c>
    </row>
    <row r="868">
      <c r="A868" s="38" t="s">
        <v>2962</v>
      </c>
      <c r="B868" s="38" t="s">
        <v>4059</v>
      </c>
      <c r="C868" s="38" t="s">
        <v>937</v>
      </c>
      <c r="D868" s="39" t="s">
        <v>938</v>
      </c>
      <c r="E868" s="38" t="s">
        <v>3106</v>
      </c>
      <c r="F868" s="40" t="s">
        <v>4060</v>
      </c>
      <c r="G868" s="45">
        <v>6.39059234279E11</v>
      </c>
      <c r="H868" s="41" t="str">
        <f>VLOOKUP(C868,Stores!$A$200:$G$1118,3,0)</f>
        <v>Opened Stores</v>
      </c>
      <c r="I868" s="41" t="str">
        <f>VLOOKUP(C868,Stores!$A$200:$G$1118,4,0)</f>
        <v>Stage 7 - Installed</v>
      </c>
      <c r="J868" s="41" t="str">
        <f>VLOOKUP(C868,Stores!$A$200:$G$1118,5,0)</f>
        <v>FINGERTEC</v>
      </c>
      <c r="K868" s="41">
        <f>VLOOKUP(C868,Stores!$A$200:$G$1118,6,0)</f>
        <v>7425673</v>
      </c>
      <c r="L868" s="41" t="str">
        <f>VLOOKUP(C868,Stores!$A$200:$G$1118,7,0)</f>
        <v>192.168.1.201</v>
      </c>
      <c r="M868" s="42" t="s">
        <v>4061</v>
      </c>
    </row>
    <row r="869">
      <c r="A869" s="38" t="s">
        <v>2962</v>
      </c>
      <c r="B869" s="38" t="s">
        <v>4062</v>
      </c>
      <c r="C869" s="38" t="s">
        <v>2667</v>
      </c>
      <c r="D869" s="39" t="s">
        <v>2668</v>
      </c>
      <c r="E869" s="38" t="s">
        <v>3106</v>
      </c>
      <c r="F869" s="40" t="s">
        <v>3113</v>
      </c>
      <c r="G869" s="45">
        <v>6.39171364544E11</v>
      </c>
      <c r="H869" s="41" t="str">
        <f>VLOOKUP(C869,Stores!$A$200:$G$1118,3,0)</f>
        <v>Opened Stores</v>
      </c>
      <c r="I869" s="41" t="str">
        <f>VLOOKUP(C869,Stores!$A$200:$G$1118,4,0)</f>
        <v>Stage 7 - Installed</v>
      </c>
      <c r="J869" s="41" t="str">
        <f>VLOOKUP(C869,Stores!$A$200:$G$1118,5,0)</f>
        <v>ZKTECO</v>
      </c>
      <c r="K869" s="41" t="str">
        <f>VLOOKUP(C869,Stores!$A$200:$G$1118,6,0)</f>
        <v>ZKM6251700002</v>
      </c>
      <c r="L869" s="41" t="str">
        <f>VLOOKUP(C869,Stores!$A$200:$G$1118,7,0)</f>
        <v>192.168.1.201</v>
      </c>
      <c r="M869" s="42" t="s">
        <v>4061</v>
      </c>
    </row>
    <row r="870">
      <c r="A870" s="38" t="s">
        <v>2962</v>
      </c>
      <c r="B870" s="38" t="s">
        <v>4063</v>
      </c>
      <c r="C870" s="38" t="s">
        <v>1618</v>
      </c>
      <c r="D870" s="39" t="s">
        <v>1619</v>
      </c>
      <c r="E870" s="38" t="s">
        <v>3106</v>
      </c>
      <c r="F870" s="40" t="s">
        <v>4064</v>
      </c>
      <c r="G870" s="45">
        <v>9.189249217E9</v>
      </c>
      <c r="H870" s="41" t="str">
        <f>VLOOKUP(C870,Stores!$A$200:$G$1118,3,0)</f>
        <v>Opened Stores</v>
      </c>
      <c r="I870" s="41" t="str">
        <f>VLOOKUP(C870,Stores!$A$200:$G$1118,4,0)</f>
        <v>Stage 7 - Installed</v>
      </c>
      <c r="J870" s="41" t="str">
        <f>VLOOKUP(C870,Stores!$A$200:$G$1118,5,0)</f>
        <v>ZKTECO</v>
      </c>
      <c r="K870" s="41" t="str">
        <f>VLOOKUP(C870,Stores!$A$200:$G$1118,6,0)</f>
        <v>AEYU082360291</v>
      </c>
      <c r="L870" s="41" t="str">
        <f>VLOOKUP(C870,Stores!$A$200:$G$1118,7,0)</f>
        <v>192.168.1.201</v>
      </c>
      <c r="M870" s="42" t="s">
        <v>4061</v>
      </c>
    </row>
    <row r="871">
      <c r="A871" s="38" t="s">
        <v>2962</v>
      </c>
      <c r="B871" s="38" t="s">
        <v>4065</v>
      </c>
      <c r="C871" s="38" t="s">
        <v>2399</v>
      </c>
      <c r="D871" s="39" t="s">
        <v>2400</v>
      </c>
      <c r="E871" s="38" t="s">
        <v>3106</v>
      </c>
      <c r="F871" s="40" t="s">
        <v>3113</v>
      </c>
      <c r="G871" s="45">
        <v>6.39171364544E11</v>
      </c>
      <c r="H871" s="41" t="str">
        <f>VLOOKUP(C871,Stores!$A$200:$G$1118,3,0)</f>
        <v>Opened Stores</v>
      </c>
      <c r="I871" s="41" t="str">
        <f>VLOOKUP(C871,Stores!$A$200:$G$1118,4,0)</f>
        <v>Stage 7 - Installed</v>
      </c>
      <c r="J871" s="41" t="str">
        <f>VLOOKUP(C871,Stores!$A$200:$G$1118,5,0)</f>
        <v>ZKTECO</v>
      </c>
      <c r="K871" s="41" t="str">
        <f>VLOOKUP(C871,Stores!$A$200:$G$1118,6,0)</f>
        <v>CQUJ233560418</v>
      </c>
      <c r="L871" s="41" t="str">
        <f>VLOOKUP(C871,Stores!$A$200:$G$1118,7,0)</f>
        <v>192.168.1.201</v>
      </c>
      <c r="M871" s="42" t="s">
        <v>4061</v>
      </c>
    </row>
    <row r="872">
      <c r="A872" s="38" t="s">
        <v>2962</v>
      </c>
      <c r="B872" s="38" t="s">
        <v>4066</v>
      </c>
      <c r="C872" s="38" t="s">
        <v>2278</v>
      </c>
      <c r="D872" s="39" t="s">
        <v>4067</v>
      </c>
      <c r="E872" s="38" t="s">
        <v>3106</v>
      </c>
      <c r="F872" s="40" t="s">
        <v>4049</v>
      </c>
      <c r="G872" s="45">
        <v>9.662966086E9</v>
      </c>
      <c r="H872" s="41" t="str">
        <f>VLOOKUP(C872,Stores!$A$200:$G$1118,3,0)</f>
        <v>Opened Stores</v>
      </c>
      <c r="I872" s="41" t="str">
        <f>VLOOKUP(C872,Stores!$A$200:$G$1118,4,0)</f>
        <v>Stage 7 - Installed</v>
      </c>
      <c r="J872" s="41" t="str">
        <f>VLOOKUP(C872,Stores!$A$200:$G$1118,5,0)</f>
        <v>ZKTECO</v>
      </c>
      <c r="K872" s="41" t="str">
        <f>VLOOKUP(C872,Stores!$A$200:$G$1118,6,0)</f>
        <v>CQUJ233560073</v>
      </c>
      <c r="L872" s="41" t="str">
        <f>VLOOKUP(C872,Stores!$A$200:$G$1118,7,0)</f>
        <v>192.168.1.201</v>
      </c>
      <c r="M872" s="42" t="s">
        <v>4061</v>
      </c>
    </row>
    <row r="873">
      <c r="A873" s="38" t="s">
        <v>2962</v>
      </c>
      <c r="B873" s="38" t="s">
        <v>4068</v>
      </c>
      <c r="C873" s="38" t="s">
        <v>1161</v>
      </c>
      <c r="D873" s="39" t="s">
        <v>1162</v>
      </c>
      <c r="E873" s="38" t="s">
        <v>3106</v>
      </c>
      <c r="F873" s="40" t="s">
        <v>3119</v>
      </c>
      <c r="G873" s="45">
        <v>9.199105902E9</v>
      </c>
      <c r="H873" s="41" t="str">
        <f>VLOOKUP(C873,Stores!$A$200:$G$1118,3,0)</f>
        <v>Opened Stores</v>
      </c>
      <c r="I873" s="41" t="str">
        <f>VLOOKUP(C873,Stores!$A$200:$G$1118,4,0)</f>
        <v>Stage 7 - Installed</v>
      </c>
      <c r="J873" s="41" t="str">
        <f>VLOOKUP(C873,Stores!$A$200:$G$1118,5,0)</f>
        <v>ZKTECO</v>
      </c>
      <c r="K873" s="41" t="str">
        <f>VLOOKUP(C873,Stores!$A$200:$G$1118,6,0)</f>
        <v>ZKM6251500052</v>
      </c>
      <c r="L873" s="41" t="str">
        <f>VLOOKUP(C873,Stores!$A$200:$G$1118,7,0)</f>
        <v>192.168.1.201</v>
      </c>
      <c r="M873" s="42" t="s">
        <v>4061</v>
      </c>
    </row>
    <row r="874">
      <c r="A874" s="38" t="s">
        <v>2962</v>
      </c>
      <c r="B874" s="38" t="s">
        <v>4069</v>
      </c>
      <c r="C874" s="38" t="s">
        <v>1338</v>
      </c>
      <c r="D874" s="39" t="s">
        <v>1339</v>
      </c>
      <c r="E874" s="38" t="s">
        <v>3106</v>
      </c>
      <c r="F874" s="40" t="s">
        <v>4070</v>
      </c>
      <c r="G874" s="45">
        <v>9.190025605E9</v>
      </c>
      <c r="H874" s="41" t="str">
        <f>VLOOKUP(C874,Stores!$A$200:$G$1118,3,0)</f>
        <v>Opened Stores</v>
      </c>
      <c r="I874" s="41" t="str">
        <f>VLOOKUP(C874,Stores!$A$200:$G$1118,4,0)</f>
        <v>Stage 7 - Installed</v>
      </c>
      <c r="J874" s="41" t="str">
        <f>VLOOKUP(C874,Stores!$A$200:$G$1118,5,0)</f>
        <v>ZKTECO</v>
      </c>
      <c r="K874" s="41" t="str">
        <f>VLOOKUP(C874,Stores!$A$200:$G$1118,6,0)</f>
        <v>AKDG012350205</v>
      </c>
      <c r="L874" s="41" t="str">
        <f>VLOOKUP(C874,Stores!$A$200:$G$1118,7,0)</f>
        <v>192.168.1.201</v>
      </c>
      <c r="M874" s="42" t="s">
        <v>4061</v>
      </c>
    </row>
    <row r="875">
      <c r="A875" s="38" t="s">
        <v>2962</v>
      </c>
      <c r="B875" s="38" t="s">
        <v>4071</v>
      </c>
      <c r="C875" s="38" t="s">
        <v>2060</v>
      </c>
      <c r="D875" s="39" t="s">
        <v>4072</v>
      </c>
      <c r="E875" s="38" t="s">
        <v>3106</v>
      </c>
      <c r="F875" s="40" t="s">
        <v>4073</v>
      </c>
      <c r="G875" s="45">
        <v>9.171610043E9</v>
      </c>
      <c r="H875" s="41" t="str">
        <f>VLOOKUP(C875,Stores!$A$200:$G$1118,3,0)</f>
        <v>Opened Stores</v>
      </c>
      <c r="I875" s="41" t="str">
        <f>VLOOKUP(C875,Stores!$A$200:$G$1118,4,0)</f>
        <v>Stage 7 - Installed</v>
      </c>
      <c r="J875" s="41" t="str">
        <f>VLOOKUP(C875,Stores!$A$200:$G$1118,5,0)</f>
        <v>ZKTECO</v>
      </c>
      <c r="K875" s="41" t="str">
        <f>VLOOKUP(C875,Stores!$A$200:$G$1118,6,0)</f>
        <v>CQUJ232260324</v>
      </c>
      <c r="L875" s="41" t="str">
        <f>VLOOKUP(C875,Stores!$A$200:$G$1118,7,0)</f>
        <v>192.168.1.201</v>
      </c>
      <c r="M875" s="42" t="s">
        <v>4061</v>
      </c>
    </row>
    <row r="876">
      <c r="A876" s="38" t="s">
        <v>2962</v>
      </c>
      <c r="B876" s="38" t="s">
        <v>4074</v>
      </c>
      <c r="C876" s="38" t="s">
        <v>2176</v>
      </c>
      <c r="D876" s="39" t="s">
        <v>4075</v>
      </c>
      <c r="E876" s="38" t="s">
        <v>3106</v>
      </c>
      <c r="F876" s="40" t="s">
        <v>4076</v>
      </c>
      <c r="G876" s="45">
        <v>6.39479957183E11</v>
      </c>
      <c r="H876" s="41" t="str">
        <f>VLOOKUP(C876,Stores!$A$200:$G$1118,3,0)</f>
        <v>Opened Stores</v>
      </c>
      <c r="I876" s="41" t="str">
        <f>VLOOKUP(C876,Stores!$A$200:$G$1118,4,0)</f>
        <v>Stage 7 - Installed</v>
      </c>
      <c r="J876" s="41" t="str">
        <f>VLOOKUP(C876,Stores!$A$200:$G$1118,5,0)</f>
        <v>ZKTECO</v>
      </c>
      <c r="K876" s="41" t="str">
        <f>VLOOKUP(C876,Stores!$A$200:$G$1118,6,0)</f>
        <v>ZKM6245100156</v>
      </c>
      <c r="L876" s="41" t="str">
        <f>VLOOKUP(C876,Stores!$A$200:$G$1118,7,0)</f>
        <v>192.168.1.201</v>
      </c>
      <c r="M876" s="42" t="s">
        <v>4061</v>
      </c>
    </row>
    <row r="877">
      <c r="A877" s="38" t="s">
        <v>2962</v>
      </c>
      <c r="B877" s="38" t="s">
        <v>4077</v>
      </c>
      <c r="C877" s="38" t="s">
        <v>1669</v>
      </c>
      <c r="D877" s="39" t="s">
        <v>1670</v>
      </c>
      <c r="E877" s="38" t="s">
        <v>3106</v>
      </c>
      <c r="F877" s="40" t="s">
        <v>3107</v>
      </c>
      <c r="G877" s="45">
        <v>9.285202534E9</v>
      </c>
      <c r="H877" s="41" t="str">
        <f>VLOOKUP(C877,Stores!$A$200:$G$1118,3,0)</f>
        <v>Opened Stores</v>
      </c>
      <c r="I877" s="41" t="str">
        <f>VLOOKUP(C877,Stores!$A$200:$G$1118,4,0)</f>
        <v>Stage 7 - Installed</v>
      </c>
      <c r="J877" s="41" t="str">
        <f>VLOOKUP(C877,Stores!$A$200:$G$1118,5,0)</f>
        <v>ZKTECO</v>
      </c>
      <c r="K877" s="41" t="str">
        <f>VLOOKUP(C877,Stores!$A$200:$G$1118,6,0)</f>
        <v>AEYU082360296</v>
      </c>
      <c r="L877" s="41" t="str">
        <f>VLOOKUP(C877,Stores!$A$200:$G$1118,7,0)</f>
        <v>192.168.1.201</v>
      </c>
      <c r="M877" s="42" t="s">
        <v>4061</v>
      </c>
    </row>
    <row r="878">
      <c r="A878" s="38" t="s">
        <v>2962</v>
      </c>
      <c r="B878" s="38" t="s">
        <v>4078</v>
      </c>
      <c r="C878" s="38" t="s">
        <v>2318</v>
      </c>
      <c r="D878" s="39" t="s">
        <v>2319</v>
      </c>
      <c r="E878" s="38" t="s">
        <v>3106</v>
      </c>
      <c r="F878" s="40" t="s">
        <v>4039</v>
      </c>
      <c r="G878" s="45">
        <v>9.399864552E9</v>
      </c>
      <c r="H878" s="41" t="str">
        <f>VLOOKUP(C878,Stores!$A$200:$G$1118,3,0)</f>
        <v>Opened Stores</v>
      </c>
      <c r="I878" s="41" t="str">
        <f>VLOOKUP(C878,Stores!$A$200:$G$1118,4,0)</f>
        <v>Stage 7 - Installed</v>
      </c>
      <c r="J878" s="41" t="str">
        <f>VLOOKUP(C878,Stores!$A$200:$G$1118,5,0)</f>
        <v>ZKTECO</v>
      </c>
      <c r="K878" s="41" t="str">
        <f>VLOOKUP(C878,Stores!$A$200:$G$1118,6,0)</f>
        <v>CQUJ233560436</v>
      </c>
      <c r="L878" s="41" t="str">
        <f>VLOOKUP(C878,Stores!$A$200:$G$1118,7,0)</f>
        <v>192.168.1.201</v>
      </c>
      <c r="M878" s="42" t="s">
        <v>4061</v>
      </c>
    </row>
    <row r="879">
      <c r="A879" s="38" t="s">
        <v>2962</v>
      </c>
      <c r="B879" s="38" t="s">
        <v>4079</v>
      </c>
      <c r="C879" s="38" t="s">
        <v>2120</v>
      </c>
      <c r="D879" s="39" t="s">
        <v>2121</v>
      </c>
      <c r="E879" s="38" t="s">
        <v>3106</v>
      </c>
      <c r="F879" s="40" t="s">
        <v>4080</v>
      </c>
      <c r="G879" s="45">
        <v>9.190027043E9</v>
      </c>
      <c r="H879" s="41" t="str">
        <f>VLOOKUP(C879,Stores!$A$200:$G$1118,3,0)</f>
        <v>Opened Stores</v>
      </c>
      <c r="I879" s="41" t="str">
        <f>VLOOKUP(C879,Stores!$A$200:$G$1118,4,0)</f>
        <v>Stage 7 - Installed</v>
      </c>
      <c r="J879" s="41" t="str">
        <f>VLOOKUP(C879,Stores!$A$200:$G$1118,5,0)</f>
        <v>ZKTECO</v>
      </c>
      <c r="K879" s="41" t="str">
        <f>VLOOKUP(C879,Stores!$A$200:$G$1118,6,0)</f>
        <v>CQUJ233561151</v>
      </c>
      <c r="L879" s="41" t="str">
        <f>VLOOKUP(C879,Stores!$A$200:$G$1118,7,0)</f>
        <v>192.168.1.201</v>
      </c>
      <c r="M879" s="42" t="s">
        <v>4061</v>
      </c>
    </row>
    <row r="880">
      <c r="A880" s="38" t="s">
        <v>2962</v>
      </c>
      <c r="B880" s="38" t="s">
        <v>4081</v>
      </c>
      <c r="C880" s="38" t="s">
        <v>1409</v>
      </c>
      <c r="D880" s="39" t="s">
        <v>1410</v>
      </c>
      <c r="E880" s="38" t="s">
        <v>3106</v>
      </c>
      <c r="F880" s="40" t="s">
        <v>4082</v>
      </c>
      <c r="G880" s="45">
        <v>9.262740327E9</v>
      </c>
      <c r="H880" s="41" t="str">
        <f>VLOOKUP(C880,Stores!$A$200:$G$1118,3,0)</f>
        <v>Opened Stores</v>
      </c>
      <c r="I880" s="41" t="str">
        <f>VLOOKUP(C880,Stores!$A$200:$G$1118,4,0)</f>
        <v>Stage 7 - Installed</v>
      </c>
      <c r="J880" s="41" t="str">
        <f>VLOOKUP(C880,Stores!$A$200:$G$1118,5,0)</f>
        <v>ZKTECO</v>
      </c>
      <c r="K880" s="41" t="str">
        <f>VLOOKUP(C880,Stores!$A$200:$G$1118,6,0)</f>
        <v>AKDG012350238</v>
      </c>
      <c r="L880" s="41" t="str">
        <f>VLOOKUP(C880,Stores!$A$200:$G$1118,7,0)</f>
        <v>192.168.1.201</v>
      </c>
      <c r="M880" s="42" t="s">
        <v>4061</v>
      </c>
    </row>
    <row r="881">
      <c r="A881" s="38" t="s">
        <v>2962</v>
      </c>
      <c r="B881" s="38" t="s">
        <v>4083</v>
      </c>
      <c r="C881" s="38" t="s">
        <v>2508</v>
      </c>
      <c r="D881" s="39" t="s">
        <v>2509</v>
      </c>
      <c r="E881" s="38" t="s">
        <v>3106</v>
      </c>
      <c r="F881" s="40" t="s">
        <v>4084</v>
      </c>
      <c r="G881" s="45">
        <v>9.088681567E9</v>
      </c>
      <c r="H881" s="41" t="str">
        <f>VLOOKUP(C881,Stores!$A$200:$G$1118,3,0)</f>
        <v>Opened Stores</v>
      </c>
      <c r="I881" s="41" t="str">
        <f>VLOOKUP(C881,Stores!$A$200:$G$1118,4,0)</f>
        <v>Stage 7 - Installed</v>
      </c>
      <c r="J881" s="41" t="str">
        <f>VLOOKUP(C881,Stores!$A$200:$G$1118,5,0)</f>
        <v>ZKTECO</v>
      </c>
      <c r="K881" s="41" t="str">
        <f>VLOOKUP(C881,Stores!$A$200:$G$1118,6,0)</f>
        <v>ZKM6251500172</v>
      </c>
      <c r="L881" s="41" t="str">
        <f>VLOOKUP(C881,Stores!$A$200:$G$1118,7,0)</f>
        <v>192.168.1.201</v>
      </c>
      <c r="M881" s="42" t="s">
        <v>4061</v>
      </c>
    </row>
    <row r="882">
      <c r="A882" s="38" t="s">
        <v>2962</v>
      </c>
      <c r="B882" s="38" t="s">
        <v>4085</v>
      </c>
      <c r="C882" s="38" t="s">
        <v>1660</v>
      </c>
      <c r="D882" s="39" t="s">
        <v>1661</v>
      </c>
      <c r="E882" s="38" t="s">
        <v>3106</v>
      </c>
      <c r="F882" s="40" t="s">
        <v>4082</v>
      </c>
      <c r="G882" s="45">
        <v>9.262740327E9</v>
      </c>
      <c r="H882" s="41" t="str">
        <f>VLOOKUP(C882,Stores!$A$200:$G$1118,3,0)</f>
        <v>Opened Stores</v>
      </c>
      <c r="I882" s="41" t="str">
        <f>VLOOKUP(C882,Stores!$A$200:$G$1118,4,0)</f>
        <v>Stage 7 - Installed</v>
      </c>
      <c r="J882" s="41" t="str">
        <f>VLOOKUP(C882,Stores!$A$200:$G$1118,5,0)</f>
        <v>ZKTECO</v>
      </c>
      <c r="K882" s="41" t="str">
        <f>VLOOKUP(C882,Stores!$A$200:$G$1118,6,0)</f>
        <v>AEYU082360257</v>
      </c>
      <c r="L882" s="41" t="str">
        <f>VLOOKUP(C882,Stores!$A$200:$G$1118,7,0)</f>
        <v>192.168.1.201</v>
      </c>
      <c r="M882" s="42" t="s">
        <v>4061</v>
      </c>
    </row>
    <row r="883">
      <c r="A883" s="38" t="s">
        <v>2962</v>
      </c>
      <c r="B883" s="38" t="s">
        <v>4086</v>
      </c>
      <c r="C883" s="38" t="s">
        <v>1125</v>
      </c>
      <c r="D883" s="39" t="s">
        <v>1126</v>
      </c>
      <c r="E883" s="38" t="s">
        <v>3106</v>
      </c>
      <c r="F883" s="40" t="s">
        <v>4049</v>
      </c>
      <c r="G883" s="45">
        <v>9.662966086E9</v>
      </c>
      <c r="H883" s="41" t="str">
        <f>VLOOKUP(C883,Stores!$A$200:$G$1118,3,0)</f>
        <v>Opened Stores</v>
      </c>
      <c r="I883" s="41" t="str">
        <f>VLOOKUP(C883,Stores!$A$200:$G$1118,4,0)</f>
        <v>Stage 7 - Installed</v>
      </c>
      <c r="J883" s="41" t="str">
        <f>VLOOKUP(C883,Stores!$A$200:$G$1118,5,0)</f>
        <v>ZKTECO</v>
      </c>
      <c r="K883" s="41" t="str">
        <f>VLOOKUP(C883,Stores!$A$200:$G$1118,6,0)</f>
        <v>A8N5221960319</v>
      </c>
      <c r="L883" s="41" t="str">
        <f>VLOOKUP(C883,Stores!$A$200:$G$1118,7,0)</f>
        <v>192.168.1.201</v>
      </c>
      <c r="M883" s="42" t="s">
        <v>4061</v>
      </c>
    </row>
    <row r="884">
      <c r="A884" s="38" t="s">
        <v>2962</v>
      </c>
      <c r="B884" s="38" t="s">
        <v>4087</v>
      </c>
      <c r="C884" s="38" t="s">
        <v>2581</v>
      </c>
      <c r="D884" s="39" t="s">
        <v>2582</v>
      </c>
      <c r="E884" s="38" t="s">
        <v>3106</v>
      </c>
      <c r="F884" s="38" t="e">
        <v>#N/A</v>
      </c>
      <c r="G884" s="38" t="e">
        <v>#N/A</v>
      </c>
      <c r="H884" s="41" t="str">
        <f>VLOOKUP(C884,Stores!$A$200:$G$1118,3,0)</f>
        <v>Opened Stores</v>
      </c>
      <c r="I884" s="41" t="str">
        <f>VLOOKUP(C884,Stores!$A$200:$G$1118,4,0)</f>
        <v>Stage 7 - Installed</v>
      </c>
      <c r="J884" s="41" t="str">
        <f>VLOOKUP(C884,Stores!$A$200:$G$1118,5,0)</f>
        <v>ZKTECO</v>
      </c>
      <c r="K884" s="41" t="str">
        <f>VLOOKUP(C884,Stores!$A$200:$G$1118,6,0)</f>
        <v>ZKM6251500151</v>
      </c>
      <c r="L884" s="41" t="str">
        <f>VLOOKUP(C884,Stores!$A$200:$G$1118,7,0)</f>
        <v>192.168.1.201</v>
      </c>
      <c r="M884" s="42" t="s">
        <v>4061</v>
      </c>
    </row>
    <row r="885">
      <c r="A885" s="38" t="s">
        <v>2962</v>
      </c>
      <c r="B885" s="38" t="s">
        <v>4088</v>
      </c>
      <c r="C885" s="38" t="s">
        <v>2248</v>
      </c>
      <c r="D885" s="39" t="s">
        <v>2249</v>
      </c>
      <c r="E885" s="38" t="s">
        <v>3106</v>
      </c>
      <c r="F885" s="40" t="s">
        <v>4084</v>
      </c>
      <c r="G885" s="45">
        <v>9.088681567E9</v>
      </c>
      <c r="H885" s="41" t="str">
        <f>VLOOKUP(C885,Stores!$A$200:$G$1118,3,0)</f>
        <v>Opened Stores</v>
      </c>
      <c r="I885" s="41" t="str">
        <f>VLOOKUP(C885,Stores!$A$200:$G$1118,4,0)</f>
        <v>Stage 7 - Installed</v>
      </c>
      <c r="J885" s="41" t="str">
        <f>VLOOKUP(C885,Stores!$A$200:$G$1118,5,0)</f>
        <v>ZKTECO</v>
      </c>
      <c r="K885" s="41" t="str">
        <f>VLOOKUP(C885,Stores!$A$200:$G$1118,6,0)</f>
        <v>CQUJ233560111</v>
      </c>
      <c r="L885" s="41" t="str">
        <f>VLOOKUP(C885,Stores!$A$200:$G$1118,7,0)</f>
        <v>192.168.1.201</v>
      </c>
      <c r="M885" s="42" t="s">
        <v>4061</v>
      </c>
    </row>
    <row r="886">
      <c r="A886" s="38" t="s">
        <v>2962</v>
      </c>
      <c r="B886" s="38" t="s">
        <v>4089</v>
      </c>
      <c r="C886" s="38" t="s">
        <v>1270</v>
      </c>
      <c r="D886" s="39" t="s">
        <v>1271</v>
      </c>
      <c r="E886" s="38" t="s">
        <v>3106</v>
      </c>
      <c r="F886" s="40" t="s">
        <v>4090</v>
      </c>
      <c r="G886" s="45">
        <v>9.157088292E9</v>
      </c>
      <c r="H886" s="41" t="str">
        <f>VLOOKUP(C886,Stores!$A$200:$G$1118,3,0)</f>
        <v>Opened Stores</v>
      </c>
      <c r="I886" s="41" t="str">
        <f>VLOOKUP(C886,Stores!$A$200:$G$1118,4,0)</f>
        <v>Stage 7 - Installed</v>
      </c>
      <c r="J886" s="41" t="str">
        <f>VLOOKUP(C886,Stores!$A$200:$G$1118,5,0)</f>
        <v>ZKTECO</v>
      </c>
      <c r="K886" s="41" t="str">
        <f>VLOOKUP(C886,Stores!$A$200:$G$1118,6,0)</f>
        <v>AKDG012351719</v>
      </c>
      <c r="L886" s="41" t="str">
        <f>VLOOKUP(C886,Stores!$A$200:$G$1118,7,0)</f>
        <v>192.168.1.201</v>
      </c>
      <c r="M886" s="42" t="s">
        <v>4061</v>
      </c>
    </row>
    <row r="887">
      <c r="A887" s="38" t="s">
        <v>2962</v>
      </c>
      <c r="B887" s="38" t="s">
        <v>4091</v>
      </c>
      <c r="C887" s="38" t="s">
        <v>1376</v>
      </c>
      <c r="D887" s="39" t="s">
        <v>1377</v>
      </c>
      <c r="E887" s="38" t="s">
        <v>3106</v>
      </c>
      <c r="F887" s="40" t="s">
        <v>3109</v>
      </c>
      <c r="G887" s="45">
        <v>9.563287387E9</v>
      </c>
      <c r="H887" s="41" t="str">
        <f>VLOOKUP(C887,Stores!$A$200:$G$1118,3,0)</f>
        <v>Opened Stores</v>
      </c>
      <c r="I887" s="41" t="str">
        <f>VLOOKUP(C887,Stores!$A$200:$G$1118,4,0)</f>
        <v>Stage 7 - Installed</v>
      </c>
      <c r="J887" s="41" t="str">
        <f>VLOOKUP(C887,Stores!$A$200:$G$1118,5,0)</f>
        <v>ZKTECO</v>
      </c>
      <c r="K887" s="41" t="str">
        <f>VLOOKUP(C887,Stores!$A$200:$G$1118,6,0)</f>
        <v>AKDG012350214</v>
      </c>
      <c r="L887" s="41" t="str">
        <f>VLOOKUP(C887,Stores!$A$200:$G$1118,7,0)</f>
        <v>192.168.1.201</v>
      </c>
      <c r="M887" s="42" t="s">
        <v>4061</v>
      </c>
    </row>
    <row r="888">
      <c r="A888" s="38" t="s">
        <v>2962</v>
      </c>
      <c r="B888" s="38" t="s">
        <v>4092</v>
      </c>
      <c r="C888" s="38" t="s">
        <v>1246</v>
      </c>
      <c r="D888" s="39" t="s">
        <v>1247</v>
      </c>
      <c r="E888" s="38" t="s">
        <v>3106</v>
      </c>
      <c r="F888" s="40" t="s">
        <v>4093</v>
      </c>
      <c r="G888" s="45">
        <v>9.985973138E9</v>
      </c>
      <c r="H888" s="41" t="str">
        <f>VLOOKUP(C888,Stores!$A$200:$G$1118,3,0)</f>
        <v>Opened Stores</v>
      </c>
      <c r="I888" s="41" t="str">
        <f>VLOOKUP(C888,Stores!$A$200:$G$1118,4,0)</f>
        <v>Stage 7 - Installed</v>
      </c>
      <c r="J888" s="41" t="str">
        <f>VLOOKUP(C888,Stores!$A$200:$G$1118,5,0)</f>
        <v>ZKTECO</v>
      </c>
      <c r="K888" s="41" t="str">
        <f>VLOOKUP(C888,Stores!$A$200:$G$1118,6,0)</f>
        <v>AKDG012351684</v>
      </c>
      <c r="L888" s="41" t="str">
        <f>VLOOKUP(C888,Stores!$A$200:$G$1118,7,0)</f>
        <v>192.168.1.201</v>
      </c>
      <c r="M888" s="42" t="s">
        <v>4061</v>
      </c>
    </row>
    <row r="889">
      <c r="A889" s="38" t="s">
        <v>2962</v>
      </c>
      <c r="B889" s="38" t="s">
        <v>4094</v>
      </c>
      <c r="C889" s="38" t="s">
        <v>941</v>
      </c>
      <c r="D889" s="39" t="s">
        <v>942</v>
      </c>
      <c r="E889" s="38" t="s">
        <v>3106</v>
      </c>
      <c r="F889" s="40" t="s">
        <v>3107</v>
      </c>
      <c r="G889" s="45">
        <v>9.285202534E9</v>
      </c>
      <c r="H889" s="41" t="str">
        <f>VLOOKUP(C889,Stores!$A$200:$G$1118,3,0)</f>
        <v>Opened Stores</v>
      </c>
      <c r="I889" s="41" t="str">
        <f>VLOOKUP(C889,Stores!$A$200:$G$1118,4,0)</f>
        <v>Stage 7 - Installed</v>
      </c>
      <c r="J889" s="41" t="str">
        <f>VLOOKUP(C889,Stores!$A$200:$G$1118,5,0)</f>
        <v>FINGERTEC</v>
      </c>
      <c r="K889" s="41">
        <f>VLOOKUP(C889,Stores!$A$200:$G$1118,6,0)</f>
        <v>7425670</v>
      </c>
      <c r="L889" s="41" t="str">
        <f>VLOOKUP(C889,Stores!$A$200:$G$1118,7,0)</f>
        <v>192.168.1.201</v>
      </c>
      <c r="M889" s="42" t="s">
        <v>4061</v>
      </c>
    </row>
    <row r="890">
      <c r="A890" s="38" t="s">
        <v>2962</v>
      </c>
      <c r="B890" s="38" t="s">
        <v>4095</v>
      </c>
      <c r="C890" s="38" t="s">
        <v>2832</v>
      </c>
      <c r="D890" s="39" t="s">
        <v>4096</v>
      </c>
      <c r="E890" s="38" t="s">
        <v>3106</v>
      </c>
      <c r="F890" s="40" t="s">
        <v>3115</v>
      </c>
      <c r="G890" s="45">
        <v>9.265759594E9</v>
      </c>
      <c r="H890" s="41" t="str">
        <f>VLOOKUP(C890,Stores!$A$200:$G$1118,3,0)</f>
        <v>Opened Stores</v>
      </c>
      <c r="I890" s="41" t="str">
        <f>VLOOKUP(C890,Stores!$A$200:$G$1118,4,0)</f>
        <v>Stage 7 - Installed</v>
      </c>
      <c r="J890" s="41" t="str">
        <f>VLOOKUP(C890,Stores!$A$200:$G$1118,5,0)</f>
        <v>ZKTECO</v>
      </c>
      <c r="K890" s="41" t="str">
        <f>VLOOKUP(C890,Stores!$A$200:$G$1118,6,0)</f>
        <v>PAS4252900064</v>
      </c>
      <c r="L890" s="41" t="str">
        <f>VLOOKUP(C890,Stores!$A$200:$G$1118,7,0)</f>
        <v>192.168.1.201</v>
      </c>
      <c r="M890" s="42" t="s">
        <v>4061</v>
      </c>
    </row>
    <row r="891">
      <c r="A891" s="38" t="s">
        <v>2962</v>
      </c>
      <c r="B891" s="38" t="s">
        <v>4097</v>
      </c>
      <c r="C891" s="38" t="s">
        <v>1881</v>
      </c>
      <c r="D891" s="39" t="s">
        <v>1882</v>
      </c>
      <c r="E891" s="38" t="s">
        <v>3106</v>
      </c>
      <c r="F891" s="40" t="s">
        <v>4051</v>
      </c>
      <c r="G891" s="45">
        <v>9.98545728E9</v>
      </c>
      <c r="H891" s="41" t="str">
        <f>VLOOKUP(C891,Stores!$A$200:$G$1118,3,0)</f>
        <v>Opened Stores</v>
      </c>
      <c r="I891" s="41" t="str">
        <f>VLOOKUP(C891,Stores!$A$200:$G$1118,4,0)</f>
        <v>Stage 7 - Installed</v>
      </c>
      <c r="J891" s="41" t="str">
        <f>VLOOKUP(C891,Stores!$A$200:$G$1118,5,0)</f>
        <v>ZKTECO</v>
      </c>
      <c r="K891" s="41" t="str">
        <f>VLOOKUP(C891,Stores!$A$200:$G$1118,6,0)</f>
        <v>CQUJ233561358</v>
      </c>
      <c r="L891" s="41" t="str">
        <f>VLOOKUP(C891,Stores!$A$200:$G$1118,7,0)</f>
        <v>192.168.1.201</v>
      </c>
      <c r="M891" s="42" t="s">
        <v>4061</v>
      </c>
    </row>
    <row r="892">
      <c r="A892" s="38" t="s">
        <v>2962</v>
      </c>
      <c r="B892" s="38" t="s">
        <v>4098</v>
      </c>
      <c r="C892" s="38" t="s">
        <v>1107</v>
      </c>
      <c r="D892" s="39" t="s">
        <v>1108</v>
      </c>
      <c r="E892" s="38" t="s">
        <v>3106</v>
      </c>
      <c r="F892" s="40" t="s">
        <v>4099</v>
      </c>
      <c r="G892" s="45">
        <v>9.639238923E9</v>
      </c>
      <c r="H892" s="41" t="str">
        <f>VLOOKUP(C892,Stores!$A$200:$G$1118,3,0)</f>
        <v>Opened Stores</v>
      </c>
      <c r="I892" s="41" t="str">
        <f>VLOOKUP(C892,Stores!$A$200:$G$1118,4,0)</f>
        <v>Stage 7 - Installed</v>
      </c>
      <c r="J892" s="41" t="str">
        <f>VLOOKUP(C892,Stores!$A$200:$G$1118,5,0)</f>
        <v>ZKTECO</v>
      </c>
      <c r="K892" s="41" t="str">
        <f>VLOOKUP(C892,Stores!$A$200:$G$1118,6,0)</f>
        <v>A8N5221960324</v>
      </c>
      <c r="L892" s="41" t="str">
        <f>VLOOKUP(C892,Stores!$A$200:$G$1118,7,0)</f>
        <v>192.168.1.201</v>
      </c>
      <c r="M892" s="42" t="s">
        <v>4061</v>
      </c>
    </row>
    <row r="893">
      <c r="A893" s="38" t="s">
        <v>2962</v>
      </c>
      <c r="B893" s="38" t="s">
        <v>4100</v>
      </c>
      <c r="C893" s="38" t="s">
        <v>2245</v>
      </c>
      <c r="D893" s="39" t="s">
        <v>2246</v>
      </c>
      <c r="E893" s="38" t="s">
        <v>3106</v>
      </c>
      <c r="F893" s="40" t="s">
        <v>4054</v>
      </c>
      <c r="G893" s="45">
        <v>6.39209700973E11</v>
      </c>
      <c r="H893" s="41" t="str">
        <f>VLOOKUP(C893,Stores!$A$200:$G$1118,3,0)</f>
        <v>Opened Stores</v>
      </c>
      <c r="I893" s="41" t="str">
        <f>VLOOKUP(C893,Stores!$A$200:$G$1118,4,0)</f>
        <v>Stage 7 - Installed</v>
      </c>
      <c r="J893" s="41" t="str">
        <f>VLOOKUP(C893,Stores!$A$200:$G$1118,5,0)</f>
        <v>ZKTECO</v>
      </c>
      <c r="K893" s="41" t="str">
        <f>VLOOKUP(C893,Stores!$A$200:$G$1118,6,0)</f>
        <v>CQUJ233560034</v>
      </c>
      <c r="L893" s="41" t="str">
        <f>VLOOKUP(C893,Stores!$A$200:$G$1118,7,0)</f>
        <v>192.168.1.201</v>
      </c>
      <c r="M893" s="42" t="s">
        <v>4061</v>
      </c>
    </row>
    <row r="894">
      <c r="A894" s="38" t="s">
        <v>2962</v>
      </c>
      <c r="B894" s="38" t="s">
        <v>4101</v>
      </c>
      <c r="C894" s="38" t="s">
        <v>462</v>
      </c>
      <c r="D894" s="39" t="s">
        <v>463</v>
      </c>
      <c r="E894" s="38" t="s">
        <v>3106</v>
      </c>
      <c r="F894" s="40" t="s">
        <v>4060</v>
      </c>
      <c r="G894" s="45">
        <v>6.39059234279E11</v>
      </c>
      <c r="H894" s="41" t="str">
        <f>VLOOKUP(C894,Stores!$A$200:$G$1118,3,0)</f>
        <v>Opened Stores</v>
      </c>
      <c r="I894" s="41" t="str">
        <f>VLOOKUP(C894,Stores!$A$200:$G$1118,4,0)</f>
        <v>Stage 7 - Installed</v>
      </c>
      <c r="J894" s="41" t="str">
        <f>VLOOKUP(C894,Stores!$A$200:$G$1118,5,0)</f>
        <v>FINGERTEC</v>
      </c>
      <c r="K894" s="41">
        <f>VLOOKUP(C894,Stores!$A$200:$G$1118,6,0)</f>
        <v>7417218</v>
      </c>
      <c r="L894" s="41" t="str">
        <f>VLOOKUP(C894,Stores!$A$200:$G$1118,7,0)</f>
        <v>192.168.1.201</v>
      </c>
      <c r="M894" s="42" t="s">
        <v>4061</v>
      </c>
    </row>
    <row r="895">
      <c r="A895" s="38" t="s">
        <v>2962</v>
      </c>
      <c r="B895" s="38" t="s">
        <v>4102</v>
      </c>
      <c r="C895" s="38" t="s">
        <v>1567</v>
      </c>
      <c r="D895" s="39" t="s">
        <v>1568</v>
      </c>
      <c r="E895" s="38" t="s">
        <v>3106</v>
      </c>
      <c r="F895" s="40" t="s">
        <v>4103</v>
      </c>
      <c r="G895" s="45">
        <v>9.756004209E9</v>
      </c>
      <c r="H895" s="41" t="str">
        <f>VLOOKUP(C895,Stores!$A$200:$G$1118,3,0)</f>
        <v>Opened Stores</v>
      </c>
      <c r="I895" s="41" t="str">
        <f>VLOOKUP(C895,Stores!$A$200:$G$1118,4,0)</f>
        <v>Stage 7 - Installed</v>
      </c>
      <c r="J895" s="41" t="str">
        <f>VLOOKUP(C895,Stores!$A$200:$G$1118,5,0)</f>
        <v>ZKTECO</v>
      </c>
      <c r="K895" s="41" t="str">
        <f>VLOOKUP(C895,Stores!$A$200:$G$1118,6,0)</f>
        <v>AEYU082360282</v>
      </c>
      <c r="L895" s="41" t="str">
        <f>VLOOKUP(C895,Stores!$A$200:$G$1118,7,0)</f>
        <v>192.168.1.201</v>
      </c>
      <c r="M895" s="42" t="s">
        <v>4061</v>
      </c>
    </row>
    <row r="896">
      <c r="A896" s="38" t="s">
        <v>2962</v>
      </c>
      <c r="B896" s="38" t="s">
        <v>4104</v>
      </c>
      <c r="C896" s="38" t="s">
        <v>2312</v>
      </c>
      <c r="D896" s="39" t="s">
        <v>4105</v>
      </c>
      <c r="E896" s="38" t="s">
        <v>3106</v>
      </c>
      <c r="F896" s="40" t="s">
        <v>4070</v>
      </c>
      <c r="G896" s="45">
        <v>9.190025605E9</v>
      </c>
      <c r="H896" s="41" t="str">
        <f>VLOOKUP(C896,Stores!$A$200:$G$1118,3,0)</f>
        <v>Opened Stores</v>
      </c>
      <c r="I896" s="41" t="str">
        <f>VLOOKUP(C896,Stores!$A$200:$G$1118,4,0)</f>
        <v>Stage 7 - Installed</v>
      </c>
      <c r="J896" s="41" t="str">
        <f>VLOOKUP(C896,Stores!$A$200:$G$1118,5,0)</f>
        <v>ZKTECO</v>
      </c>
      <c r="K896" s="41" t="str">
        <f>VLOOKUP(C896,Stores!$A$200:$G$1118,6,0)</f>
        <v>ZKM6245100165</v>
      </c>
      <c r="L896" s="41" t="str">
        <f>VLOOKUP(C896,Stores!$A$200:$G$1118,7,0)</f>
        <v>192.168.1.201</v>
      </c>
      <c r="M896" s="42" t="s">
        <v>4061</v>
      </c>
    </row>
    <row r="897">
      <c r="A897" s="38" t="s">
        <v>2962</v>
      </c>
      <c r="B897" s="38" t="s">
        <v>4106</v>
      </c>
      <c r="C897" s="38" t="s">
        <v>1594</v>
      </c>
      <c r="D897" s="39" t="s">
        <v>1595</v>
      </c>
      <c r="E897" s="38" t="s">
        <v>3106</v>
      </c>
      <c r="F897" s="40" t="s">
        <v>4107</v>
      </c>
      <c r="G897" s="45">
        <v>9.399118125E9</v>
      </c>
      <c r="H897" s="41" t="str">
        <f>VLOOKUP(C897,Stores!$A$200:$G$1118,3,0)</f>
        <v>Opened Stores</v>
      </c>
      <c r="I897" s="41" t="str">
        <f>VLOOKUP(C897,Stores!$A$200:$G$1118,4,0)</f>
        <v>Stage 7 - Installed</v>
      </c>
      <c r="J897" s="41" t="str">
        <f>VLOOKUP(C897,Stores!$A$200:$G$1118,5,0)</f>
        <v>ZKTECO</v>
      </c>
      <c r="K897" s="41" t="str">
        <f>VLOOKUP(C897,Stores!$A$200:$G$1118,6,0)</f>
        <v>AEYU082360233</v>
      </c>
      <c r="L897" s="41" t="str">
        <f>VLOOKUP(C897,Stores!$A$200:$G$1118,7,0)</f>
        <v>192.168.1.201</v>
      </c>
      <c r="M897" s="42" t="s">
        <v>4061</v>
      </c>
    </row>
    <row r="898">
      <c r="A898" s="38" t="s">
        <v>2962</v>
      </c>
      <c r="B898" s="38" t="s">
        <v>4108</v>
      </c>
      <c r="C898" s="38" t="s">
        <v>2378</v>
      </c>
      <c r="D898" s="39" t="s">
        <v>2379</v>
      </c>
      <c r="E898" s="38" t="s">
        <v>3106</v>
      </c>
      <c r="F898" s="40" t="s">
        <v>4109</v>
      </c>
      <c r="G898" s="45">
        <v>9.399118132E9</v>
      </c>
      <c r="H898" s="41" t="str">
        <f>VLOOKUP(C898,Stores!$A$200:$G$1118,3,0)</f>
        <v>Opened Stores</v>
      </c>
      <c r="I898" s="41" t="str">
        <f>VLOOKUP(C898,Stores!$A$200:$G$1118,4,0)</f>
        <v>Stage 7 - Installed</v>
      </c>
      <c r="J898" s="41" t="str">
        <f>VLOOKUP(C898,Stores!$A$200:$G$1118,5,0)</f>
        <v>ZKTECO</v>
      </c>
      <c r="K898" s="41" t="str">
        <f>VLOOKUP(C898,Stores!$A$200:$G$1118,6,0)</f>
        <v>ZKM6245100241</v>
      </c>
      <c r="L898" s="41" t="str">
        <f>VLOOKUP(C898,Stores!$A$200:$G$1118,7,0)</f>
        <v>192.168.1.201</v>
      </c>
      <c r="M898" s="42" t="s">
        <v>4061</v>
      </c>
    </row>
    <row r="899">
      <c r="A899" s="38" t="s">
        <v>2962</v>
      </c>
      <c r="B899" s="38" t="s">
        <v>4110</v>
      </c>
      <c r="C899" s="38" t="s">
        <v>847</v>
      </c>
      <c r="D899" s="39" t="s">
        <v>4111</v>
      </c>
      <c r="E899" s="38" t="s">
        <v>3106</v>
      </c>
      <c r="F899" s="40" t="s">
        <v>4112</v>
      </c>
      <c r="G899" s="45">
        <v>9.399102872E9</v>
      </c>
      <c r="H899" s="41" t="str">
        <f>VLOOKUP(C899,Stores!$A$200:$G$1118,3,0)</f>
        <v>Opened Stores</v>
      </c>
      <c r="I899" s="41" t="str">
        <f>VLOOKUP(C899,Stores!$A$200:$G$1118,4,0)</f>
        <v>Stage 7 - Installed</v>
      </c>
      <c r="J899" s="41" t="str">
        <f>VLOOKUP(C899,Stores!$A$200:$G$1118,5,0)</f>
        <v>ZKTECO</v>
      </c>
      <c r="K899" s="41" t="str">
        <f>VLOOKUP(C899,Stores!$A$200:$G$1118,6,0)</f>
        <v>ZKM6251500191</v>
      </c>
      <c r="L899" s="41" t="str">
        <f>VLOOKUP(C899,Stores!$A$200:$G$1118,7,0)</f>
        <v>192.168.1.201</v>
      </c>
      <c r="M899" s="42" t="s">
        <v>4061</v>
      </c>
    </row>
    <row r="900">
      <c r="A900" s="38" t="s">
        <v>2962</v>
      </c>
      <c r="B900" s="38" t="s">
        <v>4113</v>
      </c>
      <c r="C900" s="38" t="s">
        <v>2745</v>
      </c>
      <c r="D900" s="39" t="s">
        <v>2746</v>
      </c>
      <c r="E900" s="38" t="s">
        <v>3106</v>
      </c>
      <c r="F900" s="40" t="s">
        <v>3124</v>
      </c>
      <c r="G900" s="45">
        <v>9.399113004E9</v>
      </c>
      <c r="H900" s="41" t="str">
        <f>VLOOKUP(C900,Stores!$A$200:$G$1118,3,0)</f>
        <v>Opened Stores</v>
      </c>
      <c r="I900" s="41" t="str">
        <f>VLOOKUP(C900,Stores!$A$200:$G$1118,4,0)</f>
        <v>Stage 7 - Installed</v>
      </c>
      <c r="J900" s="41" t="str">
        <f>VLOOKUP(C900,Stores!$A$200:$G$1118,5,0)</f>
        <v>ZKTECO</v>
      </c>
      <c r="K900" s="41" t="str">
        <f>VLOOKUP(C900,Stores!$A$200:$G$1118,6,0)</f>
        <v>ZKM6251700362</v>
      </c>
      <c r="L900" s="41" t="str">
        <f>VLOOKUP(C900,Stores!$A$200:$G$1118,7,0)</f>
        <v>192.168.1.201</v>
      </c>
      <c r="M900" s="42" t="s">
        <v>4061</v>
      </c>
    </row>
    <row r="901">
      <c r="A901" s="38" t="s">
        <v>2962</v>
      </c>
      <c r="B901" s="38" t="s">
        <v>4114</v>
      </c>
      <c r="C901" s="38" t="s">
        <v>1934</v>
      </c>
      <c r="D901" s="39" t="s">
        <v>1935</v>
      </c>
      <c r="E901" s="38" t="s">
        <v>3106</v>
      </c>
      <c r="F901" s="40" t="s">
        <v>4076</v>
      </c>
      <c r="G901" s="45">
        <v>6.39479957183E11</v>
      </c>
      <c r="H901" s="41" t="str">
        <f>VLOOKUP(C901,Stores!$A$200:$G$1118,3,0)</f>
        <v>Opened Stores</v>
      </c>
      <c r="I901" s="41" t="str">
        <f>VLOOKUP(C901,Stores!$A$200:$G$1118,4,0)</f>
        <v>Stage 7 - Installed</v>
      </c>
      <c r="J901" s="41" t="str">
        <f>VLOOKUP(C901,Stores!$A$200:$G$1118,5,0)</f>
        <v>ZKTECO</v>
      </c>
      <c r="K901" s="41" t="str">
        <f>VLOOKUP(C901,Stores!$A$200:$G$1118,6,0)</f>
        <v>CQUJ233560237</v>
      </c>
      <c r="L901" s="41" t="str">
        <f>VLOOKUP(C901,Stores!$A$200:$G$1118,7,0)</f>
        <v>192.168.1.201</v>
      </c>
      <c r="M901" s="42" t="s">
        <v>4061</v>
      </c>
    </row>
    <row r="902">
      <c r="A902" s="38" t="s">
        <v>2962</v>
      </c>
      <c r="B902" s="38" t="s">
        <v>4115</v>
      </c>
      <c r="C902" s="38" t="s">
        <v>1543</v>
      </c>
      <c r="D902" s="39" t="s">
        <v>1544</v>
      </c>
      <c r="E902" s="38" t="s">
        <v>3106</v>
      </c>
      <c r="F902" s="40" t="s">
        <v>4041</v>
      </c>
      <c r="G902" s="45">
        <v>9.985723087E9</v>
      </c>
      <c r="H902" s="41" t="str">
        <f>VLOOKUP(C902,Stores!$A$200:$G$1118,3,0)</f>
        <v>Opened Stores</v>
      </c>
      <c r="I902" s="41" t="str">
        <f>VLOOKUP(C902,Stores!$A$200:$G$1118,4,0)</f>
        <v>Stage 7 - Installed</v>
      </c>
      <c r="J902" s="41" t="str">
        <f>VLOOKUP(C902,Stores!$A$200:$G$1118,5,0)</f>
        <v>ZKTECO</v>
      </c>
      <c r="K902" s="41" t="str">
        <f>VLOOKUP(C902,Stores!$A$200:$G$1118,6,0)</f>
        <v>AEYU082360193</v>
      </c>
      <c r="L902" s="41" t="str">
        <f>VLOOKUP(C902,Stores!$A$200:$G$1118,7,0)</f>
        <v>192.168.1.201</v>
      </c>
      <c r="M902" s="42" t="s">
        <v>4061</v>
      </c>
    </row>
    <row r="903">
      <c r="A903" s="38" t="s">
        <v>2962</v>
      </c>
      <c r="B903" s="38" t="s">
        <v>4116</v>
      </c>
      <c r="C903" s="38" t="s">
        <v>602</v>
      </c>
      <c r="D903" s="39" t="s">
        <v>603</v>
      </c>
      <c r="E903" s="38" t="s">
        <v>3106</v>
      </c>
      <c r="F903" s="40" t="s">
        <v>4041</v>
      </c>
      <c r="G903" s="45">
        <v>9.985723087E9</v>
      </c>
      <c r="H903" s="41" t="str">
        <f>VLOOKUP(C903,Stores!$A$200:$G$1118,3,0)</f>
        <v>Opened Stores</v>
      </c>
      <c r="I903" s="41" t="str">
        <f>VLOOKUP(C903,Stores!$A$200:$G$1118,4,0)</f>
        <v>Stage 7 - Installed</v>
      </c>
      <c r="J903" s="41" t="str">
        <f>VLOOKUP(C903,Stores!$A$200:$G$1118,5,0)</f>
        <v>FINGERTEC</v>
      </c>
      <c r="K903" s="41">
        <f>VLOOKUP(C903,Stores!$A$200:$G$1118,6,0)</f>
        <v>7420091</v>
      </c>
      <c r="L903" s="41" t="str">
        <f>VLOOKUP(C903,Stores!$A$200:$G$1118,7,0)</f>
        <v>192.168.1.201</v>
      </c>
      <c r="M903" s="42" t="s">
        <v>4061</v>
      </c>
    </row>
    <row r="904">
      <c r="A904" s="38" t="s">
        <v>2962</v>
      </c>
      <c r="B904" s="38" t="s">
        <v>4117</v>
      </c>
      <c r="C904" s="38" t="s">
        <v>1335</v>
      </c>
      <c r="D904" s="39" t="s">
        <v>1336</v>
      </c>
      <c r="E904" s="38" t="s">
        <v>3106</v>
      </c>
      <c r="F904" s="40" t="s">
        <v>4099</v>
      </c>
      <c r="G904" s="45">
        <v>9.639238923E9</v>
      </c>
      <c r="H904" s="41" t="str">
        <f>VLOOKUP(C904,Stores!$A$200:$G$1118,3,0)</f>
        <v>Opened Stores</v>
      </c>
      <c r="I904" s="41" t="str">
        <f>VLOOKUP(C904,Stores!$A$200:$G$1118,4,0)</f>
        <v>Stage 7 - Installed</v>
      </c>
      <c r="J904" s="41" t="str">
        <f>VLOOKUP(C904,Stores!$A$200:$G$1118,5,0)</f>
        <v>ZKTECO</v>
      </c>
      <c r="K904" s="41" t="str">
        <f>VLOOKUP(C904,Stores!$A$200:$G$1118,6,0)</f>
        <v>AKDG012350210</v>
      </c>
      <c r="L904" s="41" t="str">
        <f>VLOOKUP(C904,Stores!$A$200:$G$1118,7,0)</f>
        <v>192.168.1.201</v>
      </c>
      <c r="M904" s="42" t="s">
        <v>4061</v>
      </c>
    </row>
    <row r="905">
      <c r="A905" s="38" t="s">
        <v>2962</v>
      </c>
      <c r="B905" s="38" t="s">
        <v>4118</v>
      </c>
      <c r="C905" s="38" t="s">
        <v>2596</v>
      </c>
      <c r="D905" s="39" t="s">
        <v>4119</v>
      </c>
      <c r="E905" s="38" t="s">
        <v>3106</v>
      </c>
      <c r="F905" s="40" t="s">
        <v>3121</v>
      </c>
      <c r="G905" s="45">
        <v>9.566413863E9</v>
      </c>
      <c r="H905" s="41" t="str">
        <f>VLOOKUP(C905,Stores!$A$200:$G$1118,3,0)</f>
        <v>Opened Stores</v>
      </c>
      <c r="I905" s="41" t="str">
        <f>VLOOKUP(C905,Stores!$A$200:$G$1118,4,0)</f>
        <v>Stage 7 - Installed</v>
      </c>
      <c r="J905" s="41" t="str">
        <f>VLOOKUP(C905,Stores!$A$200:$G$1118,5,0)</f>
        <v>ZKTECO</v>
      </c>
      <c r="K905" s="41" t="str">
        <f>VLOOKUP(C905,Stores!$A$200:$G$1118,6,0)</f>
        <v>ZKM6251400056</v>
      </c>
      <c r="L905" s="41" t="str">
        <f>VLOOKUP(C905,Stores!$A$200:$G$1118,7,0)</f>
        <v>192.168.1.201</v>
      </c>
      <c r="M905" s="42" t="s">
        <v>4061</v>
      </c>
    </row>
    <row r="906">
      <c r="A906" s="38" t="s">
        <v>2962</v>
      </c>
      <c r="B906" s="38" t="s">
        <v>4120</v>
      </c>
      <c r="C906" s="38" t="s">
        <v>1344</v>
      </c>
      <c r="D906" s="39" t="s">
        <v>1345</v>
      </c>
      <c r="E906" s="38" t="s">
        <v>3106</v>
      </c>
      <c r="F906" s="40" t="s">
        <v>4121</v>
      </c>
      <c r="G906" s="45">
        <v>9.764230416E9</v>
      </c>
      <c r="H906" s="41" t="str">
        <f>VLOOKUP(C906,Stores!$A$200:$G$1118,3,0)</f>
        <v>Opened Stores</v>
      </c>
      <c r="I906" s="41" t="str">
        <f>VLOOKUP(C906,Stores!$A$200:$G$1118,4,0)</f>
        <v>Stage 7 - Installed</v>
      </c>
      <c r="J906" s="41" t="str">
        <f>VLOOKUP(C906,Stores!$A$200:$G$1118,5,0)</f>
        <v>ZKTECO</v>
      </c>
      <c r="K906" s="41" t="str">
        <f>VLOOKUP(C906,Stores!$A$200:$G$1118,6,0)</f>
        <v>AKDG012350193</v>
      </c>
      <c r="L906" s="41" t="str">
        <f>VLOOKUP(C906,Stores!$A$200:$G$1118,7,0)</f>
        <v>192.168.1.201</v>
      </c>
      <c r="M906" s="42" t="s">
        <v>4061</v>
      </c>
    </row>
    <row r="907">
      <c r="A907" s="38" t="s">
        <v>2962</v>
      </c>
      <c r="B907" s="38" t="s">
        <v>4122</v>
      </c>
      <c r="C907" s="38" t="s">
        <v>1173</v>
      </c>
      <c r="D907" s="39" t="s">
        <v>1174</v>
      </c>
      <c r="E907" s="38" t="s">
        <v>3106</v>
      </c>
      <c r="F907" s="40" t="s">
        <v>4033</v>
      </c>
      <c r="G907" s="45">
        <v>9.189455877E9</v>
      </c>
      <c r="H907" s="41" t="str">
        <f>VLOOKUP(C907,Stores!$A$200:$G$1118,3,0)</f>
        <v>Opened Stores</v>
      </c>
      <c r="I907" s="41" t="str">
        <f>VLOOKUP(C907,Stores!$A$200:$G$1118,4,0)</f>
        <v>Stage 7 - Installed</v>
      </c>
      <c r="J907" s="41" t="str">
        <f>VLOOKUP(C907,Stores!$A$200:$G$1118,5,0)</f>
        <v>ZKTECO</v>
      </c>
      <c r="K907" s="41" t="str">
        <f>VLOOKUP(C907,Stores!$A$200:$G$1118,6,0)</f>
        <v>A8N5221960163</v>
      </c>
      <c r="L907" s="41" t="str">
        <f>VLOOKUP(C907,Stores!$A$200:$G$1118,7,0)</f>
        <v>192.168.1.201</v>
      </c>
      <c r="M907" s="42" t="s">
        <v>4061</v>
      </c>
    </row>
    <row r="908">
      <c r="A908" s="38" t="s">
        <v>2962</v>
      </c>
      <c r="B908" s="38" t="s">
        <v>4123</v>
      </c>
      <c r="C908" s="38" t="s">
        <v>1532</v>
      </c>
      <c r="D908" s="39" t="s">
        <v>1533</v>
      </c>
      <c r="E908" s="38" t="s">
        <v>3106</v>
      </c>
      <c r="F908" s="40" t="s">
        <v>4121</v>
      </c>
      <c r="G908" s="45">
        <v>9.764230416E9</v>
      </c>
      <c r="H908" s="41" t="str">
        <f>VLOOKUP(C908,Stores!$A$200:$G$1118,3,0)</f>
        <v>Opened Stores</v>
      </c>
      <c r="I908" s="41" t="str">
        <f>VLOOKUP(C908,Stores!$A$200:$G$1118,4,0)</f>
        <v>Stage 7 - Installed</v>
      </c>
      <c r="J908" s="41" t="str">
        <f>VLOOKUP(C908,Stores!$A$200:$G$1118,5,0)</f>
        <v>ZKTECO</v>
      </c>
      <c r="K908" s="41" t="str">
        <f>VLOOKUP(C908,Stores!$A$200:$G$1118,6,0)</f>
        <v>AEYU082360195</v>
      </c>
      <c r="L908" s="41" t="str">
        <f>VLOOKUP(C908,Stores!$A$200:$G$1118,7,0)</f>
        <v>192.168.1.201</v>
      </c>
      <c r="M908" s="42" t="s">
        <v>4061</v>
      </c>
    </row>
    <row r="909">
      <c r="A909" s="38" t="s">
        <v>2962</v>
      </c>
      <c r="B909" s="38" t="s">
        <v>4124</v>
      </c>
      <c r="C909" s="38" t="s">
        <v>2048</v>
      </c>
      <c r="D909" s="39" t="s">
        <v>2049</v>
      </c>
      <c r="E909" s="38" t="s">
        <v>3106</v>
      </c>
      <c r="F909" s="40" t="s">
        <v>4037</v>
      </c>
      <c r="G909" s="45">
        <v>9.985877953E9</v>
      </c>
      <c r="H909" s="41" t="str">
        <f>VLOOKUP(C909,Stores!$A$200:$G$1118,3,0)</f>
        <v>Opened Stores</v>
      </c>
      <c r="I909" s="41" t="str">
        <f>VLOOKUP(C909,Stores!$A$200:$G$1118,4,0)</f>
        <v>Stage 7 - Installed</v>
      </c>
      <c r="J909" s="41" t="str">
        <f>VLOOKUP(C909,Stores!$A$200:$G$1118,5,0)</f>
        <v>ZKTECO</v>
      </c>
      <c r="K909" s="41" t="str">
        <f>VLOOKUP(C909,Stores!$A$200:$G$1118,6,0)</f>
        <v>CQUJ233560922</v>
      </c>
      <c r="L909" s="41" t="str">
        <f>VLOOKUP(C909,Stores!$A$200:$G$1118,7,0)</f>
        <v>192.168.1.201</v>
      </c>
      <c r="M909" s="42" t="s">
        <v>4061</v>
      </c>
    </row>
    <row r="910">
      <c r="A910" s="38" t="s">
        <v>2962</v>
      </c>
      <c r="B910" s="38" t="s">
        <v>4125</v>
      </c>
      <c r="C910" s="38" t="s">
        <v>2496</v>
      </c>
      <c r="D910" s="39" t="s">
        <v>2497</v>
      </c>
      <c r="E910" s="38" t="s">
        <v>3106</v>
      </c>
      <c r="F910" s="40" t="s">
        <v>4109</v>
      </c>
      <c r="G910" s="45">
        <v>9.399118132E9</v>
      </c>
      <c r="H910" s="41" t="str">
        <f>VLOOKUP(C910,Stores!$A$200:$G$1118,3,0)</f>
        <v>Opened Stores</v>
      </c>
      <c r="I910" s="41" t="str">
        <f>VLOOKUP(C910,Stores!$A$200:$G$1118,4,0)</f>
        <v>Stage 7 - Installed</v>
      </c>
      <c r="J910" s="41" t="str">
        <f>VLOOKUP(C910,Stores!$A$200:$G$1118,5,0)</f>
        <v>ZKTECO</v>
      </c>
      <c r="K910" s="41" t="str">
        <f>VLOOKUP(C910,Stores!$A$200:$G$1118,6,0)</f>
        <v>ZKM6245100033</v>
      </c>
      <c r="L910" s="41" t="str">
        <f>VLOOKUP(C910,Stores!$A$200:$G$1118,7,0)</f>
        <v>192.168.1.201</v>
      </c>
      <c r="M910" s="42" t="s">
        <v>4061</v>
      </c>
    </row>
    <row r="911">
      <c r="A911" s="38" t="s">
        <v>2962</v>
      </c>
      <c r="B911" s="38" t="s">
        <v>4126</v>
      </c>
      <c r="C911" s="38" t="s">
        <v>2209</v>
      </c>
      <c r="D911" s="39" t="s">
        <v>4127</v>
      </c>
      <c r="E911" s="38" t="s">
        <v>3106</v>
      </c>
      <c r="F911" s="40" t="s">
        <v>4128</v>
      </c>
      <c r="G911" s="45">
        <v>9.171390546E9</v>
      </c>
      <c r="H911" s="41" t="str">
        <f>VLOOKUP(C911,Stores!$A$200:$G$1118,3,0)</f>
        <v>Opened Stores</v>
      </c>
      <c r="I911" s="41" t="str">
        <f>VLOOKUP(C911,Stores!$A$200:$G$1118,4,0)</f>
        <v>Stage 7 - Installed</v>
      </c>
      <c r="J911" s="41" t="str">
        <f>VLOOKUP(C911,Stores!$A$200:$G$1118,5,0)</f>
        <v>ZKTECO</v>
      </c>
      <c r="K911" s="41" t="str">
        <f>VLOOKUP(C911,Stores!$A$200:$G$1118,6,0)</f>
        <v>CQUJ233560121</v>
      </c>
      <c r="L911" s="41" t="str">
        <f>VLOOKUP(C911,Stores!$A$200:$G$1118,7,0)</f>
        <v>192.168.1.201</v>
      </c>
      <c r="M911" s="42" t="s">
        <v>4061</v>
      </c>
    </row>
    <row r="912">
      <c r="A912" s="38" t="s">
        <v>2962</v>
      </c>
      <c r="B912" s="38" t="s">
        <v>4129</v>
      </c>
      <c r="C912" s="38" t="s">
        <v>2646</v>
      </c>
      <c r="D912" s="39" t="s">
        <v>2647</v>
      </c>
      <c r="E912" s="38" t="s">
        <v>3106</v>
      </c>
      <c r="F912" s="40" t="s">
        <v>4082</v>
      </c>
      <c r="G912" s="45">
        <v>9.262740327E9</v>
      </c>
      <c r="H912" s="41" t="str">
        <f>VLOOKUP(C912,Stores!$A$200:$G$1118,3,0)</f>
        <v>Opened Stores</v>
      </c>
      <c r="I912" s="41" t="str">
        <f>VLOOKUP(C912,Stores!$A$200:$G$1118,4,0)</f>
        <v>Stage 7 - Installed</v>
      </c>
      <c r="J912" s="41" t="str">
        <f>VLOOKUP(C912,Stores!$A$200:$G$1118,5,0)</f>
        <v>ZKTECO</v>
      </c>
      <c r="K912" s="41" t="str">
        <f>VLOOKUP(C912,Stores!$A$200:$G$1118,6,0)</f>
        <v>ZKM6251700353</v>
      </c>
      <c r="L912" s="41" t="str">
        <f>VLOOKUP(C912,Stores!$A$200:$G$1118,7,0)</f>
        <v>192.168.1.201</v>
      </c>
      <c r="M912" s="42" t="s">
        <v>4061</v>
      </c>
    </row>
    <row r="913">
      <c r="A913" s="38" t="s">
        <v>2962</v>
      </c>
      <c r="B913" s="38" t="s">
        <v>4130</v>
      </c>
      <c r="C913" s="38" t="s">
        <v>1212</v>
      </c>
      <c r="D913" s="39" t="s">
        <v>1213</v>
      </c>
      <c r="E913" s="38" t="s">
        <v>3106</v>
      </c>
      <c r="F913" s="40" t="s">
        <v>4131</v>
      </c>
      <c r="G913" s="45">
        <v>9.171610029E9</v>
      </c>
      <c r="H913" s="41" t="str">
        <f>VLOOKUP(C913,Stores!$A$200:$G$1118,3,0)</f>
        <v>Opened Stores</v>
      </c>
      <c r="I913" s="41" t="str">
        <f>VLOOKUP(C913,Stores!$A$200:$G$1118,4,0)</f>
        <v>Stage 7 - Installed</v>
      </c>
      <c r="J913" s="41" t="str">
        <f>VLOOKUP(C913,Stores!$A$200:$G$1118,5,0)</f>
        <v>ZKTECO</v>
      </c>
      <c r="K913" s="41" t="str">
        <f>VLOOKUP(C913,Stores!$A$200:$G$1118,6,0)</f>
        <v>AKDG012351713</v>
      </c>
      <c r="L913" s="41" t="str">
        <f>VLOOKUP(C913,Stores!$A$200:$G$1118,7,0)</f>
        <v>192.168.1.201</v>
      </c>
      <c r="M913" s="42" t="s">
        <v>4061</v>
      </c>
    </row>
    <row r="914">
      <c r="A914" s="38" t="s">
        <v>2962</v>
      </c>
      <c r="B914" s="38" t="s">
        <v>4132</v>
      </c>
      <c r="C914" s="38" t="s">
        <v>2472</v>
      </c>
      <c r="D914" s="39" t="s">
        <v>2473</v>
      </c>
      <c r="E914" s="38" t="s">
        <v>3106</v>
      </c>
      <c r="F914" s="40" t="s">
        <v>4043</v>
      </c>
      <c r="G914" s="45">
        <v>9.688502731E9</v>
      </c>
      <c r="H914" s="41" t="str">
        <f>VLOOKUP(C914,Stores!$A$200:$G$1118,3,0)</f>
        <v>Opened Stores</v>
      </c>
      <c r="I914" s="41" t="str">
        <f>VLOOKUP(C914,Stores!$A$200:$G$1118,4,0)</f>
        <v>Stage 7 - Installed</v>
      </c>
      <c r="J914" s="41" t="str">
        <f>VLOOKUP(C914,Stores!$A$200:$G$1118,5,0)</f>
        <v>ZKTECO</v>
      </c>
      <c r="K914" s="41" t="str">
        <f>VLOOKUP(C914,Stores!$A$200:$G$1118,6,0)</f>
        <v>ZKM6245100093</v>
      </c>
      <c r="L914" s="41" t="str">
        <f>VLOOKUP(C914,Stores!$A$200:$G$1118,7,0)</f>
        <v>192.168.1.201</v>
      </c>
      <c r="M914" s="42" t="s">
        <v>4061</v>
      </c>
    </row>
    <row r="915">
      <c r="A915" s="38" t="s">
        <v>2962</v>
      </c>
      <c r="B915" s="38" t="s">
        <v>4133</v>
      </c>
      <c r="C915" s="38" t="s">
        <v>1030</v>
      </c>
      <c r="D915" s="39" t="s">
        <v>1031</v>
      </c>
      <c r="E915" s="38" t="s">
        <v>3106</v>
      </c>
      <c r="F915" s="40" t="s">
        <v>4035</v>
      </c>
      <c r="G915" s="45">
        <v>9.190996105E9</v>
      </c>
      <c r="H915" s="41" t="str">
        <f>VLOOKUP(C915,Stores!$A$200:$G$1118,3,0)</f>
        <v>Opened Stores</v>
      </c>
      <c r="I915" s="41" t="str">
        <f>VLOOKUP(C915,Stores!$A$200:$G$1118,4,0)</f>
        <v>Stage 7 - Installed</v>
      </c>
      <c r="J915" s="41" t="str">
        <f>VLOOKUP(C915,Stores!$A$200:$G$1118,5,0)</f>
        <v>ZKTECO</v>
      </c>
      <c r="K915" s="41" t="str">
        <f>VLOOKUP(C915,Stores!$A$200:$G$1118,6,0)</f>
        <v>A8N5221960179</v>
      </c>
      <c r="L915" s="41" t="str">
        <f>VLOOKUP(C915,Stores!$A$200:$G$1118,7,0)</f>
        <v>192.168.1.201</v>
      </c>
      <c r="M915" s="42" t="s">
        <v>4061</v>
      </c>
    </row>
    <row r="916">
      <c r="A916" s="38" t="s">
        <v>2962</v>
      </c>
      <c r="B916" s="38" t="s">
        <v>4134</v>
      </c>
      <c r="C916" s="38" t="s">
        <v>1243</v>
      </c>
      <c r="D916" s="39" t="s">
        <v>1244</v>
      </c>
      <c r="E916" s="38" t="s">
        <v>3106</v>
      </c>
      <c r="F916" s="40" t="s">
        <v>4093</v>
      </c>
      <c r="G916" s="45">
        <v>9.985973138E9</v>
      </c>
      <c r="H916" s="41" t="str">
        <f>VLOOKUP(C916,Stores!$A$200:$G$1118,3,0)</f>
        <v>Opened Stores</v>
      </c>
      <c r="I916" s="41" t="str">
        <f>VLOOKUP(C916,Stores!$A$200:$G$1118,4,0)</f>
        <v>Stage 7 - Installed</v>
      </c>
      <c r="J916" s="41" t="str">
        <f>VLOOKUP(C916,Stores!$A$200:$G$1118,5,0)</f>
        <v>ZKTECO</v>
      </c>
      <c r="K916" s="41" t="str">
        <f>VLOOKUP(C916,Stores!$A$200:$G$1118,6,0)</f>
        <v>AKDG012351717</v>
      </c>
      <c r="L916" s="41" t="str">
        <f>VLOOKUP(C916,Stores!$A$200:$G$1118,7,0)</f>
        <v>192.168.1.201</v>
      </c>
      <c r="M916" s="42" t="s">
        <v>4061</v>
      </c>
    </row>
    <row r="917">
      <c r="A917" s="38" t="s">
        <v>2962</v>
      </c>
      <c r="B917" s="38" t="s">
        <v>4135</v>
      </c>
      <c r="C917" s="38" t="s">
        <v>1731</v>
      </c>
      <c r="D917" s="39" t="s">
        <v>1732</v>
      </c>
      <c r="E917" s="38" t="s">
        <v>3106</v>
      </c>
      <c r="F917" s="40" t="s">
        <v>3109</v>
      </c>
      <c r="G917" s="45">
        <v>9.563287387E9</v>
      </c>
      <c r="H917" s="41" t="str">
        <f>VLOOKUP(C917,Stores!$A$200:$G$1118,3,0)</f>
        <v>Opened Stores</v>
      </c>
      <c r="I917" s="41" t="str">
        <f>VLOOKUP(C917,Stores!$A$200:$G$1118,4,0)</f>
        <v>Stage 7 - Installed</v>
      </c>
      <c r="J917" s="41" t="str">
        <f>VLOOKUP(C917,Stores!$A$200:$G$1118,5,0)</f>
        <v>ZKTECO</v>
      </c>
      <c r="K917" s="41" t="str">
        <f>VLOOKUP(C917,Stores!$A$200:$G$1118,6,0)</f>
        <v>CQUJ233560291</v>
      </c>
      <c r="L917" s="41" t="str">
        <f>VLOOKUP(C917,Stores!$A$200:$G$1118,7,0)</f>
        <v>192.168.1.201</v>
      </c>
      <c r="M917" s="42" t="s">
        <v>4061</v>
      </c>
    </row>
    <row r="918">
      <c r="A918" s="38" t="s">
        <v>2962</v>
      </c>
      <c r="B918" s="38" t="s">
        <v>4136</v>
      </c>
      <c r="C918" s="38" t="s">
        <v>1961</v>
      </c>
      <c r="D918" s="39" t="s">
        <v>4137</v>
      </c>
      <c r="E918" s="38" t="s">
        <v>3106</v>
      </c>
      <c r="F918" s="40" t="s">
        <v>3117</v>
      </c>
      <c r="G918" s="45">
        <v>9.278684106E9</v>
      </c>
      <c r="H918" s="41" t="str">
        <f>VLOOKUP(C918,Stores!$A$200:$G$1118,3,0)</f>
        <v>Opened Stores</v>
      </c>
      <c r="I918" s="41" t="str">
        <f>VLOOKUP(C918,Stores!$A$200:$G$1118,4,0)</f>
        <v>Stage 7 - Installed</v>
      </c>
      <c r="J918" s="41" t="str">
        <f>VLOOKUP(C918,Stores!$A$200:$G$1118,5,0)</f>
        <v>ZKTECO</v>
      </c>
      <c r="K918" s="41" t="str">
        <f>VLOOKUP(C918,Stores!$A$200:$G$1118,6,0)</f>
        <v>CQUJ233560289</v>
      </c>
      <c r="L918" s="41" t="str">
        <f>VLOOKUP(C918,Stores!$A$200:$G$1118,7,0)</f>
        <v>192.168.1.201</v>
      </c>
      <c r="M918" s="42" t="s">
        <v>4061</v>
      </c>
    </row>
    <row r="919">
      <c r="A919" s="38" t="s">
        <v>2962</v>
      </c>
      <c r="B919" s="38" t="s">
        <v>4138</v>
      </c>
      <c r="C919" s="38" t="s">
        <v>2170</v>
      </c>
      <c r="D919" s="39" t="s">
        <v>4139</v>
      </c>
      <c r="E919" s="38" t="s">
        <v>3106</v>
      </c>
      <c r="F919" s="40" t="s">
        <v>4080</v>
      </c>
      <c r="G919" s="45">
        <v>9.190027043E9</v>
      </c>
      <c r="H919" s="41" t="str">
        <f>VLOOKUP(C919,Stores!$A$200:$G$1118,3,0)</f>
        <v>Opened Stores</v>
      </c>
      <c r="I919" s="41" t="str">
        <f>VLOOKUP(C919,Stores!$A$200:$G$1118,4,0)</f>
        <v>Stage 7 - Installed</v>
      </c>
      <c r="J919" s="41" t="str">
        <f>VLOOKUP(C919,Stores!$A$200:$G$1118,5,0)</f>
        <v>ZKTECO</v>
      </c>
      <c r="K919" s="41" t="str">
        <f>VLOOKUP(C919,Stores!$A$200:$G$1118,6,0)</f>
        <v>ZKM6245100172</v>
      </c>
      <c r="L919" s="41" t="str">
        <f>VLOOKUP(C919,Stores!$A$200:$G$1118,7,0)</f>
        <v>192.168.1.201</v>
      </c>
      <c r="M919" s="42" t="s">
        <v>4061</v>
      </c>
    </row>
    <row r="920">
      <c r="A920" s="38" t="s">
        <v>2962</v>
      </c>
      <c r="B920" s="38" t="s">
        <v>4140</v>
      </c>
      <c r="C920" s="38" t="s">
        <v>2787</v>
      </c>
      <c r="D920" s="39" t="s">
        <v>2788</v>
      </c>
      <c r="E920" s="38" t="s">
        <v>3106</v>
      </c>
      <c r="F920" s="40" t="s">
        <v>3111</v>
      </c>
      <c r="G920" s="45">
        <v>9.480606849E9</v>
      </c>
      <c r="H920" s="41" t="str">
        <f>VLOOKUP(C920,Stores!$A$200:$G$1118,3,0)</f>
        <v>Opened Stores</v>
      </c>
      <c r="I920" s="41" t="str">
        <f>VLOOKUP(C920,Stores!$A$200:$G$1118,4,0)</f>
        <v>Stage 7 - Installed</v>
      </c>
      <c r="J920" s="41" t="str">
        <f>VLOOKUP(C920,Stores!$A$200:$G$1118,5,0)</f>
        <v>ZKTECO</v>
      </c>
      <c r="K920" s="41" t="str">
        <f>VLOOKUP(C920,Stores!$A$200:$G$1118,6,0)</f>
        <v>ZKM6251700035</v>
      </c>
      <c r="L920" s="41" t="str">
        <f>VLOOKUP(C920,Stores!$A$200:$G$1118,7,0)</f>
        <v>192.168.1.201</v>
      </c>
      <c r="M920" s="42" t="s">
        <v>4061</v>
      </c>
    </row>
    <row r="921">
      <c r="A921" s="38" t="s">
        <v>2962</v>
      </c>
      <c r="B921" s="38" t="s">
        <v>4141</v>
      </c>
      <c r="C921" s="38" t="s">
        <v>1937</v>
      </c>
      <c r="D921" s="39" t="s">
        <v>1938</v>
      </c>
      <c r="E921" s="38" t="s">
        <v>3106</v>
      </c>
      <c r="F921" s="40" t="s">
        <v>4073</v>
      </c>
      <c r="G921" s="45">
        <v>9.171610043E9</v>
      </c>
      <c r="H921" s="41" t="str">
        <f>VLOOKUP(C921,Stores!$A$200:$G$1118,3,0)</f>
        <v>Opened Stores</v>
      </c>
      <c r="I921" s="41" t="str">
        <f>VLOOKUP(C921,Stores!$A$200:$G$1118,4,0)</f>
        <v>Stage 7 - Installed</v>
      </c>
      <c r="J921" s="41" t="str">
        <f>VLOOKUP(C921,Stores!$A$200:$G$1118,5,0)</f>
        <v>ZKTECO</v>
      </c>
      <c r="K921" s="41" t="str">
        <f>VLOOKUP(C921,Stores!$A$200:$G$1118,6,0)</f>
        <v>CQUJ233561292</v>
      </c>
      <c r="L921" s="41" t="str">
        <f>VLOOKUP(C921,Stores!$A$200:$G$1118,7,0)</f>
        <v>192.168.1.201</v>
      </c>
      <c r="M921" s="42" t="s">
        <v>4061</v>
      </c>
    </row>
    <row r="922">
      <c r="A922" s="38" t="s">
        <v>2962</v>
      </c>
      <c r="B922" s="38" t="s">
        <v>4142</v>
      </c>
      <c r="C922" s="38" t="s">
        <v>1350</v>
      </c>
      <c r="D922" s="39" t="s">
        <v>1351</v>
      </c>
      <c r="E922" s="38" t="s">
        <v>3106</v>
      </c>
      <c r="F922" s="40" t="s">
        <v>4093</v>
      </c>
      <c r="G922" s="45">
        <v>9.985973138E9</v>
      </c>
      <c r="H922" s="41" t="str">
        <f>VLOOKUP(C922,Stores!$A$200:$G$1118,3,0)</f>
        <v>Opened Stores</v>
      </c>
      <c r="I922" s="41" t="str">
        <f>VLOOKUP(C922,Stores!$A$200:$G$1118,4,0)</f>
        <v>Stage 7 - Installed</v>
      </c>
      <c r="J922" s="41" t="str">
        <f>VLOOKUP(C922,Stores!$A$200:$G$1118,5,0)</f>
        <v>ZKTECO</v>
      </c>
      <c r="K922" s="41" t="str">
        <f>VLOOKUP(C922,Stores!$A$200:$G$1118,6,0)</f>
        <v>AKDG012350222</v>
      </c>
      <c r="L922" s="41" t="str">
        <f>VLOOKUP(C922,Stores!$A$200:$G$1118,7,0)</f>
        <v>192.168.1.201</v>
      </c>
      <c r="M922" s="42" t="s">
        <v>4061</v>
      </c>
    </row>
    <row r="923">
      <c r="A923" s="38" t="s">
        <v>2962</v>
      </c>
      <c r="B923" s="38" t="s">
        <v>4143</v>
      </c>
      <c r="C923" s="38" t="s">
        <v>2532</v>
      </c>
      <c r="D923" s="39" t="s">
        <v>2533</v>
      </c>
      <c r="E923" s="38" t="s">
        <v>3106</v>
      </c>
      <c r="F923" s="40" t="s">
        <v>4090</v>
      </c>
      <c r="G923" s="45">
        <v>9.985728455E9</v>
      </c>
      <c r="H923" s="41" t="str">
        <f>VLOOKUP(C923,Stores!$A$200:$G$1118,3,0)</f>
        <v>Opened Stores</v>
      </c>
      <c r="I923" s="41" t="str">
        <f>VLOOKUP(C923,Stores!$A$200:$G$1118,4,0)</f>
        <v>Stage 7 - Installed</v>
      </c>
      <c r="J923" s="41" t="str">
        <f>VLOOKUP(C923,Stores!$A$200:$G$1118,5,0)</f>
        <v>ZKTECO</v>
      </c>
      <c r="K923" s="41" t="str">
        <f>VLOOKUP(C923,Stores!$A$200:$G$1118,6,0)</f>
        <v>ZKM6251500306</v>
      </c>
      <c r="L923" s="41" t="str">
        <f>VLOOKUP(C923,Stores!$A$200:$G$1118,7,0)</f>
        <v>192.168.1.201</v>
      </c>
      <c r="M923" s="42" t="s">
        <v>4061</v>
      </c>
    </row>
    <row r="924">
      <c r="A924" s="38" t="s">
        <v>2962</v>
      </c>
      <c r="B924" s="38" t="s">
        <v>4144</v>
      </c>
      <c r="C924" s="38" t="s">
        <v>557</v>
      </c>
      <c r="D924" s="39" t="s">
        <v>558</v>
      </c>
      <c r="E924" s="38" t="s">
        <v>3106</v>
      </c>
      <c r="F924" s="40" t="s">
        <v>4131</v>
      </c>
      <c r="G924" s="45">
        <v>9.176214267E9</v>
      </c>
      <c r="H924" s="41" t="str">
        <f>VLOOKUP(C924,Stores!$A$200:$G$1118,3,0)</f>
        <v>Opened Stores</v>
      </c>
      <c r="I924" s="41" t="str">
        <f>VLOOKUP(C924,Stores!$A$200:$G$1118,4,0)</f>
        <v>Stage 7 - Installed</v>
      </c>
      <c r="J924" s="41" t="str">
        <f>VLOOKUP(C924,Stores!$A$200:$G$1118,5,0)</f>
        <v>FINGERTEC</v>
      </c>
      <c r="K924" s="41">
        <f>VLOOKUP(C924,Stores!$A$200:$G$1118,6,0)</f>
        <v>7418804</v>
      </c>
      <c r="L924" s="41" t="str">
        <f>VLOOKUP(C924,Stores!$A$200:$G$1118,7,0)</f>
        <v>192.168.1.201</v>
      </c>
      <c r="M924" s="42" t="s">
        <v>4061</v>
      </c>
    </row>
    <row r="925">
      <c r="A925" s="38" t="s">
        <v>2962</v>
      </c>
      <c r="B925" s="38" t="s">
        <v>4145</v>
      </c>
      <c r="C925" s="38" t="s">
        <v>1919</v>
      </c>
      <c r="D925" s="39" t="s">
        <v>1920</v>
      </c>
      <c r="E925" s="38" t="s">
        <v>3106</v>
      </c>
      <c r="F925" s="40" t="s">
        <v>3111</v>
      </c>
      <c r="G925" s="45">
        <v>9.480606849E9</v>
      </c>
      <c r="H925" s="41" t="str">
        <f>VLOOKUP(C925,Stores!$A$200:$G$1118,3,0)</f>
        <v>Opened Stores</v>
      </c>
      <c r="I925" s="41" t="str">
        <f>VLOOKUP(C925,Stores!$A$200:$G$1118,4,0)</f>
        <v>Stage 7 - Installed</v>
      </c>
      <c r="J925" s="41" t="str">
        <f>VLOOKUP(C925,Stores!$A$200:$G$1118,5,0)</f>
        <v>ZKTECO</v>
      </c>
      <c r="K925" s="41" t="str">
        <f>VLOOKUP(C925,Stores!$A$200:$G$1118,6,0)</f>
        <v>CQUJ233561106</v>
      </c>
      <c r="L925" s="41" t="str">
        <f>VLOOKUP(C925,Stores!$A$200:$G$1118,7,0)</f>
        <v>192.168.1.201</v>
      </c>
      <c r="M925" s="42" t="s">
        <v>4061</v>
      </c>
    </row>
    <row r="926">
      <c r="A926" s="38" t="s">
        <v>2962</v>
      </c>
      <c r="B926" s="38" t="s">
        <v>4146</v>
      </c>
      <c r="C926" s="38" t="s">
        <v>1582</v>
      </c>
      <c r="D926" s="39" t="s">
        <v>1583</v>
      </c>
      <c r="E926" s="38" t="s">
        <v>3106</v>
      </c>
      <c r="F926" s="40" t="s">
        <v>4070</v>
      </c>
      <c r="G926" s="45">
        <v>9.190025605E9</v>
      </c>
      <c r="H926" s="41" t="str">
        <f>VLOOKUP(C926,Stores!$A$200:$G$1118,3,0)</f>
        <v>Opened Stores</v>
      </c>
      <c r="I926" s="41" t="str">
        <f>VLOOKUP(C926,Stores!$A$200:$G$1118,4,0)</f>
        <v>Stage 7 - Installed</v>
      </c>
      <c r="J926" s="41" t="str">
        <f>VLOOKUP(C926,Stores!$A$200:$G$1118,5,0)</f>
        <v>ZKTECO</v>
      </c>
      <c r="K926" s="41" t="str">
        <f>VLOOKUP(C926,Stores!$A$200:$G$1118,6,0)</f>
        <v>AEYU082360265</v>
      </c>
      <c r="L926" s="41" t="str">
        <f>VLOOKUP(C926,Stores!$A$200:$G$1118,7,0)</f>
        <v>192.168.1.201</v>
      </c>
      <c r="M926" s="42" t="s">
        <v>4061</v>
      </c>
    </row>
    <row r="927">
      <c r="A927" s="38" t="s">
        <v>2962</v>
      </c>
      <c r="B927" s="38" t="s">
        <v>4147</v>
      </c>
      <c r="C927" s="38" t="s">
        <v>1303</v>
      </c>
      <c r="D927" s="39" t="s">
        <v>1304</v>
      </c>
      <c r="E927" s="38" t="s">
        <v>3106</v>
      </c>
      <c r="F927" s="40" t="s">
        <v>4070</v>
      </c>
      <c r="G927" s="45">
        <v>9.190025605E9</v>
      </c>
      <c r="H927" s="41" t="str">
        <f>VLOOKUP(C927,Stores!$A$200:$G$1118,3,0)</f>
        <v>Opened Stores</v>
      </c>
      <c r="I927" s="41" t="str">
        <f>VLOOKUP(C927,Stores!$A$200:$G$1118,4,0)</f>
        <v>Stage 7 - Installed</v>
      </c>
      <c r="J927" s="41" t="str">
        <f>VLOOKUP(C927,Stores!$A$200:$G$1118,5,0)</f>
        <v>ZKTECO</v>
      </c>
      <c r="K927" s="41" t="str">
        <f>VLOOKUP(C927,Stores!$A$200:$G$1118,6,0)</f>
        <v>AKDG012351715</v>
      </c>
      <c r="L927" s="41" t="str">
        <f>VLOOKUP(C927,Stores!$A$200:$G$1118,7,0)</f>
        <v>192.168.1.201</v>
      </c>
      <c r="M927" s="42" t="s">
        <v>4061</v>
      </c>
    </row>
    <row r="928">
      <c r="A928" s="38" t="s">
        <v>2962</v>
      </c>
      <c r="B928" s="38" t="s">
        <v>4148</v>
      </c>
      <c r="C928" s="38" t="s">
        <v>2511</v>
      </c>
      <c r="D928" s="39" t="s">
        <v>2512</v>
      </c>
      <c r="E928" s="38" t="s">
        <v>3106</v>
      </c>
      <c r="F928" s="40" t="s">
        <v>4149</v>
      </c>
      <c r="G928" s="45">
        <v>9.535307856E9</v>
      </c>
      <c r="H928" s="41" t="str">
        <f>VLOOKUP(C928,Stores!$A$200:$G$1118,3,0)</f>
        <v>Opened Stores</v>
      </c>
      <c r="I928" s="41" t="str">
        <f>VLOOKUP(C928,Stores!$A$200:$G$1118,4,0)</f>
        <v>Stage 7 - Installed</v>
      </c>
      <c r="J928" s="41" t="str">
        <f>VLOOKUP(C928,Stores!$A$200:$G$1118,5,0)</f>
        <v>ZKTECO</v>
      </c>
      <c r="K928" s="41" t="str">
        <f>VLOOKUP(C928,Stores!$A$200:$G$1118,6,0)</f>
        <v>ZKM6251700054</v>
      </c>
      <c r="L928" s="41" t="str">
        <f>VLOOKUP(C928,Stores!$A$200:$G$1118,7,0)</f>
        <v>192.168.1.201</v>
      </c>
      <c r="M928" s="42" t="s">
        <v>4061</v>
      </c>
    </row>
    <row r="929">
      <c r="A929" s="38" t="s">
        <v>2962</v>
      </c>
      <c r="B929" s="38" t="s">
        <v>4150</v>
      </c>
      <c r="C929" s="38" t="s">
        <v>2464</v>
      </c>
      <c r="D929" s="39" t="s">
        <v>2465</v>
      </c>
      <c r="E929" s="38" t="s">
        <v>3106</v>
      </c>
      <c r="F929" s="40" t="s">
        <v>4107</v>
      </c>
      <c r="G929" s="45">
        <v>9.399118125E9</v>
      </c>
      <c r="H929" s="41" t="str">
        <f>VLOOKUP(C929,Stores!$A$200:$G$1118,3,0)</f>
        <v>Opened Stores</v>
      </c>
      <c r="I929" s="41" t="str">
        <f>VLOOKUP(C929,Stores!$A$200:$G$1118,4,0)</f>
        <v>Stage 7 - Installed</v>
      </c>
      <c r="J929" s="41" t="str">
        <f>VLOOKUP(C929,Stores!$A$200:$G$1118,5,0)</f>
        <v>ZKTECO</v>
      </c>
      <c r="K929" s="41" t="str">
        <f>VLOOKUP(C929,Stores!$A$200:$G$1118,6,0)</f>
        <v>ZKM6245100123</v>
      </c>
      <c r="L929" s="41" t="str">
        <f>VLOOKUP(C929,Stores!$A$200:$G$1118,7,0)</f>
        <v>192.168.1.201</v>
      </c>
      <c r="M929" s="42" t="s">
        <v>4061</v>
      </c>
    </row>
    <row r="930">
      <c r="A930" s="38" t="s">
        <v>2962</v>
      </c>
      <c r="B930" s="38" t="s">
        <v>4151</v>
      </c>
      <c r="C930" s="38" t="s">
        <v>1222</v>
      </c>
      <c r="D930" s="39" t="s">
        <v>1223</v>
      </c>
      <c r="E930" s="38" t="s">
        <v>3106</v>
      </c>
      <c r="F930" s="40" t="s">
        <v>4076</v>
      </c>
      <c r="G930" s="45">
        <v>6.39479957183E11</v>
      </c>
      <c r="H930" s="41" t="str">
        <f>VLOOKUP(C930,Stores!$A$200:$G$1118,3,0)</f>
        <v>Opened Stores</v>
      </c>
      <c r="I930" s="41" t="str">
        <f>VLOOKUP(C930,Stores!$A$200:$G$1118,4,0)</f>
        <v>Stage 7 - Installed</v>
      </c>
      <c r="J930" s="41" t="str">
        <f>VLOOKUP(C930,Stores!$A$200:$G$1118,5,0)</f>
        <v>ZKTECO</v>
      </c>
      <c r="K930" s="41" t="str">
        <f>VLOOKUP(C930,Stores!$A$200:$G$1118,6,0)</f>
        <v>PAS4252500149</v>
      </c>
      <c r="L930" s="41" t="str">
        <f>VLOOKUP(C930,Stores!$A$200:$G$1118,7,0)</f>
        <v>192.168.1.201</v>
      </c>
      <c r="M930" s="42" t="s">
        <v>4061</v>
      </c>
    </row>
    <row r="931">
      <c r="A931" s="38" t="s">
        <v>2962</v>
      </c>
      <c r="B931" s="38" t="s">
        <v>4152</v>
      </c>
      <c r="C931" s="38" t="s">
        <v>1982</v>
      </c>
      <c r="D931" s="39" t="s">
        <v>4153</v>
      </c>
      <c r="E931" s="38" t="s">
        <v>3106</v>
      </c>
      <c r="F931" s="40" t="s">
        <v>4154</v>
      </c>
      <c r="G931" s="45">
        <v>9.701668053E9</v>
      </c>
      <c r="H931" s="41" t="str">
        <f>VLOOKUP(C931,Stores!$A$200:$G$1118,3,0)</f>
        <v>Opened Stores</v>
      </c>
      <c r="I931" s="41" t="str">
        <f>VLOOKUP(C931,Stores!$A$200:$G$1118,4,0)</f>
        <v>Stage 7 - Installed</v>
      </c>
      <c r="J931" s="41" t="str">
        <f>VLOOKUP(C931,Stores!$A$200:$G$1118,5,0)</f>
        <v>ZKTECO</v>
      </c>
      <c r="K931" s="41" t="str">
        <f>VLOOKUP(C931,Stores!$A$200:$G$1118,6,0)</f>
        <v>CQUJ233560868</v>
      </c>
      <c r="L931" s="41" t="str">
        <f>VLOOKUP(C931,Stores!$A$200:$G$1118,7,0)</f>
        <v>192.168.1.201</v>
      </c>
      <c r="M931" s="42" t="s">
        <v>4061</v>
      </c>
    </row>
    <row r="932">
      <c r="A932" s="38" t="s">
        <v>2962</v>
      </c>
      <c r="B932" s="38" t="s">
        <v>4155</v>
      </c>
      <c r="C932" s="38" t="s">
        <v>2057</v>
      </c>
      <c r="D932" s="39" t="s">
        <v>2058</v>
      </c>
      <c r="E932" s="38" t="s">
        <v>3106</v>
      </c>
      <c r="F932" s="40" t="s">
        <v>4080</v>
      </c>
      <c r="G932" s="45">
        <v>9.190027043E9</v>
      </c>
      <c r="H932" s="41" t="str">
        <f>VLOOKUP(C932,Stores!$A$200:$G$1118,3,0)</f>
        <v>Opened Stores</v>
      </c>
      <c r="I932" s="41" t="str">
        <f>VLOOKUP(C932,Stores!$A$200:$G$1118,4,0)</f>
        <v>Stage 7 - Installed</v>
      </c>
      <c r="J932" s="41" t="str">
        <f>VLOOKUP(C932,Stores!$A$200:$G$1118,5,0)</f>
        <v>ZKTECO</v>
      </c>
      <c r="K932" s="41" t="str">
        <f>VLOOKUP(C932,Stores!$A$200:$G$1118,6,0)</f>
        <v>CQUJ232260316</v>
      </c>
      <c r="L932" s="41" t="str">
        <f>VLOOKUP(C932,Stores!$A$200:$G$1118,7,0)</f>
        <v>192.168.1.201</v>
      </c>
      <c r="M932" s="42" t="s">
        <v>4061</v>
      </c>
    </row>
    <row r="933">
      <c r="A933" s="38" t="s">
        <v>2962</v>
      </c>
      <c r="B933" s="38" t="s">
        <v>4156</v>
      </c>
      <c r="C933" s="38" t="s">
        <v>1240</v>
      </c>
      <c r="D933" s="39" t="s">
        <v>1241</v>
      </c>
      <c r="E933" s="38" t="s">
        <v>3106</v>
      </c>
      <c r="F933" s="40" t="s">
        <v>4154</v>
      </c>
      <c r="G933" s="45">
        <v>9.701668053E9</v>
      </c>
      <c r="H933" s="41" t="str">
        <f>VLOOKUP(C933,Stores!$A$200:$G$1118,3,0)</f>
        <v>Opened Stores</v>
      </c>
      <c r="I933" s="41" t="str">
        <f>VLOOKUP(C933,Stores!$A$200:$G$1118,4,0)</f>
        <v>Stage 7 - Installed</v>
      </c>
      <c r="J933" s="41" t="str">
        <f>VLOOKUP(C933,Stores!$A$200:$G$1118,5,0)</f>
        <v>ZKTECO</v>
      </c>
      <c r="K933" s="41" t="str">
        <f>VLOOKUP(C933,Stores!$A$200:$G$1118,6,0)</f>
        <v>CMZG122250780</v>
      </c>
      <c r="L933" s="41" t="str">
        <f>VLOOKUP(C933,Stores!$A$200:$G$1118,7,0)</f>
        <v>192.168.1.201</v>
      </c>
      <c r="M933" s="42" t="s">
        <v>4061</v>
      </c>
    </row>
    <row r="934">
      <c r="A934" s="38" t="s">
        <v>2962</v>
      </c>
      <c r="B934" s="38" t="s">
        <v>4157</v>
      </c>
      <c r="C934" s="38" t="s">
        <v>1704</v>
      </c>
      <c r="D934" s="39" t="s">
        <v>1705</v>
      </c>
      <c r="E934" s="38" t="s">
        <v>3106</v>
      </c>
      <c r="F934" s="40" t="s">
        <v>4112</v>
      </c>
      <c r="G934" s="45">
        <v>9.399102872E9</v>
      </c>
      <c r="H934" s="41" t="str">
        <f>VLOOKUP(C934,Stores!$A$200:$G$1118,3,0)</f>
        <v>Opened Stores</v>
      </c>
      <c r="I934" s="41" t="str">
        <f>VLOOKUP(C934,Stores!$A$200:$G$1118,4,0)</f>
        <v>Stage 7 - Installed</v>
      </c>
      <c r="J934" s="41" t="str">
        <f>VLOOKUP(C934,Stores!$A$200:$G$1118,5,0)</f>
        <v>ZKTECO</v>
      </c>
      <c r="K934" s="41" t="str">
        <f>VLOOKUP(C934,Stores!$A$200:$G$1118,6,0)</f>
        <v>AEYU082360226</v>
      </c>
      <c r="L934" s="41" t="str">
        <f>VLOOKUP(C934,Stores!$A$200:$G$1118,7,0)</f>
        <v>192.168.1.201</v>
      </c>
      <c r="M934" s="42" t="s">
        <v>4061</v>
      </c>
    </row>
    <row r="935">
      <c r="A935" s="38" t="s">
        <v>2962</v>
      </c>
      <c r="B935" s="38" t="s">
        <v>4158</v>
      </c>
      <c r="C935" s="38" t="s">
        <v>884</v>
      </c>
      <c r="D935" s="39" t="s">
        <v>885</v>
      </c>
      <c r="E935" s="38" t="s">
        <v>3106</v>
      </c>
      <c r="F935" s="40" t="s">
        <v>4080</v>
      </c>
      <c r="G935" s="45">
        <v>9.190027043E9</v>
      </c>
      <c r="H935" s="41" t="str">
        <f>VLOOKUP(C935,Stores!$A$200:$G$1118,3,0)</f>
        <v>Opened Stores</v>
      </c>
      <c r="I935" s="41" t="str">
        <f>VLOOKUP(C935,Stores!$A$200:$G$1118,4,0)</f>
        <v>Stage 7 - Installed</v>
      </c>
      <c r="J935" s="41" t="str">
        <f>VLOOKUP(C935,Stores!$A$200:$G$1118,5,0)</f>
        <v>FINGERTEC</v>
      </c>
      <c r="K935" s="41">
        <f>VLOOKUP(C935,Stores!$A$200:$G$1118,6,0)</f>
        <v>7425688</v>
      </c>
      <c r="L935" s="41" t="str">
        <f>VLOOKUP(C935,Stores!$A$200:$G$1118,7,0)</f>
        <v>192.168.1.201</v>
      </c>
      <c r="M935" s="42" t="s">
        <v>4061</v>
      </c>
    </row>
    <row r="936">
      <c r="A936" s="38" t="s">
        <v>2962</v>
      </c>
      <c r="B936" s="38" t="s">
        <v>4159</v>
      </c>
      <c r="C936" s="38" t="s">
        <v>2299</v>
      </c>
      <c r="D936" s="39" t="s">
        <v>4160</v>
      </c>
      <c r="E936" s="38" t="s">
        <v>3106</v>
      </c>
      <c r="F936" s="40" t="s">
        <v>4121</v>
      </c>
      <c r="G936" s="45">
        <v>9.764230416E9</v>
      </c>
      <c r="H936" s="41" t="str">
        <f>VLOOKUP(C936,Stores!$A$200:$G$1118,3,0)</f>
        <v>Opened Stores</v>
      </c>
      <c r="I936" s="41" t="str">
        <f>VLOOKUP(C936,Stores!$A$200:$G$1118,4,0)</f>
        <v>Stage 7 - Installed</v>
      </c>
      <c r="J936" s="41" t="str">
        <f>VLOOKUP(C936,Stores!$A$200:$G$1118,5,0)</f>
        <v>ZKTECO</v>
      </c>
      <c r="K936" s="41" t="str">
        <f>VLOOKUP(C936,Stores!$A$200:$G$1118,6,0)</f>
        <v>CQUJ233560094</v>
      </c>
      <c r="L936" s="41" t="str">
        <f>VLOOKUP(C936,Stores!$A$200:$G$1118,7,0)</f>
        <v>192.168.1.201</v>
      </c>
      <c r="M936" s="42" t="s">
        <v>4061</v>
      </c>
    </row>
    <row r="937">
      <c r="A937" s="38" t="s">
        <v>2962</v>
      </c>
      <c r="B937" s="38" t="s">
        <v>4161</v>
      </c>
      <c r="C937" s="38" t="s">
        <v>2883</v>
      </c>
      <c r="D937" s="39" t="s">
        <v>2884</v>
      </c>
      <c r="E937" s="38" t="s">
        <v>3106</v>
      </c>
      <c r="F937" s="40" t="s">
        <v>4149</v>
      </c>
      <c r="G937" s="45">
        <v>9.535307856E9</v>
      </c>
      <c r="H937" s="41" t="str">
        <f>VLOOKUP(C937,Stores!$A$200:$G$1118,3,0)</f>
        <v>Opened Stores</v>
      </c>
      <c r="I937" s="41" t="str">
        <f>VLOOKUP(C937,Stores!$A$200:$G$1118,4,0)</f>
        <v>Stage 7 - Installed</v>
      </c>
      <c r="J937" s="41" t="str">
        <f>VLOOKUP(C937,Stores!$A$200:$G$1118,5,0)</f>
        <v>ZKTECO</v>
      </c>
      <c r="K937" s="41" t="str">
        <f>VLOOKUP(C937,Stores!$A$200:$G$1118,6,0)</f>
        <v>PAS4252900277</v>
      </c>
      <c r="L937" s="41" t="str">
        <f>VLOOKUP(C937,Stores!$A$200:$G$1118,7,0)</f>
        <v>192.168.1.201</v>
      </c>
      <c r="M937" s="42" t="s">
        <v>4061</v>
      </c>
    </row>
    <row r="938">
      <c r="A938" s="38" t="s">
        <v>2962</v>
      </c>
      <c r="B938" s="38" t="s">
        <v>4162</v>
      </c>
      <c r="C938" s="38" t="s">
        <v>2348</v>
      </c>
      <c r="D938" s="39" t="s">
        <v>2349</v>
      </c>
      <c r="E938" s="38" t="s">
        <v>3106</v>
      </c>
      <c r="F938" s="40" t="s">
        <v>4149</v>
      </c>
      <c r="G938" s="45">
        <v>9.535307856E9</v>
      </c>
      <c r="H938" s="41" t="str">
        <f>VLOOKUP(C938,Stores!$A$200:$G$1118,3,0)</f>
        <v>Opened Stores</v>
      </c>
      <c r="I938" s="41" t="str">
        <f>VLOOKUP(C938,Stores!$A$200:$G$1118,4,0)</f>
        <v>Stage 7 - Installed</v>
      </c>
      <c r="J938" s="41" t="str">
        <f>VLOOKUP(C938,Stores!$A$200:$G$1118,5,0)</f>
        <v>ZKTECO</v>
      </c>
      <c r="K938" s="41" t="str">
        <f>VLOOKUP(C938,Stores!$A$200:$G$1118,6,0)</f>
        <v>ZKM6245100037</v>
      </c>
      <c r="L938" s="41" t="str">
        <f>VLOOKUP(C938,Stores!$A$200:$G$1118,7,0)</f>
        <v>192.168.1.201</v>
      </c>
      <c r="M938" s="42" t="s">
        <v>4061</v>
      </c>
    </row>
    <row r="939">
      <c r="A939" s="38" t="s">
        <v>2962</v>
      </c>
      <c r="B939" s="38" t="s">
        <v>4163</v>
      </c>
      <c r="C939" s="38" t="s">
        <v>2658</v>
      </c>
      <c r="D939" s="39" t="s">
        <v>2659</v>
      </c>
      <c r="E939" s="38" t="s">
        <v>3106</v>
      </c>
      <c r="F939" s="40" t="s">
        <v>4090</v>
      </c>
      <c r="G939" s="45">
        <v>9.985728455E9</v>
      </c>
      <c r="H939" s="41" t="str">
        <f>VLOOKUP(C939,Stores!$A$200:$G$1118,3,0)</f>
        <v>Opened Stores</v>
      </c>
      <c r="I939" s="41" t="str">
        <f>VLOOKUP(C939,Stores!$A$200:$G$1118,4,0)</f>
        <v>Stage 7 - Installed</v>
      </c>
      <c r="J939" s="41" t="str">
        <f>VLOOKUP(C939,Stores!$A$200:$G$1118,5,0)</f>
        <v>ZKTECO</v>
      </c>
      <c r="K939" s="41" t="str">
        <f>VLOOKUP(C939,Stores!$A$200:$G$1118,6,0)</f>
        <v>ZKM6251700085</v>
      </c>
      <c r="L939" s="41" t="str">
        <f>VLOOKUP(C939,Stores!$A$200:$G$1118,7,0)</f>
        <v>192.168.1.201</v>
      </c>
      <c r="M939" s="42" t="s">
        <v>4061</v>
      </c>
    </row>
    <row r="940">
      <c r="A940" s="38" t="s">
        <v>2962</v>
      </c>
      <c r="B940" s="38" t="s">
        <v>4164</v>
      </c>
      <c r="C940" s="38" t="s">
        <v>2381</v>
      </c>
      <c r="D940" s="39" t="s">
        <v>2382</v>
      </c>
      <c r="E940" s="38" t="s">
        <v>3106</v>
      </c>
      <c r="F940" s="40" t="s">
        <v>4033</v>
      </c>
      <c r="G940" s="45">
        <v>9.189455877E9</v>
      </c>
      <c r="H940" s="41" t="str">
        <f>VLOOKUP(C940,Stores!$A$200:$G$1118,3,0)</f>
        <v>Opened Stores</v>
      </c>
      <c r="I940" s="41" t="str">
        <f>VLOOKUP(C940,Stores!$A$200:$G$1118,4,0)</f>
        <v>Stage 7 - Installed</v>
      </c>
      <c r="J940" s="41" t="str">
        <f>VLOOKUP(C940,Stores!$A$200:$G$1118,5,0)</f>
        <v>ZKTECO</v>
      </c>
      <c r="K940" s="41" t="str">
        <f>VLOOKUP(C940,Stores!$A$200:$G$1118,6,0)</f>
        <v>ZKM6245100293</v>
      </c>
      <c r="L940" s="41" t="str">
        <f>VLOOKUP(C940,Stores!$A$200:$G$1118,7,0)</f>
        <v>192.168.1.201</v>
      </c>
      <c r="M940" s="42" t="s">
        <v>4061</v>
      </c>
    </row>
    <row r="941">
      <c r="A941" s="38" t="s">
        <v>2962</v>
      </c>
      <c r="B941" s="38" t="s">
        <v>4165</v>
      </c>
      <c r="C941" s="38" t="s">
        <v>1791</v>
      </c>
      <c r="D941" s="39" t="s">
        <v>1792</v>
      </c>
      <c r="E941" s="38" t="s">
        <v>3106</v>
      </c>
      <c r="F941" s="40" t="s">
        <v>4166</v>
      </c>
      <c r="G941" s="45">
        <v>9.088681367E9</v>
      </c>
      <c r="H941" s="41" t="str">
        <f>VLOOKUP(C941,Stores!$A$200:$G$1118,3,0)</f>
        <v>Opened Stores</v>
      </c>
      <c r="I941" s="41" t="str">
        <f>VLOOKUP(C941,Stores!$A$200:$G$1118,4,0)</f>
        <v>Stage 7 - Installed</v>
      </c>
      <c r="J941" s="41" t="str">
        <f>VLOOKUP(C941,Stores!$A$200:$G$1118,5,0)</f>
        <v>ZKTECO</v>
      </c>
      <c r="K941" s="41" t="str">
        <f>VLOOKUP(C941,Stores!$A$200:$G$1118,6,0)</f>
        <v>CQUJ233560577</v>
      </c>
      <c r="L941" s="41" t="str">
        <f>VLOOKUP(C941,Stores!$A$200:$G$1118,7,0)</f>
        <v>192.168.1.201</v>
      </c>
      <c r="M941" s="42" t="s">
        <v>4061</v>
      </c>
    </row>
    <row r="942">
      <c r="A942" s="38" t="s">
        <v>2962</v>
      </c>
      <c r="B942" s="38" t="s">
        <v>4167</v>
      </c>
      <c r="C942" s="38" t="s">
        <v>618</v>
      </c>
      <c r="D942" s="39" t="s">
        <v>619</v>
      </c>
      <c r="E942" s="38" t="s">
        <v>3106</v>
      </c>
      <c r="F942" s="40" t="s">
        <v>4166</v>
      </c>
      <c r="G942" s="45">
        <v>9.088681367E9</v>
      </c>
      <c r="H942" s="41" t="str">
        <f>VLOOKUP(C942,Stores!$A$200:$G$1118,3,0)</f>
        <v>Opened Stores</v>
      </c>
      <c r="I942" s="41" t="str">
        <f>VLOOKUP(C942,Stores!$A$200:$G$1118,4,0)</f>
        <v>Stage 7 - Installed</v>
      </c>
      <c r="J942" s="41" t="str">
        <f>VLOOKUP(C942,Stores!$A$200:$G$1118,5,0)</f>
        <v>FINGERTEC</v>
      </c>
      <c r="K942" s="41">
        <f>VLOOKUP(C942,Stores!$A$200:$G$1118,6,0)</f>
        <v>7421817</v>
      </c>
      <c r="L942" s="41" t="str">
        <f>VLOOKUP(C942,Stores!$A$200:$G$1118,7,0)</f>
        <v>192.168.1.201</v>
      </c>
      <c r="M942" s="42" t="s">
        <v>4061</v>
      </c>
    </row>
    <row r="943">
      <c r="A943" s="38" t="s">
        <v>2962</v>
      </c>
      <c r="B943" s="38" t="s">
        <v>4168</v>
      </c>
      <c r="C943" s="38" t="s">
        <v>881</v>
      </c>
      <c r="D943" s="39" t="s">
        <v>882</v>
      </c>
      <c r="E943" s="38" t="s">
        <v>3106</v>
      </c>
      <c r="F943" s="40" t="s">
        <v>4099</v>
      </c>
      <c r="G943" s="45">
        <v>9.639238923E9</v>
      </c>
      <c r="H943" s="41" t="str">
        <f>VLOOKUP(C943,Stores!$A$200:$G$1118,3,0)</f>
        <v>Opened Stores</v>
      </c>
      <c r="I943" s="41" t="str">
        <f>VLOOKUP(C943,Stores!$A$200:$G$1118,4,0)</f>
        <v>Stage 7 - Installed</v>
      </c>
      <c r="J943" s="41" t="str">
        <f>VLOOKUP(C943,Stores!$A$200:$G$1118,5,0)</f>
        <v>FINGERTEC</v>
      </c>
      <c r="K943" s="41">
        <f>VLOOKUP(C943,Stores!$A$200:$G$1118,6,0)</f>
        <v>7425682</v>
      </c>
      <c r="L943" s="41" t="str">
        <f>VLOOKUP(C943,Stores!$A$200:$G$1118,7,0)</f>
        <v>192.168.3.33</v>
      </c>
      <c r="M943" s="42" t="s">
        <v>4061</v>
      </c>
    </row>
    <row r="944">
      <c r="A944" s="38" t="s">
        <v>2962</v>
      </c>
      <c r="B944" s="38" t="s">
        <v>4169</v>
      </c>
      <c r="C944" s="38" t="s">
        <v>1895</v>
      </c>
      <c r="D944" s="39" t="s">
        <v>1896</v>
      </c>
      <c r="E944" s="38" t="s">
        <v>3106</v>
      </c>
      <c r="F944" s="40" t="s">
        <v>4166</v>
      </c>
      <c r="G944" s="45">
        <v>9.088681367E9</v>
      </c>
      <c r="H944" s="41" t="str">
        <f>VLOOKUP(C944,Stores!$A$200:$G$1118,3,0)</f>
        <v>Opened Stores</v>
      </c>
      <c r="I944" s="41" t="str">
        <f>VLOOKUP(C944,Stores!$A$200:$G$1118,4,0)</f>
        <v>Stage 7 - Installed</v>
      </c>
      <c r="J944" s="41" t="str">
        <f>VLOOKUP(C944,Stores!$A$200:$G$1118,5,0)</f>
        <v>ZKTECO</v>
      </c>
      <c r="K944" s="41" t="str">
        <f>VLOOKUP(C944,Stores!$A$200:$G$1118,6,0)</f>
        <v>CQUJ233561459</v>
      </c>
      <c r="L944" s="41" t="str">
        <f>VLOOKUP(C944,Stores!$A$200:$G$1118,7,0)</f>
        <v>192.168.1.201</v>
      </c>
      <c r="M944" s="42" t="s">
        <v>4061</v>
      </c>
    </row>
    <row r="945">
      <c r="A945" s="38" t="s">
        <v>2962</v>
      </c>
      <c r="B945" s="38" t="s">
        <v>4170</v>
      </c>
      <c r="C945" s="38" t="s">
        <v>2889</v>
      </c>
      <c r="D945" s="39" t="s">
        <v>2890</v>
      </c>
      <c r="E945" s="38" t="s">
        <v>3106</v>
      </c>
      <c r="F945" s="40" t="s">
        <v>4051</v>
      </c>
      <c r="G945" s="45">
        <v>9.98545728E9</v>
      </c>
      <c r="H945" s="41" t="str">
        <f>VLOOKUP(C945,Stores!$A$200:$G$1118,3,0)</f>
        <v>Opened Stores</v>
      </c>
      <c r="I945" s="41" t="str">
        <f>VLOOKUP(C945,Stores!$A$200:$G$1118,4,0)</f>
        <v>Stage 7 - Installed</v>
      </c>
      <c r="J945" s="41" t="str">
        <f>VLOOKUP(C945,Stores!$A$200:$G$1118,5,0)</f>
        <v>ZKTECO</v>
      </c>
      <c r="K945" s="41" t="str">
        <f>VLOOKUP(C945,Stores!$A$200:$G$1118,6,0)</f>
        <v>PAS4252900197</v>
      </c>
      <c r="L945" s="41" t="str">
        <f>VLOOKUP(C945,Stores!$A$200:$G$1118,7,0)</f>
        <v>192.168.1.201</v>
      </c>
      <c r="M945" s="42" t="s">
        <v>4061</v>
      </c>
    </row>
    <row r="946">
      <c r="A946" s="38" t="s">
        <v>2962</v>
      </c>
      <c r="B946" s="38" t="s">
        <v>4171</v>
      </c>
      <c r="C946" s="38" t="s">
        <v>1692</v>
      </c>
      <c r="D946" s="39" t="s">
        <v>1693</v>
      </c>
      <c r="E946" s="38" t="s">
        <v>3106</v>
      </c>
      <c r="F946" s="40" t="s">
        <v>4054</v>
      </c>
      <c r="G946" s="45">
        <v>6.39209700973E11</v>
      </c>
      <c r="H946" s="41" t="str">
        <f>VLOOKUP(C946,Stores!$A$200:$G$1118,3,0)</f>
        <v>Opened Stores</v>
      </c>
      <c r="I946" s="41" t="str">
        <f>VLOOKUP(C946,Stores!$A$200:$G$1118,4,0)</f>
        <v>Stage 7 - Installed</v>
      </c>
      <c r="J946" s="41" t="str">
        <f>VLOOKUP(C946,Stores!$A$200:$G$1118,5,0)</f>
        <v>ZKTECO</v>
      </c>
      <c r="K946" s="41" t="str">
        <f>VLOOKUP(C946,Stores!$A$200:$G$1118,6,0)</f>
        <v>AEYU082360275</v>
      </c>
      <c r="L946" s="41" t="str">
        <f>VLOOKUP(C946,Stores!$A$200:$G$1118,7,0)</f>
        <v>192.168.1.201</v>
      </c>
      <c r="M946" s="42" t="s">
        <v>4061</v>
      </c>
    </row>
    <row r="947">
      <c r="A947" s="38" t="s">
        <v>2962</v>
      </c>
      <c r="B947" s="38" t="s">
        <v>4172</v>
      </c>
      <c r="C947" s="38" t="s">
        <v>1514</v>
      </c>
      <c r="D947" s="39" t="s">
        <v>1515</v>
      </c>
      <c r="E947" s="38" t="s">
        <v>3106</v>
      </c>
      <c r="F947" s="40" t="s">
        <v>4073</v>
      </c>
      <c r="G947" s="45">
        <v>9.171610043E9</v>
      </c>
      <c r="H947" s="41" t="str">
        <f>VLOOKUP(C947,Stores!$A$200:$G$1118,3,0)</f>
        <v>Opened Stores</v>
      </c>
      <c r="I947" s="41" t="str">
        <f>VLOOKUP(C947,Stores!$A$200:$G$1118,4,0)</f>
        <v>Stage 7 - Installed</v>
      </c>
      <c r="J947" s="41" t="str">
        <f>VLOOKUP(C947,Stores!$A$200:$G$1118,5,0)</f>
        <v>ZKTECO</v>
      </c>
      <c r="K947" s="41" t="str">
        <f>VLOOKUP(C947,Stores!$A$200:$G$1118,6,0)</f>
        <v>AEYU82360217</v>
      </c>
      <c r="L947" s="41" t="str">
        <f>VLOOKUP(C947,Stores!$A$200:$G$1118,7,0)</f>
        <v>192.168.1.201</v>
      </c>
      <c r="M947" s="42" t="s">
        <v>4061</v>
      </c>
    </row>
    <row r="948">
      <c r="A948" s="38" t="s">
        <v>2962</v>
      </c>
      <c r="B948" s="38" t="s">
        <v>4173</v>
      </c>
      <c r="C948" s="38" t="s">
        <v>1964</v>
      </c>
      <c r="D948" s="39" t="s">
        <v>1965</v>
      </c>
      <c r="E948" s="38" t="s">
        <v>3106</v>
      </c>
      <c r="F948" s="40" t="s">
        <v>4041</v>
      </c>
      <c r="G948" s="45">
        <v>9.985723087E9</v>
      </c>
      <c r="H948" s="41" t="str">
        <f>VLOOKUP(C948,Stores!$A$200:$G$1118,3,0)</f>
        <v>Opened Stores</v>
      </c>
      <c r="I948" s="41" t="str">
        <f>VLOOKUP(C948,Stores!$A$200:$G$1118,4,0)</f>
        <v>Stage 7 - Installed</v>
      </c>
      <c r="J948" s="41" t="str">
        <f>VLOOKUP(C948,Stores!$A$200:$G$1118,5,0)</f>
        <v>ZKTECO</v>
      </c>
      <c r="K948" s="41" t="str">
        <f>VLOOKUP(C948,Stores!$A$200:$G$1118,6,0)</f>
        <v>CQUJ233560863</v>
      </c>
      <c r="L948" s="41" t="str">
        <f>VLOOKUP(C948,Stores!$A$200:$G$1118,7,0)</f>
        <v>192.168.1.201</v>
      </c>
      <c r="M948" s="42" t="s">
        <v>4061</v>
      </c>
    </row>
    <row r="949">
      <c r="A949" s="38" t="s">
        <v>2962</v>
      </c>
      <c r="B949" s="38" t="s">
        <v>4174</v>
      </c>
      <c r="C949" s="38" t="s">
        <v>1529</v>
      </c>
      <c r="D949" s="39" t="s">
        <v>1530</v>
      </c>
      <c r="E949" s="38" t="s">
        <v>3106</v>
      </c>
      <c r="F949" s="40" t="s">
        <v>3124</v>
      </c>
      <c r="G949" s="45">
        <v>9.399113004E9</v>
      </c>
      <c r="H949" s="41" t="str">
        <f>VLOOKUP(C949,Stores!$A$200:$G$1118,3,0)</f>
        <v>Opened Stores</v>
      </c>
      <c r="I949" s="41" t="str">
        <f>VLOOKUP(C949,Stores!$A$200:$G$1118,4,0)</f>
        <v>Stage 7 - Installed</v>
      </c>
      <c r="J949" s="41" t="str">
        <f>VLOOKUP(C949,Stores!$A$200:$G$1118,5,0)</f>
        <v>ZKTECO</v>
      </c>
      <c r="K949" s="41" t="str">
        <f>VLOOKUP(C949,Stores!$A$200:$G$1118,6,0)</f>
        <v>AEYU082360252</v>
      </c>
      <c r="L949" s="41" t="str">
        <f>VLOOKUP(C949,Stores!$A$200:$G$1118,7,0)</f>
        <v>192.168.1.201</v>
      </c>
      <c r="M949" s="42" t="s">
        <v>4061</v>
      </c>
    </row>
    <row r="950">
      <c r="A950" s="38" t="s">
        <v>2962</v>
      </c>
      <c r="B950" s="38" t="s">
        <v>4175</v>
      </c>
      <c r="C950" s="38" t="s">
        <v>1916</v>
      </c>
      <c r="D950" s="39" t="s">
        <v>1917</v>
      </c>
      <c r="E950" s="38" t="s">
        <v>3106</v>
      </c>
      <c r="F950" s="40" t="s">
        <v>3121</v>
      </c>
      <c r="G950" s="45">
        <v>9.566413863E9</v>
      </c>
      <c r="H950" s="41" t="str">
        <f>VLOOKUP(C950,Stores!$A$200:$G$1118,3,0)</f>
        <v>Opened Stores</v>
      </c>
      <c r="I950" s="41" t="str">
        <f>VLOOKUP(C950,Stores!$A$200:$G$1118,4,0)</f>
        <v>Stage 7 - Installed</v>
      </c>
      <c r="J950" s="41" t="str">
        <f>VLOOKUP(C950,Stores!$A$200:$G$1118,5,0)</f>
        <v>ZKTECO</v>
      </c>
      <c r="K950" s="41" t="str">
        <f>VLOOKUP(C950,Stores!$A$200:$G$1118,6,0)</f>
        <v>CQUJ233561089</v>
      </c>
      <c r="L950" s="41" t="str">
        <f>VLOOKUP(C950,Stores!$A$200:$G$1118,7,0)</f>
        <v>192.168.1.201</v>
      </c>
      <c r="M950" s="42" t="s">
        <v>4061</v>
      </c>
    </row>
    <row r="951">
      <c r="A951" s="38" t="s">
        <v>2962</v>
      </c>
      <c r="B951" s="38" t="s">
        <v>4176</v>
      </c>
      <c r="C951" s="38" t="s">
        <v>2823</v>
      </c>
      <c r="D951" s="39" t="s">
        <v>2824</v>
      </c>
      <c r="E951" s="38" t="s">
        <v>3106</v>
      </c>
      <c r="F951" s="40" t="s">
        <v>4035</v>
      </c>
      <c r="G951" s="45">
        <v>9.190996105E9</v>
      </c>
      <c r="H951" s="41" t="str">
        <f>VLOOKUP(C951,Stores!$A$200:$G$1118,3,0)</f>
        <v>Opened Stores</v>
      </c>
      <c r="I951" s="41" t="str">
        <f>VLOOKUP(C951,Stores!$A$200:$G$1118,4,0)</f>
        <v>Stage 7 - Installed</v>
      </c>
      <c r="J951" s="41" t="str">
        <f>VLOOKUP(C951,Stores!$A$200:$G$1118,5,0)</f>
        <v>ZKTECO</v>
      </c>
      <c r="K951" s="41" t="str">
        <f>VLOOKUP(C951,Stores!$A$200:$G$1118,6,0)</f>
        <v>ZKM6251400034</v>
      </c>
      <c r="L951" s="41" t="str">
        <f>VLOOKUP(C951,Stores!$A$200:$G$1118,7,0)</f>
        <v>192.168.1.201</v>
      </c>
      <c r="M951" s="42" t="s">
        <v>4061</v>
      </c>
    </row>
    <row r="952">
      <c r="A952" s="38" t="s">
        <v>2962</v>
      </c>
      <c r="B952" s="38" t="s">
        <v>4177</v>
      </c>
      <c r="C952" s="38" t="s">
        <v>987</v>
      </c>
      <c r="D952" s="39" t="s">
        <v>4178</v>
      </c>
      <c r="E952" s="38" t="s">
        <v>3106</v>
      </c>
      <c r="F952" s="40" t="s">
        <v>3111</v>
      </c>
      <c r="G952" s="45">
        <v>9.480606849E9</v>
      </c>
      <c r="H952" s="41" t="str">
        <f>VLOOKUP(C952,Stores!$A$200:$G$1118,3,0)</f>
        <v>Opened Stores</v>
      </c>
      <c r="I952" s="41" t="str">
        <f>VLOOKUP(C952,Stores!$A$200:$G$1118,4,0)</f>
        <v>Stage 7 - Installed</v>
      </c>
      <c r="J952" s="41" t="str">
        <f>VLOOKUP(C952,Stores!$A$200:$G$1118,5,0)</f>
        <v>FINGERTEC</v>
      </c>
      <c r="K952" s="41">
        <f>VLOOKUP(C952,Stores!$A$200:$G$1118,6,0)</f>
        <v>7417482</v>
      </c>
      <c r="L952" s="41" t="str">
        <f>VLOOKUP(C952,Stores!$A$200:$G$1118,7,0)</f>
        <v>192.168.1.201</v>
      </c>
      <c r="M952" s="42" t="s">
        <v>4061</v>
      </c>
    </row>
    <row r="953">
      <c r="A953" s="38" t="s">
        <v>2962</v>
      </c>
      <c r="B953" s="38" t="s">
        <v>4179</v>
      </c>
      <c r="C953" s="38" t="s">
        <v>1466</v>
      </c>
      <c r="D953" s="39" t="s">
        <v>1467</v>
      </c>
      <c r="E953" s="38" t="s">
        <v>3106</v>
      </c>
      <c r="F953" s="40" t="s">
        <v>4046</v>
      </c>
      <c r="G953" s="45">
        <v>9.209118742E9</v>
      </c>
      <c r="H953" s="41" t="str">
        <f>VLOOKUP(C953,Stores!$A$200:$G$1118,3,0)</f>
        <v>Opened Stores</v>
      </c>
      <c r="I953" s="41" t="str">
        <f>VLOOKUP(C953,Stores!$A$200:$G$1118,4,0)</f>
        <v>Stage 7 - Installed</v>
      </c>
      <c r="J953" s="41" t="str">
        <f>VLOOKUP(C953,Stores!$A$200:$G$1118,5,0)</f>
        <v>ZKTECO</v>
      </c>
      <c r="K953" s="41" t="str">
        <f>VLOOKUP(C953,Stores!$A$200:$G$1118,6,0)</f>
        <v>AKDG012350233</v>
      </c>
      <c r="L953" s="41" t="str">
        <f>VLOOKUP(C953,Stores!$A$200:$G$1118,7,0)</f>
        <v>192.168.1.201</v>
      </c>
      <c r="M953" s="42" t="s">
        <v>4061</v>
      </c>
    </row>
    <row r="954">
      <c r="A954" s="38" t="s">
        <v>2962</v>
      </c>
      <c r="B954" s="38" t="s">
        <v>4180</v>
      </c>
      <c r="C954" s="38" t="s">
        <v>1324</v>
      </c>
      <c r="D954" s="39" t="s">
        <v>1325</v>
      </c>
      <c r="E954" s="38" t="s">
        <v>3106</v>
      </c>
      <c r="F954" s="40" t="s">
        <v>4090</v>
      </c>
      <c r="G954" s="45">
        <v>9.985728455E9</v>
      </c>
      <c r="H954" s="41" t="str">
        <f>VLOOKUP(C954,Stores!$A$200:$G$1118,3,0)</f>
        <v>Opened Stores</v>
      </c>
      <c r="I954" s="41" t="str">
        <f>VLOOKUP(C954,Stores!$A$200:$G$1118,4,0)</f>
        <v>Stage 7 - Installed</v>
      </c>
      <c r="J954" s="41" t="str">
        <f>VLOOKUP(C954,Stores!$A$200:$G$1118,5,0)</f>
        <v>ZKTECO</v>
      </c>
      <c r="K954" s="41" t="str">
        <f>VLOOKUP(C954,Stores!$A$200:$G$1118,6,0)</f>
        <v>CMZG122250775</v>
      </c>
      <c r="L954" s="41" t="str">
        <f>VLOOKUP(C954,Stores!$A$200:$G$1118,7,0)</f>
        <v>192.168.1.201</v>
      </c>
      <c r="M954" s="42" t="s">
        <v>4061</v>
      </c>
    </row>
    <row r="955">
      <c r="A955" s="38" t="s">
        <v>2962</v>
      </c>
      <c r="B955" s="38" t="s">
        <v>4181</v>
      </c>
      <c r="C955" s="38" t="s">
        <v>2467</v>
      </c>
      <c r="D955" s="39" t="s">
        <v>2468</v>
      </c>
      <c r="E955" s="38" t="s">
        <v>3106</v>
      </c>
      <c r="F955" s="40" t="s">
        <v>4109</v>
      </c>
      <c r="G955" s="45">
        <v>9.399118132E9</v>
      </c>
      <c r="H955" s="41" t="str">
        <f>VLOOKUP(C955,Stores!$A$200:$G$1118,3,0)</f>
        <v>Opened Stores</v>
      </c>
      <c r="I955" s="41" t="str">
        <f>VLOOKUP(C955,Stores!$A$200:$G$1118,4,0)</f>
        <v>Stage 7 - Installed</v>
      </c>
      <c r="J955" s="41" t="str">
        <f>VLOOKUP(C955,Stores!$A$200:$G$1118,5,0)</f>
        <v>ZKTECO</v>
      </c>
      <c r="K955" s="41" t="str">
        <f>VLOOKUP(C955,Stores!$A$200:$G$1118,6,0)</f>
        <v>ZKM6245100094</v>
      </c>
      <c r="L955" s="41" t="str">
        <f>VLOOKUP(C955,Stores!$A$200:$G$1118,7,0)</f>
        <v>192.168.1.201</v>
      </c>
      <c r="M955" s="42" t="s">
        <v>4061</v>
      </c>
    </row>
    <row r="956">
      <c r="A956" s="38" t="s">
        <v>2962</v>
      </c>
      <c r="B956" s="38" t="s">
        <v>4182</v>
      </c>
      <c r="C956" s="38" t="s">
        <v>1737</v>
      </c>
      <c r="D956" s="39" t="s">
        <v>1738</v>
      </c>
      <c r="E956" s="38" t="s">
        <v>3106</v>
      </c>
      <c r="F956" s="40" t="s">
        <v>4064</v>
      </c>
      <c r="G956" s="45">
        <v>9.189249217E9</v>
      </c>
      <c r="H956" s="41" t="str">
        <f>VLOOKUP(C956,Stores!$A$200:$G$1118,3,0)</f>
        <v>Opened Stores</v>
      </c>
      <c r="I956" s="41" t="str">
        <f>VLOOKUP(C956,Stores!$A$200:$G$1118,4,0)</f>
        <v>Stage 7 - Installed</v>
      </c>
      <c r="J956" s="41" t="str">
        <f>VLOOKUP(C956,Stores!$A$200:$G$1118,5,0)</f>
        <v>ZKTECO</v>
      </c>
      <c r="K956" s="41" t="str">
        <f>VLOOKUP(C956,Stores!$A$200:$G$1118,6,0)</f>
        <v>PAS4254500180</v>
      </c>
      <c r="L956" s="41" t="str">
        <f>VLOOKUP(C956,Stores!$A$200:$G$1118,7,0)</f>
        <v>192.168.1.201</v>
      </c>
      <c r="M956" s="42" t="s">
        <v>4061</v>
      </c>
    </row>
    <row r="957">
      <c r="A957" s="38" t="s">
        <v>2962</v>
      </c>
      <c r="B957" s="38" t="s">
        <v>4183</v>
      </c>
      <c r="C957" s="38" t="s">
        <v>1821</v>
      </c>
      <c r="D957" s="39" t="s">
        <v>4184</v>
      </c>
      <c r="E957" s="38" t="s">
        <v>3106</v>
      </c>
      <c r="F957" s="40" t="s">
        <v>4064</v>
      </c>
      <c r="G957" s="45">
        <v>9.189249217E9</v>
      </c>
      <c r="H957" s="41" t="str">
        <f>VLOOKUP(C957,Stores!$A$200:$G$1118,3,0)</f>
        <v>Opened Stores</v>
      </c>
      <c r="I957" s="41" t="str">
        <f>VLOOKUP(C957,Stores!$A$200:$G$1118,4,0)</f>
        <v>Stage 7 - Installed</v>
      </c>
      <c r="J957" s="41" t="str">
        <f>VLOOKUP(C957,Stores!$A$200:$G$1118,5,0)</f>
        <v>ZKTECO</v>
      </c>
      <c r="K957" s="41" t="str">
        <f>VLOOKUP(C957,Stores!$A$200:$G$1118,6,0)</f>
        <v>CQUJ233560320</v>
      </c>
      <c r="L957" s="41" t="str">
        <f>VLOOKUP(C957,Stores!$A$200:$G$1118,7,0)</f>
        <v>192.168.1.201</v>
      </c>
      <c r="M957" s="42" t="s">
        <v>4061</v>
      </c>
    </row>
    <row r="958">
      <c r="A958" s="38" t="s">
        <v>2962</v>
      </c>
      <c r="B958" s="38" t="s">
        <v>4185</v>
      </c>
      <c r="C958" s="38" t="s">
        <v>2309</v>
      </c>
      <c r="D958" s="39" t="s">
        <v>2310</v>
      </c>
      <c r="E958" s="38" t="s">
        <v>3106</v>
      </c>
      <c r="F958" s="40" t="s">
        <v>4131</v>
      </c>
      <c r="G958" s="45">
        <v>9.176214267E9</v>
      </c>
      <c r="H958" s="41" t="str">
        <f>VLOOKUP(C958,Stores!$A$200:$G$1118,3,0)</f>
        <v>Opened Stores</v>
      </c>
      <c r="I958" s="41" t="str">
        <f>VLOOKUP(C958,Stores!$A$200:$G$1118,4,0)</f>
        <v>Stage 7 - Installed</v>
      </c>
      <c r="J958" s="41" t="str">
        <f>VLOOKUP(C958,Stores!$A$200:$G$1118,5,0)</f>
        <v>ZKTECO</v>
      </c>
      <c r="K958" s="41" t="str">
        <f>VLOOKUP(C958,Stores!$A$200:$G$1118,6,0)</f>
        <v>CQUJ233560443</v>
      </c>
      <c r="L958" s="41" t="str">
        <f>VLOOKUP(C958,Stores!$A$200:$G$1118,7,0)</f>
        <v>192.168.1.201</v>
      </c>
      <c r="M958" s="42" t="s">
        <v>4061</v>
      </c>
    </row>
    <row r="959">
      <c r="A959" s="38" t="s">
        <v>2962</v>
      </c>
      <c r="B959" s="38" t="s">
        <v>4186</v>
      </c>
      <c r="C959" s="38" t="s">
        <v>2066</v>
      </c>
      <c r="D959" s="39" t="s">
        <v>4187</v>
      </c>
      <c r="E959" s="38" t="s">
        <v>3106</v>
      </c>
      <c r="F959" s="40" t="s">
        <v>4131</v>
      </c>
      <c r="G959" s="45">
        <v>9.176214267E9</v>
      </c>
      <c r="H959" s="41" t="str">
        <f>VLOOKUP(C959,Stores!$A$200:$G$1118,3,0)</f>
        <v>Opened Stores</v>
      </c>
      <c r="I959" s="41" t="str">
        <f>VLOOKUP(C959,Stores!$A$200:$G$1118,4,0)</f>
        <v>Stage 7 - Installed</v>
      </c>
      <c r="J959" s="41" t="str">
        <f>VLOOKUP(C959,Stores!$A$200:$G$1118,5,0)</f>
        <v>ZKTECO</v>
      </c>
      <c r="K959" s="41" t="str">
        <f>VLOOKUP(C959,Stores!$A$200:$G$1118,6,0)</f>
        <v>CQUJ233561148</v>
      </c>
      <c r="L959" s="41" t="str">
        <f>VLOOKUP(C959,Stores!$A$200:$G$1118,7,0)</f>
        <v>192.168.1.201</v>
      </c>
      <c r="M959" s="42" t="s">
        <v>4061</v>
      </c>
    </row>
    <row r="960">
      <c r="A960" s="38" t="s">
        <v>2962</v>
      </c>
      <c r="B960" s="38" t="s">
        <v>4188</v>
      </c>
      <c r="C960" s="38" t="s">
        <v>1869</v>
      </c>
      <c r="D960" s="39" t="s">
        <v>1870</v>
      </c>
      <c r="E960" s="38" t="s">
        <v>3106</v>
      </c>
      <c r="F960" s="40" t="s">
        <v>4154</v>
      </c>
      <c r="G960" s="45">
        <v>9.701668053E9</v>
      </c>
      <c r="H960" s="41" t="str">
        <f>VLOOKUP(C960,Stores!$A$200:$G$1118,3,0)</f>
        <v>Opened Stores</v>
      </c>
      <c r="I960" s="41" t="str">
        <f>VLOOKUP(C960,Stores!$A$200:$G$1118,4,0)</f>
        <v>Stage 7 - Installed</v>
      </c>
      <c r="J960" s="41" t="str">
        <f>VLOOKUP(C960,Stores!$A$200:$G$1118,5,0)</f>
        <v>ZKTECO</v>
      </c>
      <c r="K960" s="41" t="str">
        <f>VLOOKUP(C960,Stores!$A$200:$G$1118,6,0)</f>
        <v>CQUJ233561166</v>
      </c>
      <c r="L960" s="41" t="str">
        <f>VLOOKUP(C960,Stores!$A$200:$G$1118,7,0)</f>
        <v>192.168.1.201</v>
      </c>
      <c r="M960" s="42" t="s">
        <v>4061</v>
      </c>
    </row>
    <row r="961">
      <c r="A961" s="38" t="s">
        <v>2962</v>
      </c>
      <c r="B961" s="38" t="s">
        <v>4189</v>
      </c>
      <c r="C961" s="38" t="s">
        <v>1397</v>
      </c>
      <c r="D961" s="39" t="s">
        <v>1398</v>
      </c>
      <c r="E961" s="38" t="s">
        <v>3106</v>
      </c>
      <c r="F961" s="40" t="s">
        <v>4107</v>
      </c>
      <c r="G961" s="45">
        <v>9.399118125E9</v>
      </c>
      <c r="H961" s="41" t="str">
        <f>VLOOKUP(C961,Stores!$A$200:$G$1118,3,0)</f>
        <v>Opened Stores</v>
      </c>
      <c r="I961" s="41" t="str">
        <f>VLOOKUP(C961,Stores!$A$200:$G$1118,4,0)</f>
        <v>Stage 7 - Installed</v>
      </c>
      <c r="J961" s="41" t="str">
        <f>VLOOKUP(C961,Stores!$A$200:$G$1118,5,0)</f>
        <v>ZKTECO</v>
      </c>
      <c r="K961" s="41" t="str">
        <f>VLOOKUP(C961,Stores!$A$200:$G$1118,6,0)</f>
        <v>AKDG012350217</v>
      </c>
      <c r="L961" s="41" t="str">
        <f>VLOOKUP(C961,Stores!$A$200:$G$1118,7,0)</f>
        <v>192.168.1.201</v>
      </c>
      <c r="M961" s="42" t="s">
        <v>4061</v>
      </c>
    </row>
    <row r="962">
      <c r="A962" s="38" t="s">
        <v>2962</v>
      </c>
      <c r="B962" s="38" t="s">
        <v>4190</v>
      </c>
      <c r="C962" s="38" t="s">
        <v>2129</v>
      </c>
      <c r="D962" s="39" t="s">
        <v>2130</v>
      </c>
      <c r="E962" s="38" t="s">
        <v>3106</v>
      </c>
      <c r="F962" s="40" t="s">
        <v>4191</v>
      </c>
      <c r="G962" s="45">
        <v>9.171894741E9</v>
      </c>
      <c r="H962" s="41" t="str">
        <f>VLOOKUP(C962,Stores!$A$200:$G$1118,3,0)</f>
        <v>Opened Stores</v>
      </c>
      <c r="I962" s="41" t="str">
        <f>VLOOKUP(C962,Stores!$A$200:$G$1118,4,0)</f>
        <v>Stage 7 - Installed</v>
      </c>
      <c r="J962" s="41" t="str">
        <f>VLOOKUP(C962,Stores!$A$200:$G$1118,5,0)</f>
        <v>ZKTECO</v>
      </c>
      <c r="K962" s="41" t="str">
        <f>VLOOKUP(C962,Stores!$A$200:$G$1118,6,0)</f>
        <v>CQUJ233560053</v>
      </c>
      <c r="L962" s="41" t="str">
        <f>VLOOKUP(C962,Stores!$A$200:$G$1118,7,0)</f>
        <v>192.168.1.201</v>
      </c>
      <c r="M962" s="42" t="s">
        <v>4061</v>
      </c>
    </row>
    <row r="963">
      <c r="A963" s="38" t="s">
        <v>2962</v>
      </c>
      <c r="B963" s="38" t="s">
        <v>4192</v>
      </c>
      <c r="C963" s="38" t="s">
        <v>888</v>
      </c>
      <c r="D963" s="39" t="s">
        <v>889</v>
      </c>
      <c r="E963" s="38" t="s">
        <v>3106</v>
      </c>
      <c r="F963" s="40" t="s">
        <v>4191</v>
      </c>
      <c r="G963" s="45">
        <v>9.171894741E9</v>
      </c>
      <c r="H963" s="41" t="str">
        <f>VLOOKUP(C963,Stores!$A$200:$G$1118,3,0)</f>
        <v>Opened Stores</v>
      </c>
      <c r="I963" s="41" t="str">
        <f>VLOOKUP(C963,Stores!$A$200:$G$1118,4,0)</f>
        <v>Stage 7 - Installed</v>
      </c>
      <c r="J963" s="41" t="str">
        <f>VLOOKUP(C963,Stores!$A$200:$G$1118,5,0)</f>
        <v>FINGERTEC</v>
      </c>
      <c r="K963" s="41">
        <f>VLOOKUP(C963,Stores!$A$200:$G$1118,6,0)</f>
        <v>7425689</v>
      </c>
      <c r="L963" s="41" t="str">
        <f>VLOOKUP(C963,Stores!$A$200:$G$1118,7,0)</f>
        <v>192.168.1.201</v>
      </c>
      <c r="M963" s="42" t="s">
        <v>4061</v>
      </c>
    </row>
    <row r="964">
      <c r="A964" s="38" t="s">
        <v>2962</v>
      </c>
      <c r="B964" s="38" t="s">
        <v>4193</v>
      </c>
      <c r="C964" s="38" t="s">
        <v>2054</v>
      </c>
      <c r="D964" s="39" t="s">
        <v>2055</v>
      </c>
      <c r="E964" s="38" t="s">
        <v>3106</v>
      </c>
      <c r="F964" s="40" t="s">
        <v>4191</v>
      </c>
      <c r="G964" s="45">
        <v>9.171894741E9</v>
      </c>
      <c r="H964" s="41" t="str">
        <f>VLOOKUP(C964,Stores!$A$200:$G$1118,3,0)</f>
        <v>Opened Stores</v>
      </c>
      <c r="I964" s="41" t="str">
        <f>VLOOKUP(C964,Stores!$A$200:$G$1118,4,0)</f>
        <v>Stage 7 - Installed</v>
      </c>
      <c r="J964" s="41" t="str">
        <f>VLOOKUP(C964,Stores!$A$200:$G$1118,5,0)</f>
        <v>ZKTECO</v>
      </c>
      <c r="K964" s="41" t="str">
        <f>VLOOKUP(C964,Stores!$A$200:$G$1118,6,0)</f>
        <v>CQUJ233561439</v>
      </c>
      <c r="L964" s="41" t="str">
        <f>VLOOKUP(C964,Stores!$A$200:$G$1118,7,0)</f>
        <v>192.168.1.201</v>
      </c>
      <c r="M964" s="42" t="s">
        <v>4061</v>
      </c>
    </row>
    <row r="965">
      <c r="A965" s="38" t="s">
        <v>2962</v>
      </c>
      <c r="B965" s="38" t="s">
        <v>4194</v>
      </c>
      <c r="C965" s="38" t="s">
        <v>1851</v>
      </c>
      <c r="D965" s="39" t="s">
        <v>1852</v>
      </c>
      <c r="E965" s="38" t="s">
        <v>3106</v>
      </c>
      <c r="F965" s="40" t="s">
        <v>4103</v>
      </c>
      <c r="G965" s="45">
        <v>9.756004209E9</v>
      </c>
      <c r="H965" s="41" t="str">
        <f>VLOOKUP(C965,Stores!$A$200:$G$1118,3,0)</f>
        <v>Opened Stores</v>
      </c>
      <c r="I965" s="41" t="str">
        <f>VLOOKUP(C965,Stores!$A$200:$G$1118,4,0)</f>
        <v>Stage 7 - Installed</v>
      </c>
      <c r="J965" s="41" t="str">
        <f>VLOOKUP(C965,Stores!$A$200:$G$1118,5,0)</f>
        <v>ZKTECO</v>
      </c>
      <c r="K965" s="41" t="str">
        <f>VLOOKUP(C965,Stores!$A$200:$G$1118,6,0)</f>
        <v>CQUJ233560821</v>
      </c>
      <c r="L965" s="41" t="str">
        <f>VLOOKUP(C965,Stores!$A$200:$G$1118,7,0)</f>
        <v>192.168.1.201</v>
      </c>
      <c r="M965" s="42" t="s">
        <v>4061</v>
      </c>
    </row>
    <row r="966">
      <c r="A966" s="38" t="s">
        <v>2962</v>
      </c>
      <c r="B966" s="38" t="s">
        <v>4195</v>
      </c>
      <c r="C966" s="38" t="s">
        <v>959</v>
      </c>
      <c r="D966" s="39" t="s">
        <v>960</v>
      </c>
      <c r="E966" s="38" t="s">
        <v>3106</v>
      </c>
      <c r="F966" s="40" t="s">
        <v>4030</v>
      </c>
      <c r="G966" s="45">
        <v>6.39059234279E11</v>
      </c>
      <c r="H966" s="41" t="str">
        <f>VLOOKUP(C966,Stores!$A$200:$G$1118,3,0)</f>
        <v>Opened Stores</v>
      </c>
      <c r="I966" s="41" t="str">
        <f>VLOOKUP(C966,Stores!$A$200:$G$1118,4,0)</f>
        <v>Stage 7 - Installed</v>
      </c>
      <c r="J966" s="41" t="str">
        <f>VLOOKUP(C966,Stores!$A$200:$G$1118,5,0)</f>
        <v>FINGERTEC</v>
      </c>
      <c r="K966" s="41">
        <f>VLOOKUP(C966,Stores!$A$200:$G$1118,6,0)</f>
        <v>7425894</v>
      </c>
      <c r="L966" s="41" t="str">
        <f>VLOOKUP(C966,Stores!$A$200:$G$1118,7,0)</f>
        <v>192.168.1.201</v>
      </c>
      <c r="M966" s="42" t="s">
        <v>4061</v>
      </c>
    </row>
    <row r="967">
      <c r="A967" s="38" t="s">
        <v>2962</v>
      </c>
      <c r="B967" s="38" t="s">
        <v>4196</v>
      </c>
      <c r="C967" s="38" t="s">
        <v>2853</v>
      </c>
      <c r="D967" s="39" t="s">
        <v>2854</v>
      </c>
      <c r="E967" s="38" t="s">
        <v>3106</v>
      </c>
      <c r="F967" s="40" t="s">
        <v>4128</v>
      </c>
      <c r="G967" s="45">
        <v>9.171390546E9</v>
      </c>
      <c r="H967" s="41" t="str">
        <f>VLOOKUP(C967,Stores!$A$200:$G$1118,3,0)</f>
        <v>Opened Stores</v>
      </c>
      <c r="I967" s="41" t="str">
        <f>VLOOKUP(C967,Stores!$A$200:$G$1118,4,0)</f>
        <v>Stage 7 - Installed</v>
      </c>
      <c r="J967" s="41" t="str">
        <f>VLOOKUP(C967,Stores!$A$200:$G$1118,5,0)</f>
        <v>ZKTECO</v>
      </c>
      <c r="K967" s="41" t="str">
        <f>VLOOKUP(C967,Stores!$A$200:$G$1118,6,0)</f>
        <v>PAS4252900284</v>
      </c>
      <c r="L967" s="41" t="str">
        <f>VLOOKUP(C967,Stores!$A$200:$G$1118,7,0)</f>
        <v>192.168.1.201</v>
      </c>
      <c r="M967" s="42" t="s">
        <v>4061</v>
      </c>
    </row>
    <row r="968">
      <c r="A968" s="38" t="s">
        <v>2962</v>
      </c>
      <c r="B968" s="38" t="s">
        <v>4197</v>
      </c>
      <c r="C968" s="38" t="s">
        <v>1318</v>
      </c>
      <c r="D968" s="39" t="s">
        <v>1319</v>
      </c>
      <c r="E968" s="38" t="s">
        <v>3106</v>
      </c>
      <c r="F968" s="40" t="s">
        <v>4103</v>
      </c>
      <c r="G968" s="45">
        <v>9.756004209E9</v>
      </c>
      <c r="H968" s="41" t="str">
        <f>VLOOKUP(C968,Stores!$A$200:$G$1118,3,0)</f>
        <v>Opened Stores</v>
      </c>
      <c r="I968" s="41" t="str">
        <f>VLOOKUP(C968,Stores!$A$200:$G$1118,4,0)</f>
        <v>Stage 7 - Installed</v>
      </c>
      <c r="J968" s="41" t="str">
        <f>VLOOKUP(C968,Stores!$A$200:$G$1118,5,0)</f>
        <v>ZKTECO</v>
      </c>
      <c r="K968" s="41" t="str">
        <f>VLOOKUP(C968,Stores!$A$200:$G$1118,6,0)</f>
        <v>AKDG012351710</v>
      </c>
      <c r="L968" s="41" t="str">
        <f>VLOOKUP(C968,Stores!$A$200:$G$1118,7,0)</f>
        <v>192.168.1.201</v>
      </c>
      <c r="M968" s="42" t="s">
        <v>4061</v>
      </c>
    </row>
    <row r="969">
      <c r="A969" s="38" t="s">
        <v>2962</v>
      </c>
      <c r="B969" s="38" t="s">
        <v>4198</v>
      </c>
      <c r="C969" s="38" t="s">
        <v>1057</v>
      </c>
      <c r="D969" s="39" t="s">
        <v>1058</v>
      </c>
      <c r="E969" s="38" t="s">
        <v>3106</v>
      </c>
      <c r="F969" s="40" t="s">
        <v>4112</v>
      </c>
      <c r="G969" s="45">
        <v>9.399113004E9</v>
      </c>
      <c r="H969" s="41" t="str">
        <f>VLOOKUP(C969,Stores!$A$200:$G$1118,3,0)</f>
        <v>Opened Stores</v>
      </c>
      <c r="I969" s="41" t="str">
        <f>VLOOKUP(C969,Stores!$A$200:$G$1118,4,0)</f>
        <v>Stage 7 - Installed</v>
      </c>
      <c r="J969" s="41" t="str">
        <f>VLOOKUP(C969,Stores!$A$200:$G$1118,5,0)</f>
        <v>ZKTECO</v>
      </c>
      <c r="K969" s="41" t="str">
        <f>VLOOKUP(C969,Stores!$A$200:$G$1118,6,0)</f>
        <v>A8N5221960252</v>
      </c>
      <c r="L969" s="41" t="str">
        <f>VLOOKUP(C969,Stores!$A$200:$G$1118,7,0)</f>
        <v>192.168.1.201</v>
      </c>
      <c r="M969" s="42" t="s">
        <v>4061</v>
      </c>
    </row>
    <row r="970">
      <c r="A970" s="38" t="s">
        <v>2962</v>
      </c>
      <c r="B970" s="38" t="s">
        <v>4199</v>
      </c>
      <c r="C970" s="38" t="s">
        <v>1131</v>
      </c>
      <c r="D970" s="39" t="s">
        <v>1132</v>
      </c>
      <c r="E970" s="38" t="s">
        <v>3106</v>
      </c>
      <c r="F970" s="40" t="s">
        <v>4082</v>
      </c>
      <c r="G970" s="45">
        <v>9.262740327E9</v>
      </c>
      <c r="H970" s="41" t="str">
        <f>VLOOKUP(C970,Stores!$A$200:$G$1118,3,0)</f>
        <v>Opened Stores</v>
      </c>
      <c r="I970" s="41" t="str">
        <f>VLOOKUP(C970,Stores!$A$200:$G$1118,4,0)</f>
        <v>Stage 7 - Installed</v>
      </c>
      <c r="J970" s="41" t="str">
        <f>VLOOKUP(C970,Stores!$A$200:$G$1118,5,0)</f>
        <v>ZKTECO</v>
      </c>
      <c r="K970" s="41" t="str">
        <f>VLOOKUP(C970,Stores!$A$200:$G$1118,6,0)</f>
        <v>A8N5221960166</v>
      </c>
      <c r="L970" s="41" t="str">
        <f>VLOOKUP(C970,Stores!$A$200:$G$1118,7,0)</f>
        <v>192.168.1.201</v>
      </c>
      <c r="M970" s="42" t="s">
        <v>4061</v>
      </c>
    </row>
    <row r="971">
      <c r="A971" s="38" t="s">
        <v>2962</v>
      </c>
      <c r="B971" s="38" t="s">
        <v>4200</v>
      </c>
      <c r="C971" s="38" t="s">
        <v>1818</v>
      </c>
      <c r="D971" s="39" t="s">
        <v>1819</v>
      </c>
      <c r="E971" s="38" t="s">
        <v>3106</v>
      </c>
      <c r="F971" s="40" t="s">
        <v>4035</v>
      </c>
      <c r="G971" s="45">
        <v>9.190996105E9</v>
      </c>
      <c r="H971" s="41" t="str">
        <f>VLOOKUP(C971,Stores!$A$200:$G$1118,3,0)</f>
        <v>Opened Stores</v>
      </c>
      <c r="I971" s="41" t="str">
        <f>VLOOKUP(C971,Stores!$A$200:$G$1118,4,0)</f>
        <v>Stage 7 - Installed</v>
      </c>
      <c r="J971" s="41" t="str">
        <f>VLOOKUP(C971,Stores!$A$200:$G$1118,5,0)</f>
        <v>ZKTECO</v>
      </c>
      <c r="K971" s="41" t="str">
        <f>VLOOKUP(C971,Stores!$A$200:$G$1118,6,0)</f>
        <v>CQUJ233561218</v>
      </c>
      <c r="L971" s="41" t="str">
        <f>VLOOKUP(C971,Stores!$A$200:$G$1118,7,0)</f>
        <v>192.168.1.201</v>
      </c>
      <c r="M971" s="42" t="s">
        <v>4061</v>
      </c>
    </row>
    <row r="972">
      <c r="A972" s="38" t="s">
        <v>2962</v>
      </c>
      <c r="B972" s="38" t="s">
        <v>4201</v>
      </c>
      <c r="C972" s="38" t="s">
        <v>2087</v>
      </c>
      <c r="D972" s="39" t="s">
        <v>4202</v>
      </c>
      <c r="E972" s="38" t="s">
        <v>3106</v>
      </c>
      <c r="F972" s="40" t="s">
        <v>4084</v>
      </c>
      <c r="G972" s="45">
        <v>9.088681567E9</v>
      </c>
      <c r="H972" s="41" t="str">
        <f>VLOOKUP(C972,Stores!$A$200:$G$1118,3,0)</f>
        <v>Opened Stores</v>
      </c>
      <c r="I972" s="41" t="str">
        <f>VLOOKUP(C972,Stores!$A$200:$G$1118,4,0)</f>
        <v>Stage 7 - Installed</v>
      </c>
      <c r="J972" s="41" t="str">
        <f>VLOOKUP(C972,Stores!$A$200:$G$1118,5,0)</f>
        <v>ZKTECO</v>
      </c>
      <c r="K972" s="41" t="str">
        <f>VLOOKUP(C972,Stores!$A$200:$G$1118,6,0)</f>
        <v>CQUJ233560604</v>
      </c>
      <c r="L972" s="41" t="str">
        <f>VLOOKUP(C972,Stores!$A$200:$G$1118,7,0)</f>
        <v>192.168.1.201</v>
      </c>
      <c r="M972" s="42" t="s">
        <v>4061</v>
      </c>
    </row>
    <row r="973">
      <c r="A973" s="38" t="s">
        <v>2962</v>
      </c>
      <c r="B973" s="38" t="s">
        <v>4203</v>
      </c>
      <c r="C973" s="38" t="s">
        <v>1728</v>
      </c>
      <c r="D973" s="39" t="s">
        <v>1729</v>
      </c>
      <c r="E973" s="38" t="s">
        <v>3106</v>
      </c>
      <c r="F973" s="40" t="s">
        <v>4103</v>
      </c>
      <c r="G973" s="45">
        <v>9.756004209E9</v>
      </c>
      <c r="H973" s="41" t="str">
        <f>VLOOKUP(C973,Stores!$A$200:$G$1118,3,0)</f>
        <v>Opened Stores</v>
      </c>
      <c r="I973" s="41" t="str">
        <f>VLOOKUP(C973,Stores!$A$200:$G$1118,4,0)</f>
        <v>Stage 7 - Installed</v>
      </c>
      <c r="J973" s="41" t="str">
        <f>VLOOKUP(C973,Stores!$A$200:$G$1118,5,0)</f>
        <v>ZKTECO</v>
      </c>
      <c r="K973" s="41" t="str">
        <f>VLOOKUP(C973,Stores!$A$200:$G$1118,6,0)</f>
        <v>CQUJ233560413</v>
      </c>
      <c r="L973" s="41" t="str">
        <f>VLOOKUP(C973,Stores!$A$200:$G$1118,7,0)</f>
        <v>192.168.1.201</v>
      </c>
      <c r="M973" s="42" t="s">
        <v>4061</v>
      </c>
    </row>
    <row r="974">
      <c r="A974" s="38" t="s">
        <v>2962</v>
      </c>
      <c r="B974" s="38" t="s">
        <v>4204</v>
      </c>
      <c r="C974" s="38" t="s">
        <v>630</v>
      </c>
      <c r="D974" s="39" t="s">
        <v>631</v>
      </c>
      <c r="E974" s="38" t="s">
        <v>3106</v>
      </c>
      <c r="F974" s="40" t="s">
        <v>4084</v>
      </c>
      <c r="G974" s="45">
        <v>9.088681567E9</v>
      </c>
      <c r="H974" s="41" t="str">
        <f>VLOOKUP(C974,Stores!$A$200:$G$1118,3,0)</f>
        <v>Opened Stores</v>
      </c>
      <c r="I974" s="41" t="str">
        <f>VLOOKUP(C974,Stores!$A$200:$G$1118,4,0)</f>
        <v>Stage 7 - Installed</v>
      </c>
      <c r="J974" s="41" t="str">
        <f>VLOOKUP(C974,Stores!$A$200:$G$1118,5,0)</f>
        <v>FINGERTEC</v>
      </c>
      <c r="K974" s="41">
        <f>VLOOKUP(C974,Stores!$A$200:$G$1118,6,0)</f>
        <v>7421971</v>
      </c>
      <c r="L974" s="41" t="str">
        <f>VLOOKUP(C974,Stores!$A$200:$G$1118,7,0)</f>
        <v>192.168.1.201</v>
      </c>
      <c r="M974" s="42" t="s">
        <v>4061</v>
      </c>
    </row>
    <row r="975">
      <c r="A975" s="38" t="s">
        <v>2962</v>
      </c>
      <c r="B975" s="38" t="s">
        <v>4205</v>
      </c>
      <c r="C975" s="38" t="s">
        <v>1863</v>
      </c>
      <c r="D975" s="39" t="s">
        <v>1864</v>
      </c>
      <c r="E975" s="38" t="s">
        <v>3106</v>
      </c>
      <c r="F975" s="40" t="s">
        <v>3113</v>
      </c>
      <c r="G975" s="45">
        <v>6.39171364544E11</v>
      </c>
      <c r="H975" s="41" t="str">
        <f>VLOOKUP(C975,Stores!$A$200:$G$1118,3,0)</f>
        <v>Opened Stores</v>
      </c>
      <c r="I975" s="41" t="str">
        <f>VLOOKUP(C975,Stores!$A$200:$G$1118,4,0)</f>
        <v>Stage 7 - Installed</v>
      </c>
      <c r="J975" s="41" t="str">
        <f>VLOOKUP(C975,Stores!$A$200:$G$1118,5,0)</f>
        <v>ZKTECO</v>
      </c>
      <c r="K975" s="41" t="str">
        <f>VLOOKUP(C975,Stores!$A$200:$G$1118,6,0)</f>
        <v>CQUJ233561242</v>
      </c>
      <c r="L975" s="41" t="str">
        <f>VLOOKUP(C975,Stores!$A$200:$G$1118,7,0)</f>
        <v>192.168.1.201</v>
      </c>
      <c r="M975" s="42" t="s">
        <v>4061</v>
      </c>
    </row>
    <row r="976">
      <c r="A976" s="47" t="s">
        <v>4206</v>
      </c>
      <c r="B976" s="47" t="s">
        <v>35</v>
      </c>
      <c r="C976" s="47" t="s">
        <v>4207</v>
      </c>
      <c r="D976" s="48" t="s">
        <v>4208</v>
      </c>
      <c r="E976" s="42" t="s">
        <v>4206</v>
      </c>
      <c r="H976" s="42" t="s">
        <v>4206</v>
      </c>
      <c r="I976" s="41" t="s">
        <v>411</v>
      </c>
      <c r="J976" s="41"/>
      <c r="K976" s="41"/>
      <c r="L976" s="41"/>
      <c r="M976" s="42" t="s">
        <v>4206</v>
      </c>
    </row>
    <row r="977">
      <c r="A977" s="47" t="s">
        <v>4206</v>
      </c>
      <c r="B977" s="47" t="s">
        <v>35</v>
      </c>
      <c r="C977" s="47" t="s">
        <v>4209</v>
      </c>
      <c r="D977" s="48" t="s">
        <v>4210</v>
      </c>
      <c r="E977" s="42" t="s">
        <v>4206</v>
      </c>
      <c r="H977" s="42" t="s">
        <v>4206</v>
      </c>
      <c r="I977" s="41" t="s">
        <v>411</v>
      </c>
      <c r="J977" s="41"/>
      <c r="K977" s="41"/>
      <c r="L977" s="41"/>
      <c r="M977" s="42" t="s">
        <v>4206</v>
      </c>
    </row>
    <row r="978">
      <c r="A978" s="47" t="s">
        <v>4206</v>
      </c>
      <c r="B978" s="47" t="s">
        <v>35</v>
      </c>
      <c r="C978" s="47" t="s">
        <v>4211</v>
      </c>
      <c r="D978" s="48" t="s">
        <v>4212</v>
      </c>
      <c r="E978" s="42" t="s">
        <v>4206</v>
      </c>
      <c r="H978" s="42" t="s">
        <v>4206</v>
      </c>
      <c r="I978" s="41" t="s">
        <v>411</v>
      </c>
      <c r="J978" s="41"/>
      <c r="K978" s="41"/>
      <c r="L978" s="41"/>
      <c r="M978" s="42" t="s">
        <v>4206</v>
      </c>
    </row>
    <row r="979">
      <c r="A979" s="47" t="s">
        <v>4206</v>
      </c>
      <c r="B979" s="47" t="s">
        <v>35</v>
      </c>
      <c r="C979" s="47" t="s">
        <v>4213</v>
      </c>
      <c r="D979" s="48" t="s">
        <v>4214</v>
      </c>
      <c r="E979" s="42" t="s">
        <v>4206</v>
      </c>
      <c r="H979" s="42" t="s">
        <v>4206</v>
      </c>
      <c r="I979" s="41" t="s">
        <v>411</v>
      </c>
      <c r="J979" s="41"/>
      <c r="K979" s="41"/>
      <c r="L979" s="41"/>
      <c r="M979" s="42" t="s">
        <v>4206</v>
      </c>
    </row>
    <row r="980">
      <c r="A980" s="47" t="s">
        <v>4206</v>
      </c>
      <c r="B980" s="47" t="s">
        <v>35</v>
      </c>
      <c r="C980" s="47" t="s">
        <v>4215</v>
      </c>
      <c r="D980" s="48" t="s">
        <v>4216</v>
      </c>
      <c r="E980" s="42" t="s">
        <v>4206</v>
      </c>
      <c r="F980" s="47"/>
      <c r="G980" s="47"/>
      <c r="H980" s="42" t="s">
        <v>4206</v>
      </c>
      <c r="I980" s="41" t="s">
        <v>411</v>
      </c>
      <c r="J980" s="41" t="s">
        <v>72</v>
      </c>
      <c r="K980" s="42" t="s">
        <v>4217</v>
      </c>
      <c r="L980" s="42" t="s">
        <v>74</v>
      </c>
      <c r="M980" s="42" t="s">
        <v>4206</v>
      </c>
    </row>
    <row r="981">
      <c r="A981" s="47" t="s">
        <v>4206</v>
      </c>
      <c r="B981" s="47" t="s">
        <v>35</v>
      </c>
      <c r="C981" s="47" t="s">
        <v>4218</v>
      </c>
      <c r="D981" s="48" t="s">
        <v>4219</v>
      </c>
      <c r="E981" s="42" t="s">
        <v>4206</v>
      </c>
      <c r="F981" s="47"/>
      <c r="H981" s="42" t="s">
        <v>4206</v>
      </c>
      <c r="I981" s="41" t="s">
        <v>411</v>
      </c>
      <c r="J981" s="41" t="s">
        <v>72</v>
      </c>
      <c r="K981" s="42" t="s">
        <v>4220</v>
      </c>
      <c r="L981" s="42"/>
      <c r="M981" s="42" t="s">
        <v>4206</v>
      </c>
    </row>
    <row r="982">
      <c r="H982" s="41"/>
      <c r="I982" s="41"/>
      <c r="J982" s="41"/>
      <c r="K982" s="41"/>
      <c r="L982" s="41"/>
      <c r="M982" s="41"/>
    </row>
    <row r="983">
      <c r="H983" s="41"/>
      <c r="I983" s="41"/>
      <c r="J983" s="41"/>
      <c r="K983" s="41"/>
      <c r="L983" s="41"/>
      <c r="M983" s="41"/>
    </row>
    <row r="984">
      <c r="H984" s="41"/>
      <c r="I984" s="41"/>
      <c r="J984" s="41"/>
      <c r="K984" s="41"/>
      <c r="L984" s="41"/>
      <c r="M984" s="41"/>
    </row>
    <row r="985">
      <c r="H985" s="41"/>
      <c r="I985" s="41"/>
      <c r="J985" s="41"/>
      <c r="K985" s="41"/>
      <c r="L985" s="41"/>
      <c r="M985" s="41"/>
    </row>
    <row r="986">
      <c r="H986" s="41"/>
      <c r="I986" s="41"/>
      <c r="J986" s="41"/>
      <c r="K986" s="41"/>
      <c r="L986" s="41"/>
      <c r="M986" s="41"/>
    </row>
    <row r="987">
      <c r="H987" s="41"/>
      <c r="I987" s="41"/>
      <c r="J987" s="41"/>
      <c r="K987" s="41"/>
      <c r="L987" s="41"/>
      <c r="M987" s="41"/>
    </row>
    <row r="988">
      <c r="H988" s="41"/>
      <c r="I988" s="41"/>
      <c r="J988" s="41"/>
      <c r="K988" s="41"/>
      <c r="L988" s="41"/>
      <c r="M988" s="41"/>
    </row>
    <row r="989">
      <c r="H989" s="41"/>
      <c r="I989" s="41"/>
      <c r="J989" s="41"/>
      <c r="K989" s="41"/>
      <c r="L989" s="41"/>
      <c r="M989" s="41"/>
    </row>
    <row r="990">
      <c r="H990" s="41"/>
      <c r="I990" s="41"/>
      <c r="J990" s="41"/>
      <c r="K990" s="41"/>
      <c r="L990" s="41"/>
      <c r="M990" s="41"/>
    </row>
    <row r="991">
      <c r="H991" s="41"/>
      <c r="I991" s="41"/>
      <c r="J991" s="41"/>
      <c r="K991" s="41"/>
      <c r="L991" s="41"/>
      <c r="M991" s="41"/>
    </row>
    <row r="992">
      <c r="H992" s="41"/>
      <c r="I992" s="41"/>
      <c r="J992" s="41"/>
      <c r="K992" s="41"/>
      <c r="L992" s="41"/>
      <c r="M992" s="41"/>
    </row>
    <row r="993">
      <c r="H993" s="41"/>
      <c r="I993" s="41"/>
      <c r="J993" s="41"/>
      <c r="K993" s="41"/>
      <c r="L993" s="41"/>
      <c r="M993" s="41"/>
    </row>
    <row r="994">
      <c r="H994" s="41"/>
      <c r="I994" s="41"/>
      <c r="J994" s="41"/>
      <c r="K994" s="41"/>
      <c r="L994" s="41"/>
      <c r="M994" s="41"/>
    </row>
    <row r="995">
      <c r="H995" s="41"/>
      <c r="I995" s="41"/>
      <c r="J995" s="41"/>
      <c r="K995" s="41"/>
      <c r="L995" s="41"/>
      <c r="M995" s="41"/>
    </row>
    <row r="996">
      <c r="H996" s="41"/>
      <c r="I996" s="41"/>
      <c r="J996" s="41"/>
      <c r="K996" s="41"/>
      <c r="L996" s="41"/>
      <c r="M996" s="41"/>
    </row>
    <row r="997">
      <c r="H997" s="41"/>
      <c r="I997" s="41"/>
      <c r="J997" s="41"/>
      <c r="K997" s="41"/>
      <c r="L997" s="41"/>
      <c r="M997" s="41"/>
    </row>
    <row r="998">
      <c r="H998" s="41"/>
      <c r="I998" s="41"/>
      <c r="J998" s="41"/>
      <c r="K998" s="41"/>
      <c r="L998" s="41"/>
      <c r="M998" s="41"/>
    </row>
    <row r="999">
      <c r="H999" s="41"/>
      <c r="I999" s="41"/>
      <c r="J999" s="41"/>
      <c r="K999" s="41"/>
      <c r="L999" s="41"/>
      <c r="M999" s="41"/>
    </row>
    <row r="1000">
      <c r="H1000" s="41"/>
      <c r="I1000" s="41"/>
      <c r="J1000" s="41"/>
      <c r="K1000" s="41"/>
      <c r="L1000" s="41"/>
      <c r="M1000" s="41"/>
    </row>
    <row r="1001">
      <c r="H1001" s="41"/>
      <c r="I1001" s="41"/>
      <c r="J1001" s="41"/>
      <c r="K1001" s="41"/>
      <c r="L1001" s="41"/>
      <c r="M1001" s="41"/>
    </row>
    <row r="1002">
      <c r="H1002" s="41"/>
      <c r="I1002" s="41"/>
      <c r="J1002" s="41"/>
      <c r="K1002" s="41"/>
      <c r="L1002" s="41"/>
      <c r="M1002" s="41"/>
    </row>
    <row r="1003">
      <c r="H1003" s="41"/>
      <c r="I1003" s="41"/>
      <c r="J1003" s="41"/>
      <c r="K1003" s="41"/>
      <c r="L1003" s="41"/>
      <c r="M1003" s="41"/>
    </row>
    <row r="1004">
      <c r="H1004" s="41"/>
      <c r="I1004" s="41"/>
      <c r="J1004" s="41"/>
      <c r="K1004" s="41"/>
      <c r="L1004" s="41"/>
      <c r="M1004" s="41"/>
    </row>
    <row r="1005">
      <c r="H1005" s="41"/>
      <c r="I1005" s="41"/>
      <c r="J1005" s="41"/>
      <c r="K1005" s="41"/>
      <c r="L1005" s="41"/>
      <c r="M1005" s="41"/>
    </row>
    <row r="1006">
      <c r="H1006" s="41"/>
      <c r="I1006" s="41"/>
      <c r="J1006" s="41"/>
      <c r="K1006" s="41"/>
      <c r="L1006" s="41"/>
      <c r="M1006" s="41"/>
    </row>
    <row r="1007">
      <c r="H1007" s="41"/>
      <c r="I1007" s="41"/>
      <c r="J1007" s="41"/>
      <c r="K1007" s="41"/>
      <c r="L1007" s="41"/>
      <c r="M1007" s="41"/>
    </row>
    <row r="1008">
      <c r="H1008" s="41"/>
      <c r="I1008" s="41"/>
      <c r="J1008" s="41"/>
      <c r="K1008" s="41"/>
      <c r="L1008" s="41"/>
      <c r="M1008" s="41"/>
    </row>
    <row r="1009">
      <c r="H1009" s="41"/>
      <c r="I1009" s="41"/>
      <c r="J1009" s="41"/>
      <c r="K1009" s="41"/>
      <c r="L1009" s="41"/>
      <c r="M1009" s="41"/>
    </row>
    <row r="1010">
      <c r="H1010" s="41"/>
      <c r="I1010" s="41"/>
      <c r="J1010" s="41"/>
      <c r="K1010" s="41"/>
      <c r="L1010" s="41"/>
      <c r="M1010" s="41"/>
    </row>
    <row r="1011">
      <c r="H1011" s="41"/>
      <c r="I1011" s="41"/>
      <c r="J1011" s="41"/>
      <c r="K1011" s="41"/>
      <c r="L1011" s="41"/>
      <c r="M1011" s="41"/>
    </row>
    <row r="1012">
      <c r="H1012" s="41"/>
      <c r="I1012" s="41"/>
      <c r="J1012" s="41"/>
      <c r="K1012" s="41"/>
      <c r="L1012" s="41"/>
      <c r="M1012" s="41"/>
    </row>
    <row r="1013">
      <c r="H1013" s="41"/>
      <c r="I1013" s="41"/>
      <c r="J1013" s="41"/>
      <c r="K1013" s="41"/>
      <c r="L1013" s="41"/>
      <c r="M1013" s="41"/>
    </row>
    <row r="1014">
      <c r="H1014" s="41"/>
      <c r="I1014" s="41"/>
      <c r="J1014" s="41"/>
      <c r="K1014" s="41"/>
      <c r="L1014" s="41"/>
      <c r="M1014" s="41"/>
    </row>
    <row r="1015">
      <c r="H1015" s="41"/>
      <c r="I1015" s="41"/>
      <c r="J1015" s="41"/>
      <c r="K1015" s="41"/>
      <c r="L1015" s="41"/>
      <c r="M1015" s="41"/>
    </row>
    <row r="1016">
      <c r="H1016" s="41"/>
      <c r="I1016" s="41"/>
      <c r="J1016" s="41"/>
      <c r="K1016" s="41"/>
      <c r="L1016" s="41"/>
      <c r="M1016" s="41"/>
    </row>
    <row r="1017">
      <c r="H1017" s="41"/>
      <c r="I1017" s="41"/>
      <c r="J1017" s="41"/>
      <c r="K1017" s="41"/>
      <c r="L1017" s="41"/>
      <c r="M1017" s="41"/>
    </row>
    <row r="1018">
      <c r="H1018" s="41"/>
      <c r="I1018" s="41"/>
      <c r="J1018" s="41"/>
      <c r="K1018" s="41"/>
      <c r="L1018" s="41"/>
      <c r="M1018" s="41"/>
    </row>
    <row r="1019">
      <c r="H1019" s="41"/>
      <c r="I1019" s="41"/>
      <c r="J1019" s="41"/>
      <c r="K1019" s="41"/>
      <c r="L1019" s="41"/>
      <c r="M1019" s="41"/>
    </row>
    <row r="1020">
      <c r="H1020" s="41"/>
      <c r="I1020" s="41"/>
      <c r="J1020" s="41"/>
      <c r="K1020" s="41"/>
      <c r="L1020" s="41"/>
      <c r="M1020" s="41"/>
    </row>
    <row r="1021">
      <c r="H1021" s="41"/>
      <c r="I1021" s="41"/>
      <c r="J1021" s="41"/>
      <c r="K1021" s="41"/>
      <c r="L1021" s="41"/>
      <c r="M1021" s="41"/>
    </row>
    <row r="1022">
      <c r="H1022" s="41"/>
      <c r="I1022" s="41"/>
      <c r="J1022" s="41"/>
      <c r="K1022" s="41"/>
      <c r="L1022" s="41"/>
      <c r="M1022" s="41"/>
    </row>
    <row r="1023">
      <c r="H1023" s="41"/>
      <c r="I1023" s="41"/>
      <c r="J1023" s="41"/>
      <c r="K1023" s="41"/>
      <c r="L1023" s="41"/>
      <c r="M1023" s="41"/>
    </row>
    <row r="1024">
      <c r="H1024" s="41"/>
      <c r="I1024" s="41"/>
      <c r="J1024" s="41"/>
      <c r="K1024" s="41"/>
      <c r="L1024" s="41"/>
      <c r="M1024" s="41"/>
    </row>
    <row r="1025">
      <c r="H1025" s="41"/>
      <c r="I1025" s="41"/>
      <c r="J1025" s="41"/>
      <c r="K1025" s="41"/>
      <c r="L1025" s="41"/>
      <c r="M1025" s="41"/>
    </row>
    <row r="1026">
      <c r="H1026" s="41"/>
      <c r="I1026" s="41"/>
      <c r="J1026" s="41"/>
      <c r="K1026" s="41"/>
      <c r="L1026" s="41"/>
      <c r="M1026" s="41"/>
    </row>
    <row r="1027">
      <c r="H1027" s="41"/>
      <c r="I1027" s="41"/>
      <c r="J1027" s="41"/>
      <c r="K1027" s="41"/>
      <c r="L1027" s="41"/>
      <c r="M1027" s="41"/>
    </row>
    <row r="1028">
      <c r="H1028" s="41"/>
      <c r="I1028" s="41"/>
      <c r="J1028" s="41"/>
      <c r="K1028" s="41"/>
      <c r="L1028" s="41"/>
      <c r="M1028" s="41"/>
    </row>
    <row r="1029">
      <c r="H1029" s="41"/>
      <c r="I1029" s="41"/>
      <c r="J1029" s="41"/>
      <c r="K1029" s="41"/>
      <c r="L1029" s="41"/>
      <c r="M1029" s="41"/>
    </row>
    <row r="1030">
      <c r="H1030" s="41"/>
      <c r="I1030" s="41"/>
      <c r="J1030" s="41"/>
      <c r="K1030" s="41"/>
      <c r="L1030" s="41"/>
      <c r="M1030" s="41"/>
    </row>
    <row r="1031">
      <c r="H1031" s="41"/>
      <c r="I1031" s="41"/>
      <c r="J1031" s="41"/>
      <c r="K1031" s="41"/>
      <c r="L1031" s="41"/>
      <c r="M1031" s="41"/>
    </row>
    <row r="1032">
      <c r="H1032" s="41"/>
      <c r="I1032" s="41"/>
      <c r="J1032" s="41"/>
      <c r="K1032" s="41"/>
      <c r="L1032" s="41"/>
      <c r="M1032" s="41"/>
    </row>
    <row r="1033">
      <c r="H1033" s="41"/>
      <c r="I1033" s="41"/>
      <c r="J1033" s="41"/>
      <c r="K1033" s="41"/>
      <c r="L1033" s="41"/>
      <c r="M1033" s="41"/>
    </row>
    <row r="1034">
      <c r="H1034" s="41"/>
      <c r="I1034" s="41"/>
      <c r="J1034" s="41"/>
      <c r="K1034" s="41"/>
      <c r="L1034" s="41"/>
      <c r="M1034" s="41"/>
    </row>
    <row r="1035">
      <c r="H1035" s="41"/>
      <c r="I1035" s="41"/>
      <c r="J1035" s="41"/>
      <c r="K1035" s="41"/>
      <c r="L1035" s="41"/>
      <c r="M1035" s="41"/>
    </row>
    <row r="1036">
      <c r="H1036" s="41"/>
      <c r="I1036" s="41"/>
      <c r="J1036" s="41"/>
      <c r="K1036" s="41"/>
      <c r="L1036" s="41"/>
      <c r="M1036" s="41"/>
    </row>
    <row r="1037">
      <c r="H1037" s="41"/>
      <c r="I1037" s="41"/>
      <c r="J1037" s="41"/>
      <c r="K1037" s="41"/>
      <c r="L1037" s="41"/>
      <c r="M1037" s="41"/>
    </row>
    <row r="1038">
      <c r="H1038" s="41"/>
      <c r="I1038" s="41"/>
      <c r="J1038" s="41"/>
      <c r="K1038" s="41"/>
      <c r="L1038" s="41"/>
      <c r="M1038" s="41"/>
    </row>
    <row r="1039">
      <c r="H1039" s="41"/>
      <c r="I1039" s="41"/>
      <c r="J1039" s="41"/>
      <c r="K1039" s="41"/>
      <c r="L1039" s="41"/>
      <c r="M1039" s="41"/>
    </row>
    <row r="1040">
      <c r="H1040" s="41"/>
      <c r="I1040" s="41"/>
      <c r="J1040" s="41"/>
      <c r="K1040" s="41"/>
      <c r="L1040" s="41"/>
      <c r="M1040" s="41"/>
    </row>
    <row r="1041">
      <c r="H1041" s="41"/>
      <c r="I1041" s="41"/>
      <c r="J1041" s="41"/>
      <c r="K1041" s="41"/>
      <c r="L1041" s="41"/>
      <c r="M1041" s="41"/>
    </row>
    <row r="1042">
      <c r="H1042" s="41"/>
      <c r="I1042" s="41"/>
      <c r="J1042" s="41"/>
      <c r="K1042" s="41"/>
      <c r="L1042" s="41"/>
      <c r="M1042" s="41"/>
    </row>
    <row r="1043">
      <c r="H1043" s="41"/>
      <c r="I1043" s="41"/>
      <c r="J1043" s="41"/>
      <c r="K1043" s="41"/>
      <c r="L1043" s="41"/>
      <c r="M1043" s="41"/>
    </row>
    <row r="1044">
      <c r="H1044" s="41"/>
      <c r="I1044" s="41"/>
      <c r="J1044" s="41"/>
      <c r="K1044" s="41"/>
      <c r="L1044" s="41"/>
      <c r="M1044" s="41"/>
    </row>
    <row r="1045">
      <c r="H1045" s="41"/>
      <c r="I1045" s="41"/>
      <c r="J1045" s="41"/>
      <c r="K1045" s="41"/>
      <c r="L1045" s="41"/>
      <c r="M1045" s="41"/>
    </row>
    <row r="1046">
      <c r="H1046" s="41"/>
      <c r="I1046" s="41"/>
      <c r="J1046" s="41"/>
      <c r="K1046" s="41"/>
      <c r="L1046" s="41"/>
      <c r="M1046" s="41"/>
    </row>
    <row r="1047">
      <c r="H1047" s="41"/>
      <c r="I1047" s="41"/>
      <c r="J1047" s="41"/>
      <c r="K1047" s="41"/>
      <c r="L1047" s="41"/>
      <c r="M1047" s="41"/>
    </row>
    <row r="1048">
      <c r="H1048" s="41"/>
      <c r="I1048" s="41"/>
      <c r="J1048" s="41"/>
      <c r="K1048" s="41"/>
      <c r="L1048" s="41"/>
      <c r="M1048" s="41"/>
    </row>
    <row r="1049">
      <c r="H1049" s="41"/>
      <c r="I1049" s="41"/>
      <c r="J1049" s="41"/>
      <c r="K1049" s="41"/>
      <c r="L1049" s="41"/>
      <c r="M1049" s="41"/>
    </row>
    <row r="1050">
      <c r="H1050" s="41"/>
      <c r="I1050" s="41"/>
      <c r="J1050" s="41"/>
      <c r="K1050" s="41"/>
      <c r="L1050" s="41"/>
      <c r="M1050" s="41"/>
    </row>
    <row r="1051">
      <c r="H1051" s="41"/>
      <c r="I1051" s="41"/>
      <c r="J1051" s="41"/>
      <c r="K1051" s="41"/>
      <c r="L1051" s="41"/>
      <c r="M1051" s="41"/>
    </row>
    <row r="1052">
      <c r="H1052" s="41"/>
      <c r="I1052" s="41"/>
      <c r="J1052" s="41"/>
      <c r="K1052" s="41"/>
      <c r="L1052" s="41"/>
      <c r="M1052" s="41"/>
    </row>
    <row r="1053">
      <c r="H1053" s="41"/>
      <c r="I1053" s="41"/>
      <c r="J1053" s="41"/>
      <c r="K1053" s="41"/>
      <c r="L1053" s="41"/>
      <c r="M1053" s="41"/>
    </row>
    <row r="1054">
      <c r="H1054" s="41"/>
      <c r="I1054" s="41"/>
      <c r="J1054" s="41"/>
      <c r="K1054" s="41"/>
      <c r="L1054" s="41"/>
      <c r="M1054" s="41"/>
    </row>
    <row r="1055">
      <c r="H1055" s="41"/>
      <c r="I1055" s="41"/>
      <c r="J1055" s="41"/>
      <c r="K1055" s="41"/>
      <c r="L1055" s="41"/>
      <c r="M1055" s="41"/>
    </row>
    <row r="1056">
      <c r="H1056" s="41"/>
      <c r="I1056" s="41"/>
      <c r="J1056" s="41"/>
      <c r="K1056" s="41"/>
      <c r="L1056" s="41"/>
      <c r="M1056" s="41"/>
    </row>
    <row r="1057">
      <c r="H1057" s="41"/>
      <c r="I1057" s="41"/>
      <c r="J1057" s="41"/>
      <c r="K1057" s="41"/>
      <c r="L1057" s="41"/>
      <c r="M1057" s="41"/>
    </row>
    <row r="1058">
      <c r="H1058" s="41"/>
      <c r="I1058" s="41"/>
      <c r="J1058" s="41"/>
      <c r="K1058" s="41"/>
      <c r="L1058" s="41"/>
      <c r="M1058" s="41"/>
    </row>
    <row r="1059">
      <c r="H1059" s="41"/>
      <c r="I1059" s="41"/>
      <c r="J1059" s="41"/>
      <c r="K1059" s="41"/>
      <c r="L1059" s="41"/>
      <c r="M1059" s="41"/>
    </row>
    <row r="1060">
      <c r="H1060" s="41"/>
      <c r="I1060" s="41"/>
      <c r="J1060" s="41"/>
      <c r="K1060" s="41"/>
      <c r="L1060" s="41"/>
      <c r="M1060" s="41"/>
    </row>
    <row r="1061">
      <c r="H1061" s="41"/>
      <c r="I1061" s="41"/>
      <c r="J1061" s="41"/>
      <c r="K1061" s="41"/>
      <c r="L1061" s="41"/>
      <c r="M1061" s="41"/>
    </row>
    <row r="1062">
      <c r="H1062" s="41"/>
      <c r="I1062" s="41"/>
      <c r="J1062" s="41"/>
      <c r="K1062" s="41"/>
      <c r="L1062" s="41"/>
      <c r="M1062" s="41"/>
    </row>
    <row r="1063">
      <c r="H1063" s="41"/>
      <c r="I1063" s="41"/>
      <c r="J1063" s="41"/>
      <c r="K1063" s="41"/>
      <c r="L1063" s="41"/>
      <c r="M1063" s="41"/>
    </row>
    <row r="1064">
      <c r="H1064" s="41"/>
      <c r="I1064" s="41"/>
      <c r="J1064" s="41"/>
      <c r="K1064" s="41"/>
      <c r="L1064" s="41"/>
      <c r="M1064" s="41"/>
    </row>
    <row r="1065">
      <c r="H1065" s="41"/>
      <c r="I1065" s="41"/>
      <c r="J1065" s="41"/>
      <c r="K1065" s="41"/>
      <c r="L1065" s="41"/>
      <c r="M1065" s="41"/>
    </row>
    <row r="1066">
      <c r="H1066" s="41"/>
      <c r="I1066" s="41"/>
      <c r="J1066" s="41"/>
      <c r="K1066" s="41"/>
      <c r="L1066" s="41"/>
      <c r="M1066" s="41"/>
    </row>
    <row r="1067">
      <c r="H1067" s="41"/>
      <c r="I1067" s="41"/>
      <c r="J1067" s="41"/>
      <c r="K1067" s="41"/>
      <c r="L1067" s="41"/>
      <c r="M1067" s="41"/>
    </row>
    <row r="1068">
      <c r="H1068" s="41"/>
      <c r="I1068" s="41"/>
      <c r="J1068" s="41"/>
      <c r="K1068" s="41"/>
      <c r="L1068" s="41"/>
      <c r="M1068" s="41"/>
    </row>
    <row r="1069">
      <c r="H1069" s="41"/>
      <c r="I1069" s="41"/>
      <c r="J1069" s="41"/>
      <c r="K1069" s="41"/>
      <c r="L1069" s="41"/>
      <c r="M1069" s="41"/>
    </row>
    <row r="1070">
      <c r="H1070" s="41"/>
      <c r="I1070" s="41"/>
      <c r="J1070" s="41"/>
      <c r="K1070" s="41"/>
      <c r="L1070" s="41"/>
      <c r="M1070" s="41"/>
    </row>
    <row r="1071">
      <c r="H1071" s="41"/>
      <c r="I1071" s="41"/>
      <c r="J1071" s="41"/>
      <c r="K1071" s="41"/>
      <c r="L1071" s="41"/>
      <c r="M1071" s="41"/>
    </row>
    <row r="1072">
      <c r="H1072" s="41"/>
      <c r="I1072" s="41"/>
      <c r="J1072" s="41"/>
      <c r="K1072" s="41"/>
      <c r="L1072" s="41"/>
      <c r="M1072" s="41"/>
    </row>
    <row r="1073">
      <c r="H1073" s="41"/>
      <c r="I1073" s="41"/>
      <c r="J1073" s="41"/>
      <c r="K1073" s="41"/>
      <c r="L1073" s="41"/>
      <c r="M1073" s="41"/>
    </row>
    <row r="1074">
      <c r="H1074" s="41"/>
      <c r="I1074" s="41"/>
      <c r="J1074" s="41"/>
      <c r="K1074" s="41"/>
      <c r="L1074" s="41"/>
      <c r="M1074" s="41"/>
    </row>
    <row r="1075">
      <c r="H1075" s="41"/>
      <c r="I1075" s="41"/>
      <c r="J1075" s="41"/>
      <c r="K1075" s="41"/>
      <c r="L1075" s="41"/>
      <c r="M1075" s="41"/>
    </row>
    <row r="1076">
      <c r="H1076" s="41"/>
      <c r="I1076" s="41"/>
      <c r="J1076" s="41"/>
      <c r="K1076" s="41"/>
      <c r="L1076" s="41"/>
      <c r="M1076" s="41"/>
    </row>
    <row r="1077">
      <c r="H1077" s="41"/>
      <c r="I1077" s="41"/>
      <c r="J1077" s="41"/>
      <c r="K1077" s="41"/>
      <c r="L1077" s="41"/>
      <c r="M1077" s="41"/>
    </row>
    <row r="1078">
      <c r="H1078" s="41"/>
      <c r="I1078" s="41"/>
      <c r="J1078" s="41"/>
      <c r="K1078" s="41"/>
      <c r="L1078" s="41"/>
      <c r="M1078" s="41"/>
    </row>
    <row r="1079">
      <c r="H1079" s="41"/>
      <c r="I1079" s="41"/>
      <c r="J1079" s="41"/>
      <c r="K1079" s="41"/>
      <c r="L1079" s="41"/>
      <c r="M1079" s="41"/>
    </row>
    <row r="1080">
      <c r="H1080" s="41"/>
      <c r="I1080" s="41"/>
      <c r="J1080" s="41"/>
      <c r="K1080" s="41"/>
      <c r="L1080" s="41"/>
      <c r="M1080" s="41"/>
    </row>
    <row r="1081">
      <c r="H1081" s="41"/>
      <c r="I1081" s="41"/>
      <c r="J1081" s="41"/>
      <c r="K1081" s="41"/>
      <c r="L1081" s="41"/>
      <c r="M1081" s="41"/>
    </row>
    <row r="1082">
      <c r="H1082" s="41"/>
      <c r="I1082" s="41"/>
      <c r="J1082" s="41"/>
      <c r="K1082" s="41"/>
      <c r="L1082" s="41"/>
      <c r="M1082" s="41"/>
    </row>
    <row r="1083">
      <c r="H1083" s="41"/>
      <c r="I1083" s="41"/>
      <c r="J1083" s="41"/>
      <c r="K1083" s="41"/>
      <c r="L1083" s="41"/>
      <c r="M1083" s="41"/>
    </row>
    <row r="1084">
      <c r="H1084" s="41"/>
      <c r="I1084" s="41"/>
      <c r="J1084" s="41"/>
      <c r="K1084" s="41"/>
      <c r="L1084" s="41"/>
      <c r="M1084" s="41"/>
    </row>
    <row r="1085">
      <c r="H1085" s="41"/>
      <c r="I1085" s="41"/>
      <c r="J1085" s="41"/>
      <c r="K1085" s="41"/>
      <c r="L1085" s="41"/>
      <c r="M1085" s="41"/>
    </row>
    <row r="1086">
      <c r="H1086" s="41"/>
      <c r="I1086" s="41"/>
      <c r="J1086" s="41"/>
      <c r="K1086" s="41"/>
      <c r="L1086" s="41"/>
      <c r="M1086" s="41"/>
    </row>
    <row r="1087">
      <c r="H1087" s="41"/>
      <c r="I1087" s="41"/>
      <c r="J1087" s="41"/>
      <c r="K1087" s="41"/>
      <c r="L1087" s="41"/>
      <c r="M1087" s="41"/>
    </row>
    <row r="1088">
      <c r="H1088" s="41"/>
      <c r="I1088" s="41"/>
      <c r="J1088" s="41"/>
      <c r="K1088" s="41"/>
      <c r="L1088" s="41"/>
      <c r="M1088" s="41"/>
    </row>
    <row r="1089">
      <c r="H1089" s="41"/>
      <c r="I1089" s="41"/>
      <c r="J1089" s="41"/>
      <c r="K1089" s="41"/>
      <c r="L1089" s="41"/>
      <c r="M1089" s="41"/>
    </row>
    <row r="1090">
      <c r="H1090" s="41"/>
      <c r="I1090" s="41"/>
      <c r="J1090" s="41"/>
      <c r="K1090" s="41"/>
      <c r="L1090" s="41"/>
      <c r="M1090" s="41"/>
    </row>
    <row r="1091">
      <c r="H1091" s="41"/>
      <c r="I1091" s="41"/>
      <c r="J1091" s="41"/>
      <c r="K1091" s="41"/>
      <c r="L1091" s="41"/>
      <c r="M1091" s="41"/>
    </row>
    <row r="1092">
      <c r="H1092" s="41"/>
      <c r="I1092" s="41"/>
      <c r="J1092" s="41"/>
      <c r="K1092" s="41"/>
      <c r="L1092" s="41"/>
      <c r="M1092" s="41"/>
    </row>
    <row r="1093">
      <c r="H1093" s="41"/>
      <c r="I1093" s="41"/>
      <c r="J1093" s="41"/>
      <c r="K1093" s="41"/>
      <c r="L1093" s="41"/>
      <c r="M1093" s="41"/>
    </row>
    <row r="1094">
      <c r="H1094" s="41"/>
      <c r="I1094" s="41"/>
      <c r="J1094" s="41"/>
      <c r="K1094" s="41"/>
      <c r="L1094" s="41"/>
      <c r="M1094" s="41"/>
    </row>
    <row r="1095">
      <c r="H1095" s="41"/>
      <c r="I1095" s="41"/>
      <c r="J1095" s="41"/>
      <c r="K1095" s="41"/>
      <c r="L1095" s="41"/>
      <c r="M1095" s="41"/>
    </row>
    <row r="1096">
      <c r="H1096" s="41"/>
      <c r="I1096" s="41"/>
      <c r="J1096" s="41"/>
      <c r="K1096" s="41"/>
      <c r="L1096" s="41"/>
      <c r="M1096" s="41"/>
    </row>
    <row r="1097">
      <c r="H1097" s="41"/>
      <c r="I1097" s="41"/>
      <c r="J1097" s="41"/>
      <c r="K1097" s="41"/>
      <c r="L1097" s="41"/>
      <c r="M1097" s="41"/>
    </row>
    <row r="1098">
      <c r="H1098" s="41"/>
      <c r="I1098" s="41"/>
      <c r="J1098" s="41"/>
      <c r="K1098" s="41"/>
      <c r="L1098" s="41"/>
      <c r="M1098" s="41"/>
    </row>
    <row r="1099">
      <c r="H1099" s="41"/>
      <c r="I1099" s="41"/>
      <c r="J1099" s="41"/>
      <c r="K1099" s="41"/>
      <c r="L1099" s="41"/>
      <c r="M1099" s="41"/>
    </row>
    <row r="1100">
      <c r="H1100" s="41"/>
      <c r="I1100" s="41"/>
      <c r="J1100" s="41"/>
      <c r="K1100" s="41"/>
      <c r="L1100" s="41"/>
      <c r="M1100" s="41"/>
    </row>
    <row r="1101">
      <c r="H1101" s="41"/>
      <c r="I1101" s="41"/>
      <c r="J1101" s="41"/>
      <c r="K1101" s="41"/>
      <c r="L1101" s="41"/>
      <c r="M1101" s="41"/>
    </row>
    <row r="1102">
      <c r="H1102" s="41"/>
      <c r="I1102" s="41"/>
      <c r="J1102" s="41"/>
      <c r="K1102" s="41"/>
      <c r="L1102" s="41"/>
      <c r="M1102" s="41"/>
    </row>
    <row r="1103">
      <c r="H1103" s="41"/>
      <c r="I1103" s="41"/>
      <c r="J1103" s="41"/>
      <c r="K1103" s="41"/>
      <c r="L1103" s="41"/>
      <c r="M1103" s="41"/>
    </row>
    <row r="1104">
      <c r="H1104" s="41"/>
      <c r="I1104" s="41"/>
      <c r="J1104" s="41"/>
      <c r="K1104" s="41"/>
      <c r="L1104" s="41"/>
      <c r="M1104" s="41"/>
    </row>
  </sheetData>
  <autoFilter ref="$A$1:$M$981">
    <sortState ref="A1:M981">
      <sortCondition ref="M1:M981"/>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38"/>
    <col customWidth="1" min="2" max="2" width="19.63"/>
    <col customWidth="1" min="3" max="3" width="22.5"/>
    <col customWidth="1" min="6" max="6" width="14.0"/>
    <col customWidth="1" min="7" max="7" width="19.63"/>
    <col customWidth="1" min="10" max="10" width="21.63"/>
  </cols>
  <sheetData>
    <row r="1">
      <c r="F1" s="37" t="s">
        <v>4222</v>
      </c>
      <c r="G1" s="37" t="s">
        <v>2959</v>
      </c>
      <c r="H1" s="37" t="s">
        <v>4223</v>
      </c>
      <c r="I1" s="37" t="s">
        <v>4224</v>
      </c>
      <c r="J1" s="37" t="s">
        <v>4</v>
      </c>
    </row>
    <row r="2">
      <c r="F2" s="49" t="s">
        <v>2965</v>
      </c>
      <c r="G2" s="49" t="s">
        <v>2964</v>
      </c>
      <c r="H2" s="49">
        <v>100.0</v>
      </c>
      <c r="I2" s="50">
        <v>46158.0</v>
      </c>
      <c r="J2" s="49"/>
    </row>
    <row r="3">
      <c r="F3" s="51" t="s">
        <v>3204</v>
      </c>
      <c r="G3" s="49" t="s">
        <v>2964</v>
      </c>
      <c r="H3" s="49">
        <v>9.0</v>
      </c>
      <c r="I3" s="52"/>
      <c r="J3" s="52"/>
    </row>
    <row r="4">
      <c r="F4" s="53"/>
      <c r="G4" s="49" t="s">
        <v>3147</v>
      </c>
      <c r="H4" s="49">
        <v>80.0</v>
      </c>
      <c r="I4" s="53"/>
      <c r="J4" s="53"/>
    </row>
    <row r="5">
      <c r="F5" s="54"/>
      <c r="G5" s="49" t="s">
        <v>3162</v>
      </c>
      <c r="H5" s="49">
        <v>11.0</v>
      </c>
      <c r="I5" s="54"/>
      <c r="J5" s="54"/>
    </row>
    <row r="6">
      <c r="F6" s="49" t="s">
        <v>3315</v>
      </c>
      <c r="G6" s="49" t="s">
        <v>3162</v>
      </c>
      <c r="H6" s="49">
        <v>100.0</v>
      </c>
      <c r="I6" s="49"/>
      <c r="J6" s="49"/>
    </row>
    <row r="7">
      <c r="F7" s="51" t="s">
        <v>3430</v>
      </c>
      <c r="G7" s="49" t="s">
        <v>3162</v>
      </c>
      <c r="H7" s="49">
        <v>66.0</v>
      </c>
      <c r="I7" s="52"/>
      <c r="J7" s="52"/>
    </row>
    <row r="8">
      <c r="F8" s="54"/>
      <c r="G8" s="49" t="s">
        <v>3172</v>
      </c>
      <c r="H8" s="49">
        <v>34.0</v>
      </c>
      <c r="I8" s="54"/>
      <c r="J8" s="54"/>
    </row>
    <row r="9">
      <c r="F9" s="51" t="s">
        <v>3550</v>
      </c>
      <c r="G9" s="49" t="s">
        <v>3172</v>
      </c>
      <c r="H9" s="49">
        <v>68.0</v>
      </c>
      <c r="I9" s="52"/>
      <c r="J9" s="52"/>
    </row>
    <row r="10">
      <c r="F10" s="54"/>
      <c r="G10" s="49" t="s">
        <v>3177</v>
      </c>
      <c r="H10" s="49">
        <v>32.0</v>
      </c>
      <c r="I10" s="54"/>
      <c r="J10" s="54"/>
    </row>
    <row r="11">
      <c r="F11" s="51" t="s">
        <v>3664</v>
      </c>
      <c r="G11" s="49" t="s">
        <v>3177</v>
      </c>
      <c r="H11" s="49">
        <v>97.0</v>
      </c>
      <c r="I11" s="52"/>
      <c r="J11" s="52"/>
    </row>
    <row r="12">
      <c r="F12" s="54"/>
      <c r="G12" s="49" t="s">
        <v>3193</v>
      </c>
      <c r="H12" s="49">
        <v>3.0</v>
      </c>
      <c r="I12" s="54"/>
      <c r="J12" s="54"/>
    </row>
    <row r="13">
      <c r="D13" s="47"/>
      <c r="F13" s="51" t="s">
        <v>3787</v>
      </c>
      <c r="G13" s="49" t="s">
        <v>3081</v>
      </c>
      <c r="H13" s="49">
        <v>15.0</v>
      </c>
      <c r="I13" s="52"/>
      <c r="J13" s="52"/>
    </row>
    <row r="14">
      <c r="F14" s="54"/>
      <c r="G14" s="49" t="s">
        <v>3193</v>
      </c>
      <c r="H14" s="49">
        <v>85.0</v>
      </c>
      <c r="I14" s="54"/>
      <c r="J14" s="54"/>
    </row>
    <row r="15">
      <c r="F15" s="51" t="s">
        <v>3915</v>
      </c>
      <c r="G15" s="49" t="s">
        <v>3081</v>
      </c>
      <c r="H15" s="49">
        <v>84.0</v>
      </c>
      <c r="I15" s="52"/>
      <c r="J15" s="52"/>
    </row>
    <row r="16">
      <c r="F16" s="54"/>
      <c r="G16" s="49" t="s">
        <v>3106</v>
      </c>
      <c r="H16" s="49">
        <v>16.0</v>
      </c>
      <c r="I16" s="54"/>
      <c r="J16" s="54"/>
    </row>
    <row r="17">
      <c r="F17" s="49" t="s">
        <v>4061</v>
      </c>
      <c r="G17" s="49" t="s">
        <v>3106</v>
      </c>
      <c r="H17" s="49">
        <v>108.0</v>
      </c>
      <c r="I17" s="49"/>
      <c r="J17" s="49"/>
    </row>
    <row r="18">
      <c r="F18" s="51" t="s">
        <v>3083</v>
      </c>
      <c r="G18" s="49" t="s">
        <v>3081</v>
      </c>
      <c r="H18" s="49">
        <v>10.0</v>
      </c>
      <c r="I18" s="52"/>
      <c r="J18" s="55" t="s">
        <v>4229</v>
      </c>
    </row>
    <row r="19">
      <c r="F19" s="53"/>
      <c r="G19" s="49" t="s">
        <v>3106</v>
      </c>
      <c r="H19" s="49">
        <v>11.0</v>
      </c>
      <c r="I19" s="53"/>
      <c r="J19" s="53"/>
    </row>
    <row r="20">
      <c r="F20" s="53"/>
      <c r="G20" s="49" t="s">
        <v>2964</v>
      </c>
      <c r="H20" s="49">
        <v>10.0</v>
      </c>
      <c r="I20" s="53"/>
      <c r="J20" s="53"/>
    </row>
    <row r="21">
      <c r="F21" s="53"/>
      <c r="G21" s="49" t="s">
        <v>3147</v>
      </c>
      <c r="H21" s="49">
        <v>10.0</v>
      </c>
      <c r="I21" s="53"/>
      <c r="J21" s="53"/>
    </row>
    <row r="22">
      <c r="F22" s="53"/>
      <c r="G22" s="49" t="s">
        <v>3162</v>
      </c>
      <c r="H22" s="49">
        <v>6.0</v>
      </c>
      <c r="I22" s="53"/>
      <c r="J22" s="53"/>
    </row>
    <row r="23">
      <c r="F23" s="53"/>
      <c r="G23" s="49" t="s">
        <v>3172</v>
      </c>
      <c r="H23" s="49">
        <v>3.0</v>
      </c>
      <c r="I23" s="53"/>
      <c r="J23" s="53"/>
    </row>
    <row r="24">
      <c r="F24" s="53"/>
      <c r="G24" s="49" t="s">
        <v>3177</v>
      </c>
      <c r="H24" s="49">
        <v>9.0</v>
      </c>
      <c r="I24" s="53"/>
      <c r="J24" s="53"/>
    </row>
    <row r="25">
      <c r="F25" s="54"/>
      <c r="G25" s="49" t="s">
        <v>3193</v>
      </c>
      <c r="H25" s="49">
        <v>7.0</v>
      </c>
      <c r="I25" s="54"/>
      <c r="J25" s="54"/>
    </row>
    <row r="26">
      <c r="F26" s="41"/>
      <c r="G26" s="41"/>
      <c r="H26" s="41"/>
      <c r="I26" s="41"/>
      <c r="J26" s="41"/>
    </row>
    <row r="27">
      <c r="F27" s="41"/>
      <c r="G27" s="41"/>
      <c r="H27" s="41"/>
      <c r="I27" s="41"/>
      <c r="J27" s="41"/>
    </row>
    <row r="28">
      <c r="F28" s="41"/>
      <c r="G28" s="41"/>
      <c r="H28" s="41"/>
      <c r="I28" s="41"/>
      <c r="J28" s="41"/>
    </row>
    <row r="29">
      <c r="F29" s="41"/>
      <c r="G29" s="41"/>
      <c r="H29" s="41"/>
      <c r="I29" s="41"/>
      <c r="J29" s="41"/>
    </row>
    <row r="30">
      <c r="F30" s="41"/>
      <c r="G30" s="41"/>
      <c r="H30" s="41"/>
      <c r="I30" s="41"/>
      <c r="J30" s="41"/>
    </row>
    <row r="31">
      <c r="F31" s="41"/>
      <c r="G31" s="41"/>
      <c r="H31" s="41"/>
      <c r="I31" s="41"/>
      <c r="J31" s="41"/>
    </row>
    <row r="32">
      <c r="F32" s="41"/>
      <c r="G32" s="41"/>
      <c r="H32" s="41"/>
      <c r="I32" s="41"/>
      <c r="J32" s="41"/>
    </row>
    <row r="33">
      <c r="F33" s="41"/>
      <c r="G33" s="41"/>
      <c r="H33" s="41"/>
      <c r="I33" s="41"/>
      <c r="J33" s="41"/>
    </row>
    <row r="34">
      <c r="F34" s="41"/>
      <c r="G34" s="41"/>
      <c r="H34" s="41"/>
      <c r="I34" s="41"/>
      <c r="J34" s="41"/>
    </row>
    <row r="35">
      <c r="F35" s="41"/>
      <c r="G35" s="41"/>
      <c r="H35" s="41"/>
      <c r="I35" s="41"/>
      <c r="J35" s="41"/>
    </row>
    <row r="36">
      <c r="F36" s="41"/>
      <c r="G36" s="41"/>
      <c r="H36" s="41"/>
      <c r="I36" s="41"/>
      <c r="J36" s="41"/>
    </row>
    <row r="37">
      <c r="A37" s="41"/>
      <c r="B37" s="41"/>
      <c r="C37" s="41"/>
      <c r="F37" s="41"/>
      <c r="G37" s="41"/>
      <c r="H37" s="41"/>
      <c r="I37" s="41"/>
      <c r="J37" s="41"/>
    </row>
    <row r="38">
      <c r="A38" s="41"/>
      <c r="B38" s="41"/>
      <c r="C38" s="41"/>
      <c r="F38" s="41"/>
      <c r="G38" s="41"/>
      <c r="H38" s="41"/>
      <c r="I38" s="41"/>
      <c r="J38" s="41"/>
    </row>
    <row r="39">
      <c r="A39" s="41"/>
      <c r="B39" s="41"/>
      <c r="C39" s="41"/>
      <c r="F39" s="41"/>
      <c r="G39" s="41"/>
      <c r="H39" s="41"/>
      <c r="I39" s="41"/>
      <c r="J39" s="41"/>
    </row>
    <row r="40">
      <c r="A40" s="41"/>
      <c r="B40" s="41"/>
      <c r="C40" s="41"/>
      <c r="F40" s="41"/>
      <c r="G40" s="41"/>
      <c r="H40" s="41"/>
      <c r="I40" s="41"/>
      <c r="J40" s="41"/>
    </row>
    <row r="41">
      <c r="A41" s="41"/>
      <c r="B41" s="41"/>
      <c r="C41" s="41"/>
      <c r="F41" s="41"/>
      <c r="G41" s="41"/>
      <c r="H41" s="41"/>
      <c r="I41" s="41"/>
      <c r="J41" s="41"/>
    </row>
    <row r="42">
      <c r="A42" s="41"/>
      <c r="B42" s="41"/>
      <c r="C42" s="41"/>
      <c r="F42" s="41"/>
      <c r="G42" s="41"/>
      <c r="H42" s="41"/>
      <c r="I42" s="41"/>
      <c r="J42" s="41"/>
    </row>
    <row r="43">
      <c r="A43" s="41"/>
      <c r="B43" s="41"/>
      <c r="C43" s="41"/>
      <c r="F43" s="41"/>
      <c r="G43" s="41"/>
      <c r="H43" s="41"/>
      <c r="I43" s="41"/>
      <c r="J43" s="41"/>
    </row>
    <row r="44">
      <c r="A44" s="41"/>
      <c r="B44" s="41"/>
      <c r="C44" s="41"/>
      <c r="F44" s="41"/>
      <c r="G44" s="41"/>
      <c r="H44" s="41"/>
      <c r="I44" s="41"/>
      <c r="J44" s="41"/>
    </row>
    <row r="45">
      <c r="A45" s="41"/>
      <c r="B45" s="41"/>
      <c r="C45" s="41"/>
      <c r="F45" s="41"/>
      <c r="G45" s="41"/>
      <c r="H45" s="41"/>
      <c r="I45" s="41"/>
      <c r="J45" s="41"/>
    </row>
    <row r="46">
      <c r="A46" s="41"/>
      <c r="B46" s="41"/>
      <c r="C46" s="41"/>
      <c r="F46" s="41"/>
      <c r="G46" s="41"/>
      <c r="H46" s="41"/>
      <c r="I46" s="41"/>
      <c r="J46" s="41"/>
    </row>
    <row r="47">
      <c r="A47" s="41"/>
      <c r="B47" s="41"/>
      <c r="C47" s="41"/>
      <c r="F47" s="41"/>
      <c r="G47" s="41"/>
      <c r="H47" s="41"/>
      <c r="I47" s="41"/>
      <c r="J47" s="41"/>
    </row>
    <row r="48">
      <c r="A48" s="41"/>
      <c r="B48" s="41"/>
      <c r="C48" s="41"/>
      <c r="F48" s="41"/>
      <c r="G48" s="41"/>
      <c r="H48" s="41"/>
      <c r="I48" s="41"/>
      <c r="J48" s="41"/>
    </row>
    <row r="49">
      <c r="A49" s="41"/>
      <c r="B49" s="41"/>
      <c r="C49" s="41"/>
      <c r="F49" s="41"/>
      <c r="G49" s="41"/>
      <c r="H49" s="41"/>
      <c r="I49" s="41"/>
      <c r="J49" s="41"/>
    </row>
    <row r="50">
      <c r="A50" s="41"/>
      <c r="B50" s="41"/>
      <c r="C50" s="41"/>
      <c r="F50" s="41"/>
      <c r="G50" s="41"/>
      <c r="H50" s="41"/>
      <c r="I50" s="41"/>
      <c r="J50" s="41"/>
    </row>
    <row r="51">
      <c r="A51" s="41"/>
      <c r="B51" s="41"/>
      <c r="C51" s="41"/>
      <c r="F51" s="41"/>
      <c r="G51" s="41"/>
      <c r="H51" s="41"/>
      <c r="I51" s="41"/>
      <c r="J51" s="41"/>
    </row>
    <row r="52">
      <c r="A52" s="41"/>
      <c r="B52" s="41"/>
      <c r="C52" s="41"/>
      <c r="F52" s="41"/>
      <c r="G52" s="41"/>
      <c r="H52" s="41"/>
      <c r="I52" s="41"/>
      <c r="J52" s="41"/>
    </row>
    <row r="53">
      <c r="A53" s="41"/>
      <c r="B53" s="41"/>
      <c r="C53" s="41"/>
      <c r="F53" s="41"/>
      <c r="G53" s="41"/>
      <c r="H53" s="41"/>
      <c r="I53" s="41"/>
      <c r="J53" s="41"/>
    </row>
    <row r="54">
      <c r="A54" s="41"/>
      <c r="B54" s="41"/>
      <c r="C54" s="41"/>
      <c r="F54" s="41"/>
      <c r="G54" s="41"/>
      <c r="H54" s="41"/>
      <c r="I54" s="41"/>
      <c r="J54" s="41"/>
    </row>
    <row r="55">
      <c r="A55" s="41"/>
      <c r="B55" s="41"/>
      <c r="C55" s="41"/>
      <c r="F55" s="41"/>
      <c r="G55" s="41"/>
      <c r="H55" s="41"/>
      <c r="I55" s="41"/>
      <c r="J55" s="41"/>
    </row>
    <row r="56">
      <c r="A56" s="41"/>
      <c r="B56" s="41"/>
      <c r="C56" s="41"/>
      <c r="F56" s="41"/>
      <c r="G56" s="41"/>
      <c r="H56" s="41"/>
      <c r="I56" s="41"/>
      <c r="J56" s="41"/>
    </row>
    <row r="57">
      <c r="A57" s="41"/>
      <c r="B57" s="41"/>
      <c r="C57" s="41"/>
      <c r="F57" s="41"/>
      <c r="G57" s="41"/>
      <c r="H57" s="41"/>
      <c r="I57" s="41"/>
      <c r="J57" s="41"/>
    </row>
    <row r="58">
      <c r="A58" s="41"/>
      <c r="B58" s="41"/>
      <c r="C58" s="41"/>
      <c r="F58" s="41"/>
      <c r="G58" s="41"/>
      <c r="H58" s="41"/>
      <c r="I58" s="41"/>
      <c r="J58" s="41"/>
    </row>
    <row r="59">
      <c r="A59" s="41"/>
      <c r="B59" s="41"/>
      <c r="C59" s="41"/>
      <c r="F59" s="41"/>
      <c r="G59" s="41"/>
      <c r="H59" s="41"/>
      <c r="I59" s="41"/>
      <c r="J59" s="41"/>
    </row>
    <row r="60">
      <c r="A60" s="41"/>
      <c r="B60" s="41"/>
      <c r="C60" s="41"/>
      <c r="F60" s="41"/>
      <c r="G60" s="41"/>
      <c r="H60" s="41"/>
      <c r="I60" s="41"/>
      <c r="J60" s="41"/>
    </row>
    <row r="61">
      <c r="A61" s="41"/>
      <c r="B61" s="41"/>
      <c r="C61" s="41"/>
      <c r="F61" s="41"/>
      <c r="G61" s="41"/>
      <c r="H61" s="41"/>
      <c r="I61" s="41"/>
      <c r="J61" s="41"/>
    </row>
    <row r="62">
      <c r="A62" s="41"/>
      <c r="B62" s="41"/>
      <c r="C62" s="41"/>
      <c r="F62" s="41"/>
      <c r="G62" s="41"/>
      <c r="H62" s="41"/>
      <c r="I62" s="41"/>
      <c r="J62" s="41"/>
    </row>
    <row r="63">
      <c r="A63" s="41"/>
      <c r="B63" s="41"/>
      <c r="C63" s="41"/>
      <c r="F63" s="41"/>
      <c r="G63" s="41"/>
      <c r="H63" s="41"/>
      <c r="I63" s="41"/>
      <c r="J63" s="41"/>
    </row>
    <row r="64">
      <c r="A64" s="41"/>
      <c r="B64" s="41"/>
      <c r="C64" s="41"/>
      <c r="F64" s="41"/>
      <c r="G64" s="41"/>
      <c r="H64" s="41"/>
      <c r="I64" s="41"/>
      <c r="J64" s="41"/>
    </row>
    <row r="65">
      <c r="A65" s="41"/>
      <c r="B65" s="41"/>
      <c r="C65" s="41"/>
      <c r="F65" s="41"/>
      <c r="G65" s="41"/>
      <c r="H65" s="41"/>
      <c r="I65" s="41"/>
      <c r="J65" s="41"/>
    </row>
    <row r="66">
      <c r="A66" s="41"/>
      <c r="B66" s="41"/>
      <c r="C66" s="41"/>
      <c r="F66" s="41"/>
      <c r="G66" s="41"/>
      <c r="H66" s="41"/>
      <c r="I66" s="41"/>
      <c r="J66" s="41"/>
    </row>
    <row r="67">
      <c r="A67" s="41"/>
      <c r="B67" s="41"/>
      <c r="C67" s="41"/>
      <c r="F67" s="41"/>
      <c r="G67" s="41"/>
      <c r="H67" s="41"/>
      <c r="I67" s="41"/>
      <c r="J67" s="41"/>
    </row>
    <row r="68">
      <c r="A68" s="41"/>
      <c r="B68" s="41"/>
      <c r="C68" s="41"/>
      <c r="F68" s="41"/>
      <c r="G68" s="41"/>
      <c r="H68" s="41"/>
      <c r="I68" s="41"/>
      <c r="J68" s="41"/>
    </row>
    <row r="69">
      <c r="A69" s="41"/>
      <c r="B69" s="41"/>
      <c r="C69" s="41"/>
      <c r="F69" s="41"/>
      <c r="G69" s="41"/>
      <c r="H69" s="41"/>
      <c r="I69" s="41"/>
      <c r="J69" s="41"/>
    </row>
    <row r="70">
      <c r="A70" s="41"/>
      <c r="B70" s="41"/>
      <c r="C70" s="41"/>
      <c r="F70" s="41"/>
      <c r="G70" s="41"/>
      <c r="H70" s="41"/>
      <c r="I70" s="41"/>
      <c r="J70" s="41"/>
    </row>
    <row r="71">
      <c r="A71" s="41"/>
      <c r="B71" s="41"/>
      <c r="C71" s="41"/>
      <c r="F71" s="41"/>
      <c r="G71" s="41"/>
      <c r="H71" s="41"/>
      <c r="I71" s="41"/>
      <c r="J71" s="41"/>
    </row>
    <row r="72">
      <c r="A72" s="41"/>
      <c r="B72" s="41"/>
      <c r="C72" s="41"/>
      <c r="F72" s="41"/>
      <c r="G72" s="41"/>
      <c r="H72" s="41"/>
      <c r="I72" s="41"/>
      <c r="J72" s="41"/>
    </row>
    <row r="73">
      <c r="A73" s="41"/>
      <c r="B73" s="41"/>
      <c r="C73" s="41"/>
      <c r="F73" s="41"/>
      <c r="G73" s="41"/>
      <c r="H73" s="41"/>
      <c r="I73" s="41"/>
      <c r="J73" s="41"/>
    </row>
    <row r="74">
      <c r="A74" s="41"/>
      <c r="B74" s="41"/>
      <c r="C74" s="41"/>
      <c r="F74" s="41"/>
      <c r="G74" s="41"/>
      <c r="H74" s="41"/>
      <c r="I74" s="41"/>
      <c r="J74" s="41"/>
    </row>
    <row r="75">
      <c r="A75" s="41"/>
      <c r="B75" s="41"/>
      <c r="C75" s="41"/>
      <c r="F75" s="41"/>
      <c r="G75" s="41"/>
      <c r="H75" s="41"/>
      <c r="I75" s="41"/>
      <c r="J75" s="41"/>
    </row>
    <row r="76">
      <c r="A76" s="41"/>
      <c r="B76" s="41"/>
      <c r="C76" s="41"/>
      <c r="F76" s="41"/>
      <c r="G76" s="41"/>
      <c r="H76" s="41"/>
      <c r="I76" s="41"/>
      <c r="J76" s="41"/>
    </row>
    <row r="77">
      <c r="A77" s="41"/>
      <c r="B77" s="41"/>
      <c r="C77" s="41"/>
      <c r="F77" s="41"/>
      <c r="G77" s="41"/>
      <c r="H77" s="41"/>
      <c r="I77" s="41"/>
      <c r="J77" s="41"/>
    </row>
    <row r="78">
      <c r="A78" s="41"/>
      <c r="B78" s="41"/>
      <c r="C78" s="41"/>
      <c r="F78" s="41"/>
      <c r="G78" s="41"/>
      <c r="H78" s="41"/>
      <c r="I78" s="41"/>
      <c r="J78" s="41"/>
    </row>
    <row r="79">
      <c r="A79" s="41"/>
      <c r="B79" s="41"/>
      <c r="C79" s="41"/>
      <c r="F79" s="41"/>
      <c r="G79" s="41"/>
      <c r="H79" s="41"/>
      <c r="I79" s="41"/>
      <c r="J79" s="41"/>
    </row>
    <row r="80">
      <c r="A80" s="41"/>
      <c r="B80" s="41"/>
      <c r="C80" s="41"/>
      <c r="F80" s="41"/>
      <c r="G80" s="41"/>
      <c r="H80" s="41"/>
      <c r="I80" s="41"/>
      <c r="J80" s="41"/>
    </row>
    <row r="81">
      <c r="A81" s="41"/>
      <c r="B81" s="41"/>
      <c r="C81" s="41"/>
      <c r="F81" s="41"/>
      <c r="G81" s="41"/>
      <c r="H81" s="41"/>
      <c r="I81" s="41"/>
      <c r="J81" s="41"/>
    </row>
    <row r="82">
      <c r="A82" s="41"/>
      <c r="B82" s="41"/>
      <c r="C82" s="41"/>
      <c r="F82" s="41"/>
      <c r="G82" s="41"/>
      <c r="H82" s="41"/>
      <c r="I82" s="41"/>
      <c r="J82" s="41"/>
    </row>
    <row r="83">
      <c r="A83" s="41"/>
      <c r="B83" s="41"/>
      <c r="C83" s="41"/>
      <c r="F83" s="41"/>
      <c r="G83" s="41"/>
      <c r="H83" s="41"/>
      <c r="I83" s="41"/>
      <c r="J83" s="41"/>
    </row>
    <row r="84">
      <c r="A84" s="41"/>
      <c r="B84" s="41"/>
      <c r="C84" s="41"/>
      <c r="F84" s="41"/>
      <c r="G84" s="41"/>
      <c r="H84" s="41"/>
      <c r="I84" s="41"/>
      <c r="J84" s="41"/>
    </row>
    <row r="85">
      <c r="A85" s="41"/>
      <c r="B85" s="41"/>
      <c r="C85" s="41"/>
      <c r="F85" s="41"/>
      <c r="G85" s="41"/>
      <c r="H85" s="41"/>
      <c r="I85" s="41"/>
      <c r="J85" s="41"/>
    </row>
    <row r="86">
      <c r="A86" s="41"/>
      <c r="B86" s="41"/>
      <c r="C86" s="41"/>
      <c r="F86" s="41"/>
      <c r="G86" s="41"/>
      <c r="H86" s="41"/>
      <c r="I86" s="41"/>
      <c r="J86" s="41"/>
    </row>
    <row r="87">
      <c r="A87" s="41"/>
      <c r="B87" s="41"/>
      <c r="C87" s="41"/>
      <c r="F87" s="41"/>
      <c r="G87" s="41"/>
      <c r="H87" s="41"/>
      <c r="I87" s="41"/>
      <c r="J87" s="41"/>
    </row>
    <row r="88">
      <c r="A88" s="41"/>
      <c r="B88" s="41"/>
      <c r="C88" s="41"/>
      <c r="F88" s="41"/>
      <c r="G88" s="41"/>
      <c r="H88" s="41"/>
      <c r="I88" s="41"/>
      <c r="J88" s="41"/>
    </row>
    <row r="89">
      <c r="A89" s="41"/>
      <c r="B89" s="41"/>
      <c r="C89" s="41"/>
      <c r="F89" s="41"/>
      <c r="G89" s="41"/>
      <c r="H89" s="41"/>
      <c r="I89" s="41"/>
      <c r="J89" s="41"/>
    </row>
    <row r="90">
      <c r="A90" s="41"/>
      <c r="B90" s="41"/>
      <c r="C90" s="41"/>
      <c r="F90" s="41"/>
      <c r="G90" s="41"/>
      <c r="H90" s="41"/>
      <c r="I90" s="41"/>
      <c r="J90" s="41"/>
    </row>
    <row r="91">
      <c r="A91" s="41"/>
      <c r="B91" s="41"/>
      <c r="C91" s="41"/>
      <c r="F91" s="41"/>
      <c r="G91" s="41"/>
      <c r="H91" s="41"/>
      <c r="I91" s="41"/>
      <c r="J91" s="41"/>
    </row>
    <row r="92">
      <c r="A92" s="41"/>
      <c r="B92" s="41"/>
      <c r="C92" s="41"/>
      <c r="F92" s="41"/>
      <c r="G92" s="41"/>
      <c r="H92" s="41"/>
      <c r="I92" s="41"/>
      <c r="J92" s="41"/>
    </row>
    <row r="93">
      <c r="A93" s="41"/>
      <c r="B93" s="41"/>
      <c r="C93" s="41"/>
      <c r="F93" s="41"/>
      <c r="G93" s="41"/>
      <c r="H93" s="41"/>
      <c r="I93" s="41"/>
      <c r="J93" s="41"/>
    </row>
    <row r="94">
      <c r="A94" s="41"/>
      <c r="B94" s="41"/>
      <c r="C94" s="41"/>
      <c r="F94" s="41"/>
      <c r="G94" s="41"/>
      <c r="H94" s="41"/>
      <c r="I94" s="41"/>
      <c r="J94" s="41"/>
    </row>
    <row r="95">
      <c r="A95" s="41"/>
      <c r="B95" s="41"/>
      <c r="C95" s="41"/>
      <c r="F95" s="41"/>
      <c r="G95" s="41"/>
      <c r="H95" s="41"/>
      <c r="I95" s="41"/>
      <c r="J95" s="41"/>
    </row>
    <row r="96">
      <c r="A96" s="41"/>
      <c r="B96" s="41"/>
      <c r="C96" s="41"/>
      <c r="F96" s="41"/>
      <c r="G96" s="41"/>
      <c r="H96" s="41"/>
      <c r="I96" s="41"/>
      <c r="J96" s="41"/>
    </row>
    <row r="97">
      <c r="A97" s="41"/>
      <c r="B97" s="41"/>
      <c r="C97" s="41"/>
      <c r="F97" s="41"/>
      <c r="G97" s="41"/>
      <c r="H97" s="41"/>
      <c r="I97" s="41"/>
      <c r="J97" s="41"/>
    </row>
    <row r="98">
      <c r="A98" s="41"/>
      <c r="B98" s="41"/>
      <c r="C98" s="41"/>
      <c r="F98" s="41"/>
      <c r="G98" s="41"/>
      <c r="H98" s="41"/>
      <c r="I98" s="41"/>
      <c r="J98" s="41"/>
    </row>
    <row r="99">
      <c r="A99" s="41"/>
      <c r="B99" s="41"/>
      <c r="C99" s="41"/>
      <c r="F99" s="41"/>
      <c r="G99" s="41"/>
      <c r="H99" s="41"/>
      <c r="I99" s="41"/>
      <c r="J99" s="41"/>
    </row>
    <row r="100">
      <c r="A100" s="41"/>
      <c r="B100" s="41"/>
      <c r="C100" s="41"/>
      <c r="F100" s="41"/>
      <c r="G100" s="41"/>
      <c r="H100" s="41"/>
      <c r="I100" s="41"/>
      <c r="J100" s="41"/>
    </row>
    <row r="101">
      <c r="A101" s="41"/>
      <c r="B101" s="41"/>
      <c r="C101" s="41"/>
      <c r="F101" s="41"/>
      <c r="G101" s="41"/>
      <c r="H101" s="41"/>
      <c r="I101" s="41"/>
      <c r="J101" s="41"/>
    </row>
    <row r="102">
      <c r="A102" s="41"/>
      <c r="B102" s="41"/>
      <c r="C102" s="41"/>
      <c r="F102" s="41"/>
      <c r="G102" s="41"/>
      <c r="H102" s="41"/>
      <c r="I102" s="41"/>
      <c r="J102" s="41"/>
    </row>
    <row r="103">
      <c r="A103" s="41"/>
      <c r="B103" s="41"/>
      <c r="C103" s="41"/>
      <c r="F103" s="41"/>
      <c r="G103" s="41"/>
      <c r="H103" s="41"/>
      <c r="I103" s="41"/>
      <c r="J103" s="41"/>
    </row>
    <row r="104">
      <c r="A104" s="41"/>
      <c r="B104" s="41"/>
      <c r="C104" s="41"/>
      <c r="F104" s="41"/>
      <c r="G104" s="41"/>
      <c r="H104" s="41"/>
      <c r="I104" s="41"/>
      <c r="J104" s="41"/>
    </row>
    <row r="105">
      <c r="A105" s="41"/>
      <c r="B105" s="41"/>
      <c r="C105" s="41"/>
      <c r="F105" s="41"/>
      <c r="G105" s="41"/>
      <c r="H105" s="41"/>
      <c r="I105" s="41"/>
      <c r="J105" s="41"/>
    </row>
    <row r="106">
      <c r="A106" s="41"/>
      <c r="B106" s="41"/>
      <c r="C106" s="41"/>
      <c r="F106" s="41"/>
      <c r="G106" s="41"/>
      <c r="H106" s="41"/>
      <c r="I106" s="41"/>
      <c r="J106" s="41"/>
    </row>
    <row r="107">
      <c r="A107" s="41"/>
      <c r="B107" s="41"/>
      <c r="C107" s="41"/>
      <c r="F107" s="41"/>
      <c r="G107" s="41"/>
      <c r="H107" s="41"/>
      <c r="I107" s="41"/>
      <c r="J107" s="41"/>
    </row>
    <row r="108">
      <c r="A108" s="41"/>
      <c r="B108" s="41"/>
      <c r="C108" s="41"/>
      <c r="F108" s="41"/>
      <c r="G108" s="41"/>
      <c r="H108" s="41"/>
      <c r="I108" s="41"/>
      <c r="J108" s="41"/>
    </row>
    <row r="109">
      <c r="A109" s="41"/>
      <c r="B109" s="41"/>
      <c r="C109" s="41"/>
      <c r="F109" s="41"/>
      <c r="G109" s="41"/>
      <c r="H109" s="41"/>
      <c r="I109" s="41"/>
      <c r="J109" s="41"/>
    </row>
    <row r="110">
      <c r="A110" s="41"/>
      <c r="B110" s="41"/>
      <c r="C110" s="41"/>
      <c r="F110" s="41"/>
      <c r="G110" s="41"/>
      <c r="H110" s="41"/>
      <c r="I110" s="41"/>
      <c r="J110" s="41"/>
    </row>
    <row r="111">
      <c r="A111" s="41"/>
      <c r="B111" s="41"/>
      <c r="C111" s="41"/>
      <c r="F111" s="41"/>
      <c r="G111" s="41"/>
      <c r="H111" s="41"/>
      <c r="I111" s="41"/>
      <c r="J111" s="41"/>
    </row>
    <row r="112">
      <c r="A112" s="41"/>
      <c r="B112" s="41"/>
      <c r="C112" s="41"/>
      <c r="F112" s="41"/>
      <c r="G112" s="41"/>
      <c r="H112" s="41"/>
      <c r="I112" s="41"/>
      <c r="J112" s="41"/>
    </row>
    <row r="113">
      <c r="A113" s="41"/>
      <c r="B113" s="41"/>
      <c r="C113" s="41"/>
      <c r="F113" s="41"/>
      <c r="G113" s="41"/>
      <c r="H113" s="41"/>
      <c r="I113" s="41"/>
      <c r="J113" s="41"/>
    </row>
    <row r="114">
      <c r="A114" s="41"/>
      <c r="B114" s="41"/>
      <c r="C114" s="41"/>
      <c r="F114" s="41"/>
      <c r="G114" s="41"/>
      <c r="H114" s="41"/>
      <c r="I114" s="41"/>
      <c r="J114" s="41"/>
    </row>
    <row r="115">
      <c r="A115" s="41"/>
      <c r="B115" s="41"/>
      <c r="C115" s="41"/>
      <c r="F115" s="41"/>
      <c r="G115" s="41"/>
      <c r="H115" s="41"/>
      <c r="I115" s="41"/>
      <c r="J115" s="41"/>
    </row>
    <row r="116">
      <c r="A116" s="41"/>
      <c r="B116" s="41"/>
      <c r="C116" s="41"/>
      <c r="F116" s="41"/>
      <c r="G116" s="41"/>
      <c r="H116" s="41"/>
      <c r="I116" s="41"/>
      <c r="J116" s="41"/>
    </row>
    <row r="117">
      <c r="A117" s="41"/>
      <c r="B117" s="41"/>
      <c r="C117" s="41"/>
      <c r="F117" s="41"/>
      <c r="G117" s="41"/>
      <c r="H117" s="41"/>
      <c r="I117" s="41"/>
      <c r="J117" s="41"/>
    </row>
    <row r="118">
      <c r="A118" s="41"/>
      <c r="B118" s="41"/>
      <c r="C118" s="41"/>
      <c r="F118" s="41"/>
      <c r="G118" s="41"/>
      <c r="H118" s="41"/>
      <c r="I118" s="41"/>
      <c r="J118" s="41"/>
    </row>
    <row r="119">
      <c r="A119" s="41"/>
      <c r="B119" s="41"/>
      <c r="C119" s="41"/>
      <c r="F119" s="41"/>
      <c r="G119" s="41"/>
      <c r="H119" s="41"/>
      <c r="I119" s="41"/>
      <c r="J119" s="41"/>
    </row>
    <row r="120">
      <c r="A120" s="41"/>
      <c r="B120" s="41"/>
      <c r="C120" s="41"/>
      <c r="F120" s="41"/>
      <c r="G120" s="41"/>
      <c r="H120" s="41"/>
      <c r="I120" s="41"/>
      <c r="J120" s="41"/>
    </row>
    <row r="121">
      <c r="A121" s="41"/>
      <c r="B121" s="41"/>
      <c r="C121" s="41"/>
      <c r="F121" s="41"/>
      <c r="G121" s="41"/>
      <c r="H121" s="41"/>
      <c r="I121" s="41"/>
      <c r="J121" s="41"/>
    </row>
    <row r="122">
      <c r="A122" s="41"/>
      <c r="B122" s="41"/>
      <c r="C122" s="41"/>
      <c r="F122" s="41"/>
      <c r="G122" s="41"/>
      <c r="H122" s="41"/>
      <c r="I122" s="41"/>
      <c r="J122" s="41"/>
    </row>
    <row r="123">
      <c r="A123" s="41"/>
      <c r="B123" s="41"/>
      <c r="C123" s="41"/>
      <c r="F123" s="41"/>
      <c r="G123" s="41"/>
      <c r="H123" s="41"/>
      <c r="I123" s="41"/>
      <c r="J123" s="41"/>
    </row>
    <row r="124">
      <c r="A124" s="41"/>
      <c r="B124" s="41"/>
      <c r="C124" s="41"/>
      <c r="F124" s="41"/>
      <c r="G124" s="41"/>
      <c r="H124" s="41"/>
      <c r="I124" s="41"/>
      <c r="J124" s="41"/>
    </row>
    <row r="125">
      <c r="A125" s="41"/>
      <c r="B125" s="41"/>
      <c r="C125" s="41"/>
      <c r="F125" s="41"/>
      <c r="G125" s="41"/>
      <c r="H125" s="41"/>
      <c r="I125" s="41"/>
      <c r="J125" s="41"/>
    </row>
    <row r="126">
      <c r="A126" s="41"/>
      <c r="B126" s="41"/>
      <c r="C126" s="41"/>
      <c r="F126" s="41"/>
      <c r="G126" s="41"/>
      <c r="H126" s="41"/>
      <c r="I126" s="41"/>
      <c r="J126" s="41"/>
    </row>
    <row r="127">
      <c r="A127" s="41"/>
      <c r="B127" s="41"/>
      <c r="C127" s="41"/>
      <c r="F127" s="41"/>
      <c r="G127" s="41"/>
      <c r="H127" s="41"/>
      <c r="I127" s="41"/>
      <c r="J127" s="41"/>
    </row>
    <row r="128">
      <c r="A128" s="41"/>
      <c r="B128" s="41"/>
      <c r="C128" s="41"/>
      <c r="F128" s="41"/>
      <c r="G128" s="41"/>
      <c r="H128" s="41"/>
      <c r="I128" s="41"/>
      <c r="J128" s="41"/>
    </row>
    <row r="129">
      <c r="A129" s="41"/>
      <c r="B129" s="41"/>
      <c r="C129" s="41"/>
      <c r="F129" s="41"/>
      <c r="G129" s="41"/>
      <c r="H129" s="41"/>
      <c r="I129" s="41"/>
      <c r="J129" s="41"/>
    </row>
    <row r="130">
      <c r="A130" s="41"/>
      <c r="B130" s="41"/>
      <c r="C130" s="41"/>
      <c r="F130" s="41"/>
      <c r="G130" s="41"/>
      <c r="H130" s="41"/>
      <c r="I130" s="41"/>
      <c r="J130" s="41"/>
    </row>
    <row r="131">
      <c r="A131" s="41"/>
      <c r="B131" s="41"/>
      <c r="C131" s="41"/>
      <c r="F131" s="41"/>
      <c r="G131" s="41"/>
      <c r="H131" s="41"/>
      <c r="I131" s="41"/>
      <c r="J131" s="41"/>
    </row>
    <row r="132">
      <c r="A132" s="41"/>
      <c r="B132" s="41"/>
      <c r="C132" s="41"/>
      <c r="F132" s="41"/>
      <c r="G132" s="41"/>
      <c r="H132" s="41"/>
      <c r="I132" s="41"/>
      <c r="J132" s="41"/>
    </row>
    <row r="133">
      <c r="A133" s="41"/>
      <c r="B133" s="41"/>
      <c r="C133" s="41"/>
      <c r="F133" s="41"/>
      <c r="G133" s="41"/>
      <c r="H133" s="41"/>
      <c r="I133" s="41"/>
      <c r="J133" s="41"/>
    </row>
    <row r="134">
      <c r="A134" s="41"/>
      <c r="B134" s="41"/>
      <c r="C134" s="41"/>
      <c r="F134" s="41"/>
      <c r="G134" s="41"/>
      <c r="H134" s="41"/>
      <c r="I134" s="41"/>
      <c r="J134" s="41"/>
    </row>
    <row r="135">
      <c r="A135" s="41"/>
      <c r="B135" s="41"/>
      <c r="C135" s="41"/>
      <c r="F135" s="41"/>
      <c r="G135" s="41"/>
      <c r="H135" s="41"/>
      <c r="I135" s="41"/>
      <c r="J135" s="41"/>
    </row>
    <row r="136">
      <c r="A136" s="41"/>
      <c r="B136" s="41"/>
      <c r="C136" s="41"/>
      <c r="F136" s="41"/>
      <c r="G136" s="41"/>
      <c r="H136" s="41"/>
      <c r="I136" s="41"/>
      <c r="J136" s="41"/>
    </row>
    <row r="137">
      <c r="A137" s="41"/>
      <c r="B137" s="41"/>
      <c r="C137" s="41"/>
      <c r="F137" s="41"/>
      <c r="G137" s="41"/>
      <c r="H137" s="41"/>
      <c r="I137" s="41"/>
      <c r="J137" s="41"/>
    </row>
    <row r="138">
      <c r="A138" s="41"/>
      <c r="B138" s="41"/>
      <c r="C138" s="41"/>
      <c r="F138" s="41"/>
      <c r="G138" s="41"/>
      <c r="H138" s="41"/>
      <c r="I138" s="41"/>
      <c r="J138" s="41"/>
    </row>
    <row r="139">
      <c r="A139" s="41"/>
      <c r="B139" s="41"/>
      <c r="C139" s="41"/>
      <c r="F139" s="41"/>
      <c r="G139" s="41"/>
      <c r="H139" s="41"/>
      <c r="I139" s="41"/>
      <c r="J139" s="41"/>
    </row>
    <row r="140">
      <c r="A140" s="41"/>
      <c r="B140" s="41"/>
      <c r="C140" s="41"/>
      <c r="F140" s="41"/>
      <c r="G140" s="41"/>
      <c r="H140" s="41"/>
      <c r="I140" s="41"/>
      <c r="J140" s="41"/>
    </row>
    <row r="141">
      <c r="A141" s="41"/>
      <c r="B141" s="41"/>
      <c r="C141" s="41"/>
      <c r="F141" s="41"/>
      <c r="G141" s="41"/>
      <c r="H141" s="41"/>
      <c r="I141" s="41"/>
      <c r="J141" s="41"/>
    </row>
    <row r="142">
      <c r="A142" s="41"/>
      <c r="B142" s="41"/>
      <c r="C142" s="41"/>
      <c r="F142" s="41"/>
      <c r="G142" s="41"/>
      <c r="H142" s="41"/>
      <c r="I142" s="41"/>
      <c r="J142" s="41"/>
    </row>
    <row r="143">
      <c r="A143" s="41"/>
      <c r="B143" s="41"/>
      <c r="C143" s="41"/>
      <c r="F143" s="41"/>
      <c r="G143" s="41"/>
      <c r="H143" s="41"/>
      <c r="I143" s="41"/>
      <c r="J143" s="41"/>
    </row>
    <row r="144">
      <c r="A144" s="41"/>
      <c r="B144" s="41"/>
      <c r="C144" s="41"/>
      <c r="F144" s="41"/>
      <c r="G144" s="41"/>
      <c r="H144" s="41"/>
      <c r="I144" s="41"/>
      <c r="J144" s="41"/>
    </row>
    <row r="145">
      <c r="A145" s="41"/>
      <c r="B145" s="41"/>
      <c r="C145" s="41"/>
      <c r="F145" s="41"/>
      <c r="G145" s="41"/>
      <c r="H145" s="41"/>
      <c r="I145" s="41"/>
      <c r="J145" s="41"/>
    </row>
    <row r="146">
      <c r="A146" s="41"/>
      <c r="B146" s="41"/>
      <c r="C146" s="41"/>
      <c r="F146" s="41"/>
      <c r="G146" s="41"/>
      <c r="H146" s="41"/>
      <c r="I146" s="41"/>
      <c r="J146" s="41"/>
    </row>
    <row r="147">
      <c r="A147" s="41"/>
      <c r="B147" s="41"/>
      <c r="C147" s="41"/>
      <c r="F147" s="41"/>
      <c r="G147" s="41"/>
      <c r="H147" s="41"/>
      <c r="I147" s="41"/>
      <c r="J147" s="41"/>
    </row>
    <row r="148">
      <c r="A148" s="41"/>
      <c r="B148" s="41"/>
      <c r="C148" s="41"/>
      <c r="F148" s="41"/>
      <c r="G148" s="41"/>
      <c r="H148" s="41"/>
      <c r="I148" s="41"/>
      <c r="J148" s="41"/>
    </row>
    <row r="149">
      <c r="A149" s="41"/>
      <c r="B149" s="41"/>
      <c r="C149" s="41"/>
      <c r="F149" s="41"/>
      <c r="G149" s="41"/>
      <c r="H149" s="41"/>
      <c r="I149" s="41"/>
      <c r="J149" s="41"/>
    </row>
    <row r="150">
      <c r="A150" s="41"/>
      <c r="B150" s="41"/>
      <c r="C150" s="41"/>
      <c r="F150" s="41"/>
      <c r="G150" s="41"/>
      <c r="H150" s="41"/>
      <c r="I150" s="41"/>
      <c r="J150" s="41"/>
    </row>
    <row r="151">
      <c r="A151" s="41"/>
      <c r="B151" s="41"/>
      <c r="C151" s="41"/>
      <c r="F151" s="41"/>
      <c r="G151" s="41"/>
      <c r="H151" s="41"/>
      <c r="I151" s="41"/>
      <c r="J151" s="41"/>
    </row>
    <row r="152">
      <c r="A152" s="41"/>
      <c r="B152" s="41"/>
      <c r="C152" s="41"/>
      <c r="F152" s="41"/>
      <c r="G152" s="41"/>
      <c r="H152" s="41"/>
      <c r="I152" s="41"/>
      <c r="J152" s="41"/>
    </row>
    <row r="153">
      <c r="A153" s="41"/>
      <c r="B153" s="41"/>
      <c r="C153" s="41"/>
      <c r="F153" s="41"/>
      <c r="G153" s="41"/>
      <c r="H153" s="41"/>
      <c r="I153" s="41"/>
      <c r="J153" s="41"/>
    </row>
    <row r="154">
      <c r="A154" s="41"/>
      <c r="B154" s="41"/>
      <c r="C154" s="41"/>
      <c r="F154" s="41"/>
      <c r="G154" s="41"/>
      <c r="H154" s="41"/>
      <c r="I154" s="41"/>
      <c r="J154" s="41"/>
    </row>
    <row r="155">
      <c r="A155" s="41"/>
      <c r="B155" s="41"/>
      <c r="C155" s="41"/>
      <c r="F155" s="41"/>
      <c r="G155" s="41"/>
      <c r="H155" s="41"/>
      <c r="I155" s="41"/>
      <c r="J155" s="41"/>
    </row>
    <row r="156">
      <c r="A156" s="41"/>
      <c r="B156" s="41"/>
      <c r="C156" s="41"/>
      <c r="F156" s="41"/>
      <c r="G156" s="41"/>
      <c r="H156" s="41"/>
      <c r="I156" s="41"/>
      <c r="J156" s="41"/>
    </row>
    <row r="157">
      <c r="A157" s="41"/>
      <c r="B157" s="41"/>
      <c r="C157" s="41"/>
      <c r="F157" s="41"/>
      <c r="G157" s="41"/>
      <c r="H157" s="41"/>
      <c r="I157" s="41"/>
      <c r="J157" s="41"/>
    </row>
    <row r="158">
      <c r="A158" s="41"/>
      <c r="B158" s="41"/>
      <c r="C158" s="41"/>
      <c r="F158" s="41"/>
      <c r="G158" s="41"/>
      <c r="H158" s="41"/>
      <c r="I158" s="41"/>
      <c r="J158" s="41"/>
    </row>
    <row r="159">
      <c r="A159" s="41"/>
      <c r="B159" s="41"/>
      <c r="C159" s="41"/>
      <c r="F159" s="41"/>
      <c r="G159" s="41"/>
      <c r="H159" s="41"/>
      <c r="I159" s="41"/>
      <c r="J159" s="41"/>
    </row>
    <row r="160">
      <c r="A160" s="41"/>
      <c r="B160" s="41"/>
      <c r="C160" s="41"/>
      <c r="F160" s="41"/>
      <c r="G160" s="41"/>
      <c r="H160" s="41"/>
      <c r="I160" s="41"/>
      <c r="J160" s="41"/>
    </row>
    <row r="161">
      <c r="A161" s="41"/>
      <c r="B161" s="41"/>
      <c r="C161" s="41"/>
      <c r="F161" s="41"/>
      <c r="G161" s="41"/>
      <c r="H161" s="41"/>
      <c r="I161" s="41"/>
      <c r="J161" s="41"/>
    </row>
    <row r="162">
      <c r="A162" s="41"/>
      <c r="B162" s="41"/>
      <c r="C162" s="41"/>
      <c r="F162" s="41"/>
      <c r="G162" s="41"/>
      <c r="H162" s="41"/>
      <c r="I162" s="41"/>
      <c r="J162" s="41"/>
    </row>
    <row r="163">
      <c r="A163" s="41"/>
      <c r="B163" s="41"/>
      <c r="C163" s="41"/>
      <c r="F163" s="41"/>
      <c r="G163" s="41"/>
      <c r="H163" s="41"/>
      <c r="I163" s="41"/>
      <c r="J163" s="41"/>
    </row>
    <row r="164">
      <c r="A164" s="41"/>
      <c r="B164" s="41"/>
      <c r="C164" s="41"/>
      <c r="F164" s="41"/>
      <c r="G164" s="41"/>
      <c r="H164" s="41"/>
      <c r="I164" s="41"/>
      <c r="J164" s="41"/>
    </row>
    <row r="165">
      <c r="A165" s="41"/>
      <c r="B165" s="41"/>
      <c r="C165" s="41"/>
      <c r="F165" s="41"/>
      <c r="G165" s="41"/>
      <c r="H165" s="41"/>
      <c r="I165" s="41"/>
      <c r="J165" s="41"/>
    </row>
    <row r="166">
      <c r="A166" s="41"/>
      <c r="B166" s="41"/>
      <c r="C166" s="41"/>
      <c r="F166" s="41"/>
      <c r="G166" s="41"/>
      <c r="H166" s="41"/>
      <c r="I166" s="41"/>
      <c r="J166" s="41"/>
    </row>
    <row r="167">
      <c r="A167" s="41"/>
      <c r="B167" s="41"/>
      <c r="C167" s="41"/>
      <c r="F167" s="41"/>
      <c r="G167" s="41"/>
      <c r="H167" s="41"/>
      <c r="I167" s="41"/>
      <c r="J167" s="41"/>
    </row>
    <row r="168">
      <c r="A168" s="41"/>
      <c r="B168" s="41"/>
      <c r="C168" s="41"/>
      <c r="F168" s="41"/>
      <c r="G168" s="41"/>
      <c r="H168" s="41"/>
      <c r="I168" s="41"/>
      <c r="J168" s="41"/>
    </row>
    <row r="169">
      <c r="A169" s="41"/>
      <c r="B169" s="41"/>
      <c r="C169" s="41"/>
      <c r="F169" s="41"/>
      <c r="G169" s="41"/>
      <c r="H169" s="41"/>
      <c r="I169" s="41"/>
      <c r="J169" s="41"/>
    </row>
    <row r="170">
      <c r="A170" s="41"/>
      <c r="B170" s="41"/>
      <c r="C170" s="41"/>
      <c r="F170" s="41"/>
      <c r="G170" s="41"/>
      <c r="H170" s="41"/>
      <c r="I170" s="41"/>
      <c r="J170" s="41"/>
    </row>
    <row r="171">
      <c r="A171" s="41"/>
      <c r="B171" s="41"/>
      <c r="C171" s="41"/>
      <c r="F171" s="41"/>
      <c r="G171" s="41"/>
      <c r="H171" s="41"/>
      <c r="I171" s="41"/>
      <c r="J171" s="41"/>
    </row>
    <row r="172">
      <c r="A172" s="41"/>
      <c r="B172" s="41"/>
      <c r="C172" s="41"/>
      <c r="F172" s="41"/>
      <c r="G172" s="41"/>
      <c r="H172" s="41"/>
      <c r="I172" s="41"/>
      <c r="J172" s="41"/>
    </row>
    <row r="173">
      <c r="A173" s="41"/>
      <c r="B173" s="41"/>
      <c r="C173" s="41"/>
      <c r="F173" s="41"/>
      <c r="G173" s="41"/>
      <c r="H173" s="41"/>
      <c r="I173" s="41"/>
      <c r="J173" s="41"/>
    </row>
    <row r="174">
      <c r="A174" s="41"/>
      <c r="B174" s="41"/>
      <c r="C174" s="41"/>
      <c r="F174" s="41"/>
      <c r="G174" s="41"/>
      <c r="H174" s="41"/>
      <c r="I174" s="41"/>
      <c r="J174" s="41"/>
    </row>
    <row r="175">
      <c r="A175" s="41"/>
      <c r="B175" s="41"/>
      <c r="C175" s="41"/>
      <c r="F175" s="41"/>
      <c r="G175" s="41"/>
      <c r="H175" s="41"/>
      <c r="I175" s="41"/>
      <c r="J175" s="41"/>
    </row>
    <row r="176">
      <c r="A176" s="41"/>
      <c r="B176" s="41"/>
      <c r="C176" s="41"/>
      <c r="F176" s="41"/>
      <c r="G176" s="41"/>
      <c r="H176" s="41"/>
      <c r="I176" s="41"/>
      <c r="J176" s="41"/>
    </row>
    <row r="177">
      <c r="A177" s="41"/>
      <c r="B177" s="41"/>
      <c r="C177" s="41"/>
      <c r="F177" s="41"/>
      <c r="G177" s="41"/>
      <c r="H177" s="41"/>
      <c r="I177" s="41"/>
      <c r="J177" s="41"/>
    </row>
    <row r="178">
      <c r="A178" s="41"/>
      <c r="B178" s="41"/>
      <c r="C178" s="41"/>
      <c r="F178" s="41"/>
      <c r="G178" s="41"/>
      <c r="H178" s="41"/>
      <c r="I178" s="41"/>
      <c r="J178" s="41"/>
    </row>
    <row r="179">
      <c r="A179" s="41"/>
      <c r="B179" s="41"/>
      <c r="C179" s="41"/>
      <c r="F179" s="41"/>
      <c r="G179" s="41"/>
      <c r="H179" s="41"/>
      <c r="I179" s="41"/>
      <c r="J179" s="41"/>
    </row>
    <row r="180">
      <c r="A180" s="41"/>
      <c r="B180" s="41"/>
      <c r="C180" s="41"/>
      <c r="F180" s="41"/>
      <c r="G180" s="41"/>
      <c r="H180" s="41"/>
      <c r="I180" s="41"/>
      <c r="J180" s="41"/>
    </row>
    <row r="181">
      <c r="A181" s="41"/>
      <c r="B181" s="41"/>
      <c r="C181" s="41"/>
      <c r="F181" s="41"/>
      <c r="G181" s="41"/>
      <c r="H181" s="41"/>
      <c r="I181" s="41"/>
      <c r="J181" s="41"/>
    </row>
    <row r="182">
      <c r="A182" s="41"/>
      <c r="B182" s="41"/>
      <c r="C182" s="41"/>
      <c r="F182" s="41"/>
      <c r="G182" s="41"/>
      <c r="H182" s="41"/>
      <c r="I182" s="41"/>
      <c r="J182" s="41"/>
    </row>
    <row r="183">
      <c r="A183" s="41"/>
      <c r="B183" s="41"/>
      <c r="C183" s="41"/>
      <c r="F183" s="41"/>
      <c r="G183" s="41"/>
      <c r="H183" s="41"/>
      <c r="I183" s="41"/>
      <c r="J183" s="41"/>
    </row>
    <row r="184">
      <c r="A184" s="41"/>
      <c r="B184" s="41"/>
      <c r="C184" s="41"/>
      <c r="F184" s="41"/>
      <c r="G184" s="41"/>
      <c r="H184" s="41"/>
      <c r="I184" s="41"/>
      <c r="J184" s="41"/>
    </row>
    <row r="185">
      <c r="A185" s="41"/>
      <c r="B185" s="41"/>
      <c r="C185" s="41"/>
      <c r="F185" s="41"/>
      <c r="G185" s="41"/>
      <c r="H185" s="41"/>
      <c r="I185" s="41"/>
      <c r="J185" s="41"/>
    </row>
    <row r="186">
      <c r="A186" s="41"/>
      <c r="B186" s="41"/>
      <c r="C186" s="41"/>
      <c r="F186" s="41"/>
      <c r="G186" s="41"/>
      <c r="H186" s="41"/>
      <c r="I186" s="41"/>
      <c r="J186" s="41"/>
    </row>
    <row r="187">
      <c r="A187" s="41"/>
      <c r="B187" s="41"/>
      <c r="C187" s="41"/>
      <c r="F187" s="41"/>
      <c r="G187" s="41"/>
      <c r="H187" s="41"/>
      <c r="I187" s="41"/>
      <c r="J187" s="41"/>
    </row>
    <row r="188">
      <c r="A188" s="41"/>
      <c r="B188" s="41"/>
      <c r="C188" s="41"/>
      <c r="F188" s="41"/>
      <c r="G188" s="41"/>
      <c r="H188" s="41"/>
      <c r="I188" s="41"/>
      <c r="J188" s="41"/>
    </row>
    <row r="189">
      <c r="A189" s="41"/>
      <c r="B189" s="41"/>
      <c r="C189" s="41"/>
      <c r="F189" s="41"/>
      <c r="G189" s="41"/>
      <c r="H189" s="41"/>
      <c r="I189" s="41"/>
      <c r="J189" s="41"/>
    </row>
    <row r="190">
      <c r="A190" s="41"/>
      <c r="B190" s="41"/>
      <c r="C190" s="41"/>
      <c r="F190" s="41"/>
      <c r="G190" s="41"/>
      <c r="H190" s="41"/>
      <c r="I190" s="41"/>
      <c r="J190" s="41"/>
    </row>
    <row r="191">
      <c r="A191" s="41"/>
      <c r="B191" s="41"/>
      <c r="C191" s="41"/>
      <c r="F191" s="41"/>
      <c r="G191" s="41"/>
      <c r="H191" s="41"/>
      <c r="I191" s="41"/>
      <c r="J191" s="41"/>
    </row>
    <row r="192">
      <c r="A192" s="41"/>
      <c r="B192" s="41"/>
      <c r="C192" s="41"/>
      <c r="F192" s="41"/>
      <c r="G192" s="41"/>
      <c r="H192" s="41"/>
      <c r="I192" s="41"/>
      <c r="J192" s="41"/>
    </row>
    <row r="193">
      <c r="A193" s="41"/>
      <c r="B193" s="41"/>
      <c r="C193" s="41"/>
      <c r="F193" s="41"/>
      <c r="G193" s="41"/>
      <c r="H193" s="41"/>
      <c r="I193" s="41"/>
      <c r="J193" s="41"/>
    </row>
    <row r="194">
      <c r="A194" s="41"/>
      <c r="B194" s="41"/>
      <c r="C194" s="41"/>
      <c r="F194" s="41"/>
      <c r="G194" s="41"/>
      <c r="H194" s="41"/>
      <c r="I194" s="41"/>
      <c r="J194" s="41"/>
    </row>
    <row r="195">
      <c r="A195" s="41"/>
      <c r="B195" s="41"/>
      <c r="C195" s="41"/>
      <c r="F195" s="41"/>
      <c r="G195" s="41"/>
      <c r="H195" s="41"/>
      <c r="I195" s="41"/>
      <c r="J195" s="41"/>
    </row>
    <row r="196">
      <c r="A196" s="41"/>
      <c r="B196" s="41"/>
      <c r="C196" s="41"/>
      <c r="F196" s="41"/>
      <c r="G196" s="41"/>
      <c r="H196" s="41"/>
      <c r="I196" s="41"/>
      <c r="J196" s="41"/>
    </row>
    <row r="197">
      <c r="A197" s="41"/>
      <c r="B197" s="41"/>
      <c r="C197" s="41"/>
      <c r="F197" s="41"/>
      <c r="G197" s="41"/>
      <c r="H197" s="41"/>
      <c r="I197" s="41"/>
      <c r="J197" s="41"/>
    </row>
    <row r="198">
      <c r="A198" s="41"/>
      <c r="B198" s="41"/>
      <c r="C198" s="41"/>
      <c r="F198" s="41"/>
      <c r="G198" s="41"/>
      <c r="H198" s="41"/>
      <c r="I198" s="41"/>
      <c r="J198" s="41"/>
    </row>
    <row r="199">
      <c r="A199" s="41"/>
      <c r="B199" s="41"/>
      <c r="C199" s="41"/>
      <c r="F199" s="41"/>
      <c r="G199" s="41"/>
      <c r="H199" s="41"/>
      <c r="I199" s="41"/>
      <c r="J199" s="41"/>
    </row>
    <row r="200">
      <c r="A200" s="41"/>
      <c r="B200" s="41"/>
      <c r="C200" s="41"/>
      <c r="F200" s="41"/>
      <c r="G200" s="41"/>
      <c r="H200" s="41"/>
      <c r="I200" s="41"/>
      <c r="J200" s="41"/>
    </row>
    <row r="201">
      <c r="A201" s="41"/>
      <c r="B201" s="41"/>
      <c r="C201" s="41"/>
      <c r="F201" s="41"/>
      <c r="G201" s="41"/>
      <c r="H201" s="41"/>
      <c r="I201" s="41"/>
      <c r="J201" s="41"/>
    </row>
    <row r="202">
      <c r="A202" s="41"/>
      <c r="B202" s="41"/>
      <c r="C202" s="41"/>
      <c r="F202" s="41"/>
      <c r="G202" s="41"/>
      <c r="H202" s="41"/>
      <c r="I202" s="41"/>
      <c r="J202" s="41"/>
    </row>
    <row r="203">
      <c r="A203" s="41"/>
      <c r="B203" s="41"/>
      <c r="C203" s="41"/>
      <c r="F203" s="41"/>
      <c r="G203" s="41"/>
      <c r="H203" s="41"/>
      <c r="I203" s="41"/>
      <c r="J203" s="41"/>
    </row>
    <row r="204">
      <c r="A204" s="41"/>
      <c r="B204" s="41"/>
      <c r="C204" s="41"/>
      <c r="F204" s="41"/>
      <c r="G204" s="41"/>
      <c r="H204" s="41"/>
      <c r="I204" s="41"/>
      <c r="J204" s="41"/>
    </row>
    <row r="205">
      <c r="A205" s="41"/>
      <c r="B205" s="41"/>
      <c r="C205" s="41"/>
      <c r="F205" s="41"/>
      <c r="G205" s="41"/>
      <c r="H205" s="41"/>
      <c r="I205" s="41"/>
      <c r="J205" s="41"/>
    </row>
    <row r="206">
      <c r="A206" s="41"/>
      <c r="B206" s="41"/>
      <c r="C206" s="41"/>
      <c r="F206" s="41"/>
      <c r="G206" s="41"/>
      <c r="H206" s="41"/>
      <c r="I206" s="41"/>
      <c r="J206" s="41"/>
    </row>
    <row r="207">
      <c r="A207" s="41"/>
      <c r="B207" s="41"/>
      <c r="C207" s="41"/>
      <c r="F207" s="41"/>
      <c r="G207" s="41"/>
      <c r="H207" s="41"/>
      <c r="I207" s="41"/>
      <c r="J207" s="41"/>
    </row>
    <row r="208">
      <c r="A208" s="41"/>
      <c r="B208" s="41"/>
      <c r="C208" s="41"/>
      <c r="F208" s="41"/>
      <c r="G208" s="41"/>
      <c r="H208" s="41"/>
      <c r="I208" s="41"/>
      <c r="J208" s="41"/>
    </row>
    <row r="209">
      <c r="A209" s="41"/>
      <c r="B209" s="41"/>
      <c r="C209" s="41"/>
      <c r="F209" s="41"/>
      <c r="G209" s="41"/>
      <c r="H209" s="41"/>
      <c r="I209" s="41"/>
      <c r="J209" s="41"/>
    </row>
    <row r="210">
      <c r="A210" s="41"/>
      <c r="B210" s="41"/>
      <c r="C210" s="41"/>
      <c r="F210" s="41"/>
      <c r="G210" s="41"/>
      <c r="H210" s="41"/>
      <c r="I210" s="41"/>
      <c r="J210" s="41"/>
    </row>
    <row r="211">
      <c r="A211" s="41"/>
      <c r="B211" s="41"/>
      <c r="C211" s="41"/>
      <c r="F211" s="41"/>
      <c r="G211" s="41"/>
      <c r="H211" s="41"/>
      <c r="I211" s="41"/>
      <c r="J211" s="41"/>
    </row>
    <row r="212">
      <c r="A212" s="41"/>
      <c r="B212" s="41"/>
      <c r="C212" s="41"/>
      <c r="F212" s="41"/>
      <c r="G212" s="41"/>
      <c r="H212" s="41"/>
      <c r="I212" s="41"/>
      <c r="J212" s="41"/>
    </row>
    <row r="213">
      <c r="A213" s="41"/>
      <c r="B213" s="41"/>
      <c r="C213" s="41"/>
      <c r="F213" s="41"/>
      <c r="G213" s="41"/>
      <c r="H213" s="41"/>
      <c r="I213" s="41"/>
      <c r="J213" s="41"/>
    </row>
    <row r="214">
      <c r="A214" s="41"/>
      <c r="B214" s="41"/>
      <c r="C214" s="41"/>
      <c r="F214" s="41"/>
      <c r="G214" s="41"/>
      <c r="H214" s="41"/>
      <c r="I214" s="41"/>
      <c r="J214" s="41"/>
    </row>
    <row r="215">
      <c r="A215" s="41"/>
      <c r="B215" s="41"/>
      <c r="C215" s="41"/>
      <c r="F215" s="41"/>
      <c r="G215" s="41"/>
      <c r="H215" s="41"/>
      <c r="I215" s="41"/>
      <c r="J215" s="41"/>
    </row>
    <row r="216">
      <c r="A216" s="41"/>
      <c r="B216" s="41"/>
      <c r="C216" s="41"/>
      <c r="F216" s="41"/>
      <c r="G216" s="41"/>
      <c r="H216" s="41"/>
      <c r="I216" s="41"/>
      <c r="J216" s="41"/>
    </row>
    <row r="217">
      <c r="A217" s="41"/>
      <c r="B217" s="41"/>
      <c r="C217" s="41"/>
      <c r="F217" s="41"/>
      <c r="G217" s="41"/>
      <c r="H217" s="41"/>
      <c r="I217" s="41"/>
      <c r="J217" s="41"/>
    </row>
    <row r="218">
      <c r="A218" s="41"/>
      <c r="B218" s="41"/>
      <c r="C218" s="41"/>
      <c r="F218" s="41"/>
      <c r="G218" s="41"/>
      <c r="H218" s="41"/>
      <c r="I218" s="41"/>
      <c r="J218" s="41"/>
    </row>
    <row r="219">
      <c r="A219" s="41"/>
      <c r="B219" s="41"/>
      <c r="C219" s="41"/>
      <c r="F219" s="41"/>
      <c r="G219" s="41"/>
      <c r="H219" s="41"/>
      <c r="I219" s="41"/>
      <c r="J219" s="41"/>
    </row>
    <row r="220">
      <c r="A220" s="41"/>
      <c r="B220" s="41"/>
      <c r="C220" s="41"/>
      <c r="F220" s="41"/>
      <c r="G220" s="41"/>
      <c r="H220" s="41"/>
      <c r="I220" s="41"/>
      <c r="J220" s="41"/>
    </row>
    <row r="221">
      <c r="A221" s="41"/>
      <c r="B221" s="41"/>
      <c r="C221" s="41"/>
      <c r="F221" s="41"/>
      <c r="G221" s="41"/>
      <c r="H221" s="41"/>
      <c r="I221" s="41"/>
      <c r="J221" s="41"/>
    </row>
    <row r="222">
      <c r="A222" s="41"/>
      <c r="B222" s="41"/>
      <c r="C222" s="41"/>
      <c r="F222" s="41"/>
      <c r="G222" s="41"/>
      <c r="H222" s="41"/>
      <c r="I222" s="41"/>
      <c r="J222" s="41"/>
    </row>
    <row r="223">
      <c r="A223" s="41"/>
      <c r="B223" s="41"/>
      <c r="C223" s="41"/>
      <c r="F223" s="41"/>
      <c r="G223" s="41"/>
      <c r="H223" s="41"/>
      <c r="I223" s="41"/>
      <c r="J223" s="41"/>
    </row>
    <row r="224">
      <c r="A224" s="41"/>
      <c r="B224" s="41"/>
      <c r="C224" s="41"/>
      <c r="F224" s="41"/>
      <c r="G224" s="41"/>
      <c r="H224" s="41"/>
      <c r="I224" s="41"/>
      <c r="J224" s="41"/>
    </row>
    <row r="225">
      <c r="A225" s="41"/>
      <c r="B225" s="41"/>
      <c r="C225" s="41"/>
      <c r="F225" s="41"/>
      <c r="G225" s="41"/>
      <c r="H225" s="41"/>
      <c r="I225" s="41"/>
      <c r="J225" s="41"/>
    </row>
    <row r="226">
      <c r="A226" s="41"/>
      <c r="B226" s="41"/>
      <c r="C226" s="41"/>
      <c r="F226" s="41"/>
      <c r="G226" s="41"/>
      <c r="H226" s="41"/>
      <c r="I226" s="41"/>
      <c r="J226" s="41"/>
    </row>
    <row r="227">
      <c r="A227" s="41"/>
      <c r="B227" s="41"/>
      <c r="C227" s="41"/>
      <c r="F227" s="41"/>
      <c r="G227" s="41"/>
      <c r="H227" s="41"/>
      <c r="I227" s="41"/>
      <c r="J227" s="41"/>
    </row>
    <row r="228">
      <c r="A228" s="41"/>
      <c r="B228" s="41"/>
      <c r="C228" s="41"/>
      <c r="F228" s="41"/>
      <c r="G228" s="41"/>
      <c r="H228" s="41"/>
      <c r="I228" s="41"/>
      <c r="J228" s="41"/>
    </row>
    <row r="229">
      <c r="A229" s="41"/>
      <c r="B229" s="41"/>
      <c r="C229" s="41"/>
      <c r="F229" s="41"/>
      <c r="G229" s="41"/>
      <c r="H229" s="41"/>
      <c r="I229" s="41"/>
      <c r="J229" s="41"/>
    </row>
    <row r="230">
      <c r="A230" s="41"/>
      <c r="B230" s="41"/>
      <c r="C230" s="41"/>
      <c r="F230" s="41"/>
      <c r="G230" s="41"/>
      <c r="H230" s="41"/>
      <c r="I230" s="41"/>
      <c r="J230" s="41"/>
    </row>
    <row r="231">
      <c r="A231" s="41"/>
      <c r="B231" s="41"/>
      <c r="C231" s="41"/>
      <c r="F231" s="41"/>
      <c r="G231" s="41"/>
      <c r="H231" s="41"/>
      <c r="I231" s="41"/>
      <c r="J231" s="41"/>
    </row>
    <row r="232">
      <c r="A232" s="41"/>
      <c r="B232" s="41"/>
      <c r="C232" s="41"/>
      <c r="F232" s="41"/>
      <c r="G232" s="41"/>
      <c r="H232" s="41"/>
      <c r="I232" s="41"/>
      <c r="J232" s="41"/>
    </row>
    <row r="233">
      <c r="A233" s="41"/>
      <c r="B233" s="41"/>
      <c r="C233" s="41"/>
      <c r="F233" s="41"/>
      <c r="G233" s="41"/>
      <c r="H233" s="41"/>
      <c r="I233" s="41"/>
      <c r="J233" s="41"/>
    </row>
    <row r="234">
      <c r="A234" s="41"/>
      <c r="B234" s="41"/>
      <c r="C234" s="41"/>
      <c r="F234" s="41"/>
      <c r="G234" s="41"/>
      <c r="H234" s="41"/>
      <c r="I234" s="41"/>
      <c r="J234" s="41"/>
    </row>
    <row r="235">
      <c r="A235" s="41"/>
      <c r="B235" s="41"/>
      <c r="C235" s="41"/>
      <c r="F235" s="41"/>
      <c r="G235" s="41"/>
      <c r="H235" s="41"/>
      <c r="I235" s="41"/>
      <c r="J235" s="41"/>
    </row>
    <row r="236">
      <c r="A236" s="41"/>
      <c r="B236" s="41"/>
      <c r="C236" s="41"/>
      <c r="F236" s="41"/>
      <c r="G236" s="41"/>
      <c r="H236" s="41"/>
      <c r="I236" s="41"/>
      <c r="J236" s="41"/>
    </row>
    <row r="237">
      <c r="A237" s="41"/>
      <c r="B237" s="41"/>
      <c r="C237" s="41"/>
      <c r="F237" s="41"/>
      <c r="G237" s="41"/>
      <c r="H237" s="41"/>
      <c r="I237" s="41"/>
      <c r="J237" s="41"/>
    </row>
    <row r="238">
      <c r="A238" s="41"/>
      <c r="B238" s="41"/>
      <c r="C238" s="41"/>
      <c r="F238" s="41"/>
      <c r="G238" s="41"/>
      <c r="H238" s="41"/>
      <c r="I238" s="41"/>
      <c r="J238" s="41"/>
    </row>
    <row r="239">
      <c r="A239" s="41"/>
      <c r="B239" s="41"/>
      <c r="C239" s="41"/>
      <c r="F239" s="41"/>
      <c r="G239" s="41"/>
      <c r="H239" s="41"/>
      <c r="I239" s="41"/>
      <c r="J239" s="41"/>
    </row>
    <row r="240">
      <c r="A240" s="41"/>
      <c r="B240" s="41"/>
      <c r="C240" s="41"/>
      <c r="F240" s="41"/>
      <c r="G240" s="41"/>
      <c r="H240" s="41"/>
      <c r="I240" s="41"/>
      <c r="J240" s="41"/>
    </row>
    <row r="241">
      <c r="A241" s="41"/>
      <c r="B241" s="41"/>
      <c r="C241" s="41"/>
      <c r="F241" s="41"/>
      <c r="G241" s="41"/>
      <c r="H241" s="41"/>
      <c r="I241" s="41"/>
      <c r="J241" s="41"/>
    </row>
    <row r="242">
      <c r="A242" s="41"/>
      <c r="B242" s="41"/>
      <c r="C242" s="41"/>
      <c r="F242" s="41"/>
      <c r="G242" s="41"/>
      <c r="H242" s="41"/>
      <c r="I242" s="41"/>
      <c r="J242" s="41"/>
    </row>
    <row r="243">
      <c r="A243" s="41"/>
      <c r="B243" s="41"/>
      <c r="C243" s="41"/>
      <c r="F243" s="41"/>
      <c r="G243" s="41"/>
      <c r="H243" s="41"/>
      <c r="I243" s="41"/>
      <c r="J243" s="41"/>
    </row>
    <row r="244">
      <c r="A244" s="41"/>
      <c r="B244" s="41"/>
      <c r="C244" s="41"/>
      <c r="F244" s="41"/>
      <c r="G244" s="41"/>
      <c r="H244" s="41"/>
      <c r="I244" s="41"/>
      <c r="J244" s="41"/>
    </row>
    <row r="245">
      <c r="A245" s="41"/>
      <c r="B245" s="41"/>
      <c r="C245" s="41"/>
      <c r="F245" s="41"/>
      <c r="G245" s="41"/>
      <c r="H245" s="41"/>
      <c r="I245" s="41"/>
      <c r="J245" s="41"/>
    </row>
    <row r="246">
      <c r="A246" s="41"/>
      <c r="B246" s="41"/>
      <c r="C246" s="41"/>
      <c r="F246" s="41"/>
      <c r="G246" s="41"/>
      <c r="H246" s="41"/>
      <c r="I246" s="41"/>
      <c r="J246" s="41"/>
    </row>
    <row r="247">
      <c r="A247" s="41"/>
      <c r="B247" s="41"/>
      <c r="C247" s="41"/>
      <c r="F247" s="41"/>
      <c r="G247" s="41"/>
      <c r="H247" s="41"/>
      <c r="I247" s="41"/>
      <c r="J247" s="41"/>
    </row>
    <row r="248">
      <c r="A248" s="41"/>
      <c r="B248" s="41"/>
      <c r="C248" s="41"/>
      <c r="F248" s="41"/>
      <c r="G248" s="41"/>
      <c r="H248" s="41"/>
      <c r="I248" s="41"/>
      <c r="J248" s="41"/>
    </row>
    <row r="249">
      <c r="A249" s="41"/>
      <c r="B249" s="41"/>
      <c r="C249" s="41"/>
      <c r="F249" s="41"/>
      <c r="G249" s="41"/>
      <c r="H249" s="41"/>
      <c r="I249" s="41"/>
      <c r="J249" s="41"/>
    </row>
    <row r="250">
      <c r="A250" s="41"/>
      <c r="B250" s="41"/>
      <c r="C250" s="41"/>
      <c r="F250" s="41"/>
      <c r="G250" s="41"/>
      <c r="H250" s="41"/>
      <c r="I250" s="41"/>
      <c r="J250" s="41"/>
    </row>
    <row r="251">
      <c r="A251" s="41"/>
      <c r="B251" s="41"/>
      <c r="C251" s="41"/>
      <c r="F251" s="41"/>
      <c r="G251" s="41"/>
      <c r="H251" s="41"/>
      <c r="I251" s="41"/>
      <c r="J251" s="41"/>
    </row>
    <row r="252">
      <c r="A252" s="41"/>
      <c r="B252" s="41"/>
      <c r="C252" s="41"/>
      <c r="F252" s="41"/>
      <c r="G252" s="41"/>
      <c r="H252" s="41"/>
      <c r="I252" s="41"/>
      <c r="J252" s="41"/>
    </row>
    <row r="253">
      <c r="A253" s="41"/>
      <c r="B253" s="41"/>
      <c r="C253" s="41"/>
      <c r="F253" s="41"/>
      <c r="G253" s="41"/>
      <c r="H253" s="41"/>
      <c r="I253" s="41"/>
      <c r="J253" s="41"/>
    </row>
    <row r="254">
      <c r="A254" s="41"/>
      <c r="B254" s="41"/>
      <c r="C254" s="41"/>
      <c r="F254" s="41"/>
      <c r="G254" s="41"/>
      <c r="H254" s="41"/>
      <c r="I254" s="41"/>
      <c r="J254" s="41"/>
    </row>
    <row r="255">
      <c r="A255" s="41"/>
      <c r="B255" s="41"/>
      <c r="C255" s="41"/>
      <c r="F255" s="41"/>
      <c r="G255" s="41"/>
      <c r="H255" s="41"/>
      <c r="I255" s="41"/>
      <c r="J255" s="41"/>
    </row>
    <row r="256">
      <c r="A256" s="41"/>
      <c r="B256" s="41"/>
      <c r="C256" s="41"/>
      <c r="F256" s="41"/>
      <c r="G256" s="41"/>
      <c r="H256" s="41"/>
      <c r="I256" s="41"/>
      <c r="J256" s="41"/>
    </row>
    <row r="257">
      <c r="A257" s="41"/>
      <c r="B257" s="41"/>
      <c r="C257" s="41"/>
      <c r="F257" s="41"/>
      <c r="G257" s="41"/>
      <c r="H257" s="41"/>
      <c r="I257" s="41"/>
      <c r="J257" s="41"/>
    </row>
    <row r="258">
      <c r="A258" s="41"/>
      <c r="B258" s="41"/>
      <c r="C258" s="41"/>
      <c r="F258" s="41"/>
      <c r="G258" s="41"/>
      <c r="H258" s="41"/>
      <c r="I258" s="41"/>
      <c r="J258" s="41"/>
    </row>
    <row r="259">
      <c r="A259" s="41"/>
      <c r="B259" s="41"/>
      <c r="C259" s="41"/>
      <c r="F259" s="41"/>
      <c r="G259" s="41"/>
      <c r="H259" s="41"/>
      <c r="I259" s="41"/>
      <c r="J259" s="41"/>
    </row>
    <row r="260">
      <c r="A260" s="41"/>
      <c r="B260" s="41"/>
      <c r="C260" s="41"/>
      <c r="F260" s="41"/>
      <c r="G260" s="41"/>
      <c r="H260" s="41"/>
      <c r="I260" s="41"/>
      <c r="J260" s="41"/>
    </row>
    <row r="261">
      <c r="A261" s="41"/>
      <c r="B261" s="41"/>
      <c r="C261" s="41"/>
      <c r="F261" s="41"/>
      <c r="G261" s="41"/>
      <c r="H261" s="41"/>
      <c r="I261" s="41"/>
      <c r="J261" s="41"/>
    </row>
    <row r="262">
      <c r="A262" s="41"/>
      <c r="B262" s="41"/>
      <c r="C262" s="41"/>
      <c r="F262" s="41"/>
      <c r="G262" s="41"/>
      <c r="H262" s="41"/>
      <c r="I262" s="41"/>
      <c r="J262" s="41"/>
    </row>
    <row r="263">
      <c r="A263" s="41"/>
      <c r="B263" s="41"/>
      <c r="C263" s="41"/>
      <c r="F263" s="41"/>
      <c r="G263" s="41"/>
      <c r="H263" s="41"/>
      <c r="I263" s="41"/>
      <c r="J263" s="41"/>
    </row>
    <row r="264">
      <c r="A264" s="41"/>
      <c r="B264" s="41"/>
      <c r="C264" s="41"/>
      <c r="F264" s="41"/>
      <c r="G264" s="41"/>
      <c r="H264" s="41"/>
      <c r="I264" s="41"/>
      <c r="J264" s="41"/>
    </row>
    <row r="265">
      <c r="A265" s="41"/>
      <c r="B265" s="41"/>
      <c r="C265" s="41"/>
      <c r="F265" s="41"/>
      <c r="G265" s="41"/>
      <c r="H265" s="41"/>
      <c r="I265" s="41"/>
      <c r="J265" s="41"/>
    </row>
    <row r="266">
      <c r="A266" s="41"/>
      <c r="B266" s="41"/>
      <c r="C266" s="41"/>
      <c r="F266" s="41"/>
      <c r="G266" s="41"/>
      <c r="H266" s="41"/>
      <c r="I266" s="41"/>
      <c r="J266" s="41"/>
    </row>
    <row r="267">
      <c r="A267" s="41"/>
      <c r="B267" s="41"/>
      <c r="C267" s="41"/>
      <c r="F267" s="41"/>
      <c r="G267" s="41"/>
      <c r="H267" s="41"/>
      <c r="I267" s="41"/>
      <c r="J267" s="41"/>
    </row>
    <row r="268">
      <c r="A268" s="41"/>
      <c r="B268" s="41"/>
      <c r="C268" s="41"/>
      <c r="F268" s="41"/>
      <c r="G268" s="41"/>
      <c r="H268" s="41"/>
      <c r="I268" s="41"/>
      <c r="J268" s="41"/>
    </row>
    <row r="269">
      <c r="A269" s="41"/>
      <c r="B269" s="41"/>
      <c r="C269" s="41"/>
      <c r="F269" s="41"/>
      <c r="G269" s="41"/>
      <c r="H269" s="41"/>
      <c r="I269" s="41"/>
      <c r="J269" s="41"/>
    </row>
    <row r="270">
      <c r="A270" s="41"/>
      <c r="B270" s="41"/>
      <c r="C270" s="41"/>
      <c r="F270" s="41"/>
      <c r="G270" s="41"/>
      <c r="H270" s="41"/>
      <c r="I270" s="41"/>
      <c r="J270" s="41"/>
    </row>
    <row r="271">
      <c r="A271" s="41"/>
      <c r="B271" s="41"/>
      <c r="C271" s="41"/>
      <c r="F271" s="41"/>
      <c r="G271" s="41"/>
      <c r="H271" s="41"/>
      <c r="I271" s="41"/>
      <c r="J271" s="41"/>
    </row>
    <row r="272">
      <c r="A272" s="41"/>
      <c r="B272" s="41"/>
      <c r="C272" s="41"/>
      <c r="F272" s="41"/>
      <c r="G272" s="41"/>
      <c r="H272" s="41"/>
      <c r="I272" s="41"/>
      <c r="J272" s="41"/>
    </row>
    <row r="273">
      <c r="A273" s="41"/>
      <c r="B273" s="41"/>
      <c r="C273" s="41"/>
      <c r="F273" s="41"/>
      <c r="G273" s="41"/>
      <c r="H273" s="41"/>
      <c r="I273" s="41"/>
      <c r="J273" s="41"/>
    </row>
    <row r="274">
      <c r="A274" s="41"/>
      <c r="B274" s="41"/>
      <c r="C274" s="41"/>
      <c r="F274" s="41"/>
      <c r="G274" s="41"/>
      <c r="H274" s="41"/>
      <c r="I274" s="41"/>
      <c r="J274" s="41"/>
    </row>
    <row r="275">
      <c r="A275" s="41"/>
      <c r="B275" s="41"/>
      <c r="C275" s="41"/>
      <c r="F275" s="41"/>
      <c r="G275" s="41"/>
      <c r="H275" s="41"/>
      <c r="I275" s="41"/>
      <c r="J275" s="41"/>
    </row>
    <row r="276">
      <c r="A276" s="41"/>
      <c r="B276" s="41"/>
      <c r="C276" s="41"/>
      <c r="F276" s="41"/>
      <c r="G276" s="41"/>
      <c r="H276" s="41"/>
      <c r="I276" s="41"/>
      <c r="J276" s="41"/>
    </row>
    <row r="277">
      <c r="A277" s="41"/>
      <c r="B277" s="41"/>
      <c r="C277" s="41"/>
      <c r="F277" s="41"/>
      <c r="G277" s="41"/>
      <c r="H277" s="41"/>
      <c r="I277" s="41"/>
      <c r="J277" s="41"/>
    </row>
    <row r="278">
      <c r="A278" s="41"/>
      <c r="B278" s="41"/>
      <c r="C278" s="41"/>
      <c r="F278" s="41"/>
      <c r="G278" s="41"/>
      <c r="H278" s="41"/>
      <c r="I278" s="41"/>
      <c r="J278" s="41"/>
    </row>
    <row r="279">
      <c r="A279" s="41"/>
      <c r="B279" s="41"/>
      <c r="C279" s="41"/>
      <c r="F279" s="41"/>
      <c r="G279" s="41"/>
      <c r="H279" s="41"/>
      <c r="I279" s="41"/>
      <c r="J279" s="41"/>
    </row>
    <row r="280">
      <c r="A280" s="41"/>
      <c r="B280" s="41"/>
      <c r="C280" s="41"/>
      <c r="F280" s="41"/>
      <c r="G280" s="41"/>
      <c r="H280" s="41"/>
      <c r="I280" s="41"/>
      <c r="J280" s="41"/>
    </row>
    <row r="281">
      <c r="A281" s="41"/>
      <c r="B281" s="41"/>
      <c r="C281" s="41"/>
      <c r="F281" s="41"/>
      <c r="G281" s="41"/>
      <c r="H281" s="41"/>
      <c r="I281" s="41"/>
      <c r="J281" s="41"/>
    </row>
    <row r="282">
      <c r="A282" s="41"/>
      <c r="B282" s="41"/>
      <c r="C282" s="41"/>
      <c r="F282" s="41"/>
      <c r="G282" s="41"/>
      <c r="H282" s="41"/>
      <c r="I282" s="41"/>
      <c r="J282" s="41"/>
    </row>
    <row r="283">
      <c r="A283" s="41"/>
      <c r="B283" s="41"/>
      <c r="C283" s="41"/>
      <c r="F283" s="41"/>
      <c r="G283" s="41"/>
      <c r="H283" s="41"/>
      <c r="I283" s="41"/>
      <c r="J283" s="41"/>
    </row>
    <row r="284">
      <c r="A284" s="41"/>
      <c r="B284" s="41"/>
      <c r="C284" s="41"/>
      <c r="F284" s="41"/>
      <c r="G284" s="41"/>
      <c r="H284" s="41"/>
      <c r="I284" s="41"/>
      <c r="J284" s="41"/>
    </row>
    <row r="285">
      <c r="A285" s="41"/>
      <c r="B285" s="41"/>
      <c r="C285" s="41"/>
      <c r="F285" s="41"/>
      <c r="G285" s="41"/>
      <c r="H285" s="41"/>
      <c r="I285" s="41"/>
      <c r="J285" s="41"/>
    </row>
    <row r="286">
      <c r="A286" s="41"/>
      <c r="B286" s="41"/>
      <c r="C286" s="41"/>
      <c r="F286" s="41"/>
      <c r="G286" s="41"/>
      <c r="H286" s="41"/>
      <c r="I286" s="41"/>
      <c r="J286" s="41"/>
    </row>
    <row r="287">
      <c r="A287" s="41"/>
      <c r="B287" s="41"/>
      <c r="C287" s="41"/>
      <c r="F287" s="41"/>
      <c r="G287" s="41"/>
      <c r="H287" s="41"/>
      <c r="I287" s="41"/>
      <c r="J287" s="41"/>
    </row>
    <row r="288">
      <c r="A288" s="41"/>
      <c r="B288" s="41"/>
      <c r="C288" s="41"/>
      <c r="F288" s="41"/>
      <c r="G288" s="41"/>
      <c r="H288" s="41"/>
      <c r="I288" s="41"/>
      <c r="J288" s="41"/>
    </row>
    <row r="289">
      <c r="A289" s="41"/>
      <c r="B289" s="41"/>
      <c r="C289" s="41"/>
      <c r="F289" s="41"/>
      <c r="G289" s="41"/>
      <c r="H289" s="41"/>
      <c r="I289" s="41"/>
      <c r="J289" s="41"/>
    </row>
    <row r="290">
      <c r="A290" s="41"/>
      <c r="B290" s="41"/>
      <c r="C290" s="41"/>
      <c r="F290" s="41"/>
      <c r="G290" s="41"/>
      <c r="H290" s="41"/>
      <c r="I290" s="41"/>
      <c r="J290" s="41"/>
    </row>
    <row r="291">
      <c r="A291" s="41"/>
      <c r="B291" s="41"/>
      <c r="C291" s="41"/>
      <c r="F291" s="41"/>
      <c r="G291" s="41"/>
      <c r="H291" s="41"/>
      <c r="I291" s="41"/>
      <c r="J291" s="41"/>
    </row>
    <row r="292">
      <c r="A292" s="41"/>
      <c r="B292" s="41"/>
      <c r="C292" s="41"/>
      <c r="F292" s="41"/>
      <c r="G292" s="41"/>
      <c r="H292" s="41"/>
      <c r="I292" s="41"/>
      <c r="J292" s="41"/>
    </row>
    <row r="293">
      <c r="A293" s="41"/>
      <c r="B293" s="41"/>
      <c r="C293" s="41"/>
      <c r="F293" s="41"/>
      <c r="G293" s="41"/>
      <c r="H293" s="41"/>
      <c r="I293" s="41"/>
      <c r="J293" s="41"/>
    </row>
    <row r="294">
      <c r="A294" s="41"/>
      <c r="B294" s="41"/>
      <c r="C294" s="41"/>
      <c r="F294" s="41"/>
      <c r="G294" s="41"/>
      <c r="H294" s="41"/>
      <c r="I294" s="41"/>
      <c r="J294" s="41"/>
    </row>
    <row r="295">
      <c r="A295" s="41"/>
      <c r="B295" s="41"/>
      <c r="C295" s="41"/>
      <c r="F295" s="41"/>
      <c r="G295" s="41"/>
      <c r="H295" s="41"/>
      <c r="I295" s="41"/>
      <c r="J295" s="41"/>
    </row>
    <row r="296">
      <c r="A296" s="41"/>
      <c r="B296" s="41"/>
      <c r="C296" s="41"/>
      <c r="F296" s="41"/>
      <c r="G296" s="41"/>
      <c r="H296" s="41"/>
      <c r="I296" s="41"/>
      <c r="J296" s="41"/>
    </row>
    <row r="297">
      <c r="A297" s="41"/>
      <c r="B297" s="41"/>
      <c r="C297" s="41"/>
      <c r="F297" s="41"/>
      <c r="G297" s="41"/>
      <c r="H297" s="41"/>
      <c r="I297" s="41"/>
      <c r="J297" s="41"/>
    </row>
    <row r="298">
      <c r="A298" s="41"/>
      <c r="B298" s="41"/>
      <c r="C298" s="41"/>
      <c r="F298" s="41"/>
      <c r="G298" s="41"/>
      <c r="H298" s="41"/>
      <c r="I298" s="41"/>
      <c r="J298" s="41"/>
    </row>
    <row r="299">
      <c r="A299" s="41"/>
      <c r="B299" s="41"/>
      <c r="C299" s="41"/>
      <c r="F299" s="41"/>
      <c r="G299" s="41"/>
      <c r="H299" s="41"/>
      <c r="I299" s="41"/>
      <c r="J299" s="41"/>
    </row>
    <row r="300">
      <c r="A300" s="41"/>
      <c r="B300" s="41"/>
      <c r="C300" s="41"/>
      <c r="F300" s="41"/>
      <c r="G300" s="41"/>
      <c r="H300" s="41"/>
      <c r="I300" s="41"/>
      <c r="J300" s="41"/>
    </row>
    <row r="301">
      <c r="A301" s="41"/>
      <c r="B301" s="41"/>
      <c r="C301" s="41"/>
      <c r="F301" s="41"/>
      <c r="G301" s="41"/>
      <c r="H301" s="41"/>
      <c r="I301" s="41"/>
      <c r="J301" s="41"/>
    </row>
    <row r="302">
      <c r="A302" s="41"/>
      <c r="B302" s="41"/>
      <c r="C302" s="41"/>
      <c r="F302" s="41"/>
      <c r="G302" s="41"/>
      <c r="H302" s="41"/>
      <c r="I302" s="41"/>
      <c r="J302" s="41"/>
    </row>
    <row r="303">
      <c r="A303" s="41"/>
      <c r="B303" s="41"/>
      <c r="C303" s="41"/>
      <c r="F303" s="41"/>
      <c r="G303" s="41"/>
      <c r="H303" s="41"/>
      <c r="I303" s="41"/>
      <c r="J303" s="41"/>
    </row>
    <row r="304">
      <c r="A304" s="41"/>
      <c r="B304" s="41"/>
      <c r="C304" s="41"/>
      <c r="F304" s="41"/>
      <c r="G304" s="41"/>
      <c r="H304" s="41"/>
      <c r="I304" s="41"/>
      <c r="J304" s="41"/>
    </row>
    <row r="305">
      <c r="A305" s="41"/>
      <c r="B305" s="41"/>
      <c r="C305" s="41"/>
      <c r="F305" s="41"/>
      <c r="G305" s="41"/>
      <c r="H305" s="41"/>
      <c r="I305" s="41"/>
      <c r="J305" s="41"/>
    </row>
    <row r="306">
      <c r="A306" s="41"/>
      <c r="B306" s="41"/>
      <c r="C306" s="41"/>
      <c r="F306" s="41"/>
      <c r="G306" s="41"/>
      <c r="H306" s="41"/>
      <c r="I306" s="41"/>
      <c r="J306" s="41"/>
    </row>
    <row r="307">
      <c r="A307" s="41"/>
      <c r="B307" s="41"/>
      <c r="C307" s="41"/>
      <c r="F307" s="41"/>
      <c r="G307" s="41"/>
      <c r="H307" s="41"/>
      <c r="I307" s="41"/>
      <c r="J307" s="41"/>
    </row>
    <row r="308">
      <c r="A308" s="41"/>
      <c r="B308" s="41"/>
      <c r="C308" s="41"/>
      <c r="F308" s="41"/>
      <c r="G308" s="41"/>
      <c r="H308" s="41"/>
      <c r="I308" s="41"/>
      <c r="J308" s="41"/>
    </row>
    <row r="309">
      <c r="A309" s="41"/>
      <c r="B309" s="41"/>
      <c r="C309" s="41"/>
      <c r="F309" s="41"/>
      <c r="G309" s="41"/>
      <c r="H309" s="41"/>
      <c r="I309" s="41"/>
      <c r="J309" s="41"/>
    </row>
    <row r="310">
      <c r="A310" s="41"/>
      <c r="B310" s="41"/>
      <c r="C310" s="41"/>
      <c r="F310" s="41"/>
      <c r="G310" s="41"/>
      <c r="H310" s="41"/>
      <c r="I310" s="41"/>
      <c r="J310" s="41"/>
    </row>
    <row r="311">
      <c r="A311" s="41"/>
      <c r="B311" s="41"/>
      <c r="C311" s="41"/>
      <c r="F311" s="41"/>
      <c r="G311" s="41"/>
      <c r="H311" s="41"/>
      <c r="I311" s="41"/>
      <c r="J311" s="41"/>
    </row>
    <row r="312">
      <c r="A312" s="41"/>
      <c r="B312" s="41"/>
      <c r="C312" s="41"/>
      <c r="F312" s="41"/>
      <c r="G312" s="41"/>
      <c r="H312" s="41"/>
      <c r="I312" s="41"/>
      <c r="J312" s="41"/>
    </row>
    <row r="313">
      <c r="A313" s="41"/>
      <c r="B313" s="41"/>
      <c r="C313" s="41"/>
      <c r="F313" s="41"/>
      <c r="G313" s="41"/>
      <c r="H313" s="41"/>
      <c r="I313" s="41"/>
      <c r="J313" s="41"/>
    </row>
    <row r="314">
      <c r="A314" s="41"/>
      <c r="B314" s="41"/>
      <c r="C314" s="41"/>
      <c r="F314" s="41"/>
      <c r="G314" s="41"/>
      <c r="H314" s="41"/>
      <c r="I314" s="41"/>
      <c r="J314" s="41"/>
    </row>
    <row r="315">
      <c r="A315" s="41"/>
      <c r="B315" s="41"/>
      <c r="C315" s="41"/>
      <c r="F315" s="41"/>
      <c r="G315" s="41"/>
      <c r="H315" s="41"/>
      <c r="I315" s="41"/>
      <c r="J315" s="41"/>
    </row>
    <row r="316">
      <c r="A316" s="41"/>
      <c r="B316" s="41"/>
      <c r="C316" s="41"/>
      <c r="F316" s="41"/>
      <c r="G316" s="41"/>
      <c r="H316" s="41"/>
      <c r="I316" s="41"/>
      <c r="J316" s="41"/>
    </row>
    <row r="317">
      <c r="A317" s="41"/>
      <c r="B317" s="41"/>
      <c r="C317" s="41"/>
      <c r="F317" s="41"/>
      <c r="G317" s="41"/>
      <c r="H317" s="41"/>
      <c r="I317" s="41"/>
      <c r="J317" s="41"/>
    </row>
    <row r="318">
      <c r="A318" s="41"/>
      <c r="B318" s="41"/>
      <c r="C318" s="41"/>
      <c r="F318" s="41"/>
      <c r="G318" s="41"/>
      <c r="H318" s="41"/>
      <c r="I318" s="41"/>
      <c r="J318" s="41"/>
    </row>
    <row r="319">
      <c r="A319" s="41"/>
      <c r="B319" s="41"/>
      <c r="C319" s="41"/>
      <c r="F319" s="41"/>
      <c r="G319" s="41"/>
      <c r="H319" s="41"/>
      <c r="I319" s="41"/>
      <c r="J319" s="41"/>
    </row>
    <row r="320">
      <c r="A320" s="41"/>
      <c r="B320" s="41"/>
      <c r="C320" s="41"/>
      <c r="F320" s="41"/>
      <c r="G320" s="41"/>
      <c r="H320" s="41"/>
      <c r="I320" s="41"/>
      <c r="J320" s="41"/>
    </row>
    <row r="321">
      <c r="A321" s="41"/>
      <c r="B321" s="41"/>
      <c r="C321" s="41"/>
      <c r="F321" s="41"/>
      <c r="G321" s="41"/>
      <c r="H321" s="41"/>
      <c r="I321" s="41"/>
      <c r="J321" s="41"/>
    </row>
    <row r="322">
      <c r="A322" s="41"/>
      <c r="B322" s="41"/>
      <c r="C322" s="41"/>
      <c r="F322" s="41"/>
      <c r="G322" s="41"/>
      <c r="H322" s="41"/>
      <c r="I322" s="41"/>
      <c r="J322" s="41"/>
    </row>
    <row r="323">
      <c r="A323" s="41"/>
      <c r="B323" s="41"/>
      <c r="C323" s="41"/>
      <c r="F323" s="41"/>
      <c r="G323" s="41"/>
      <c r="H323" s="41"/>
      <c r="I323" s="41"/>
      <c r="J323" s="41"/>
    </row>
    <row r="324">
      <c r="A324" s="41"/>
      <c r="B324" s="41"/>
      <c r="C324" s="41"/>
      <c r="F324" s="41"/>
      <c r="G324" s="41"/>
      <c r="H324" s="41"/>
      <c r="I324" s="41"/>
      <c r="J324" s="41"/>
    </row>
    <row r="325">
      <c r="A325" s="41"/>
      <c r="B325" s="41"/>
      <c r="C325" s="41"/>
      <c r="F325" s="41"/>
      <c r="G325" s="41"/>
      <c r="H325" s="41"/>
      <c r="I325" s="41"/>
      <c r="J325" s="41"/>
    </row>
    <row r="326">
      <c r="A326" s="41"/>
      <c r="B326" s="41"/>
      <c r="C326" s="41"/>
      <c r="F326" s="41"/>
      <c r="G326" s="41"/>
      <c r="H326" s="41"/>
      <c r="I326" s="41"/>
      <c r="J326" s="41"/>
    </row>
    <row r="327">
      <c r="A327" s="41"/>
      <c r="B327" s="41"/>
      <c r="C327" s="41"/>
      <c r="F327" s="41"/>
      <c r="G327" s="41"/>
      <c r="H327" s="41"/>
      <c r="I327" s="41"/>
      <c r="J327" s="41"/>
    </row>
    <row r="328">
      <c r="A328" s="41"/>
      <c r="B328" s="41"/>
      <c r="C328" s="41"/>
      <c r="F328" s="41"/>
      <c r="G328" s="41"/>
      <c r="H328" s="41"/>
      <c r="I328" s="41"/>
      <c r="J328" s="41"/>
    </row>
    <row r="329">
      <c r="A329" s="41"/>
      <c r="B329" s="41"/>
      <c r="C329" s="41"/>
      <c r="F329" s="41"/>
      <c r="G329" s="41"/>
      <c r="H329" s="41"/>
      <c r="I329" s="41"/>
      <c r="J329" s="41"/>
    </row>
    <row r="330">
      <c r="A330" s="41"/>
      <c r="B330" s="41"/>
      <c r="C330" s="41"/>
      <c r="F330" s="41"/>
      <c r="G330" s="41"/>
      <c r="H330" s="41"/>
      <c r="I330" s="41"/>
      <c r="J330" s="41"/>
    </row>
    <row r="331">
      <c r="A331" s="41"/>
      <c r="B331" s="41"/>
      <c r="C331" s="41"/>
      <c r="F331" s="41"/>
      <c r="G331" s="41"/>
      <c r="H331" s="41"/>
      <c r="I331" s="41"/>
      <c r="J331" s="41"/>
    </row>
    <row r="332">
      <c r="A332" s="41"/>
      <c r="B332" s="41"/>
      <c r="C332" s="41"/>
      <c r="F332" s="41"/>
      <c r="G332" s="41"/>
      <c r="H332" s="41"/>
      <c r="I332" s="41"/>
      <c r="J332" s="41"/>
    </row>
    <row r="333">
      <c r="A333" s="41"/>
      <c r="B333" s="41"/>
      <c r="C333" s="41"/>
      <c r="F333" s="41"/>
      <c r="G333" s="41"/>
      <c r="H333" s="41"/>
      <c r="I333" s="41"/>
      <c r="J333" s="41"/>
    </row>
    <row r="334">
      <c r="A334" s="41"/>
      <c r="B334" s="41"/>
      <c r="C334" s="41"/>
      <c r="F334" s="41"/>
      <c r="G334" s="41"/>
      <c r="H334" s="41"/>
      <c r="I334" s="41"/>
      <c r="J334" s="41"/>
    </row>
    <row r="335">
      <c r="A335" s="41"/>
      <c r="B335" s="41"/>
      <c r="C335" s="41"/>
      <c r="F335" s="41"/>
      <c r="G335" s="41"/>
      <c r="H335" s="41"/>
      <c r="I335" s="41"/>
      <c r="J335" s="41"/>
    </row>
    <row r="336">
      <c r="A336" s="41"/>
      <c r="B336" s="41"/>
      <c r="C336" s="41"/>
      <c r="F336" s="41"/>
      <c r="G336" s="41"/>
      <c r="H336" s="41"/>
      <c r="I336" s="41"/>
      <c r="J336" s="41"/>
    </row>
    <row r="337">
      <c r="A337" s="41"/>
      <c r="B337" s="41"/>
      <c r="C337" s="41"/>
      <c r="F337" s="41"/>
      <c r="G337" s="41"/>
      <c r="H337" s="41"/>
      <c r="I337" s="41"/>
      <c r="J337" s="41"/>
    </row>
    <row r="338">
      <c r="A338" s="41"/>
      <c r="B338" s="41"/>
      <c r="C338" s="41"/>
      <c r="F338" s="41"/>
      <c r="G338" s="41"/>
      <c r="H338" s="41"/>
      <c r="I338" s="41"/>
      <c r="J338" s="41"/>
    </row>
    <row r="339">
      <c r="A339" s="41"/>
      <c r="B339" s="41"/>
      <c r="C339" s="41"/>
      <c r="F339" s="41"/>
      <c r="G339" s="41"/>
      <c r="H339" s="41"/>
      <c r="I339" s="41"/>
      <c r="J339" s="41"/>
    </row>
    <row r="340">
      <c r="A340" s="41"/>
      <c r="B340" s="41"/>
      <c r="C340" s="41"/>
      <c r="F340" s="41"/>
      <c r="G340" s="41"/>
      <c r="H340" s="41"/>
      <c r="I340" s="41"/>
      <c r="J340" s="41"/>
    </row>
    <row r="341">
      <c r="A341" s="41"/>
      <c r="B341" s="41"/>
      <c r="C341" s="41"/>
      <c r="F341" s="41"/>
      <c r="G341" s="41"/>
      <c r="H341" s="41"/>
      <c r="I341" s="41"/>
      <c r="J341" s="41"/>
    </row>
    <row r="342">
      <c r="A342" s="41"/>
      <c r="B342" s="41"/>
      <c r="C342" s="41"/>
      <c r="F342" s="41"/>
      <c r="G342" s="41"/>
      <c r="H342" s="41"/>
      <c r="I342" s="41"/>
      <c r="J342" s="41"/>
    </row>
    <row r="343">
      <c r="A343" s="41"/>
      <c r="B343" s="41"/>
      <c r="C343" s="41"/>
      <c r="F343" s="41"/>
      <c r="G343" s="41"/>
      <c r="H343" s="41"/>
      <c r="I343" s="41"/>
      <c r="J343" s="41"/>
    </row>
    <row r="344">
      <c r="A344" s="41"/>
      <c r="B344" s="41"/>
      <c r="C344" s="41"/>
      <c r="F344" s="41"/>
      <c r="G344" s="41"/>
      <c r="H344" s="41"/>
      <c r="I344" s="41"/>
      <c r="J344" s="41"/>
    </row>
    <row r="345">
      <c r="A345" s="41"/>
      <c r="B345" s="41"/>
      <c r="C345" s="41"/>
      <c r="F345" s="41"/>
      <c r="G345" s="41"/>
      <c r="H345" s="41"/>
      <c r="I345" s="41"/>
      <c r="J345" s="41"/>
    </row>
    <row r="346">
      <c r="A346" s="41"/>
      <c r="B346" s="41"/>
      <c r="C346" s="41"/>
      <c r="F346" s="41"/>
      <c r="G346" s="41"/>
      <c r="H346" s="41"/>
      <c r="I346" s="41"/>
      <c r="J346" s="41"/>
    </row>
    <row r="347">
      <c r="A347" s="41"/>
      <c r="B347" s="41"/>
      <c r="C347" s="41"/>
      <c r="F347" s="41"/>
      <c r="G347" s="41"/>
      <c r="H347" s="41"/>
      <c r="I347" s="41"/>
      <c r="J347" s="41"/>
    </row>
    <row r="348">
      <c r="A348" s="41"/>
      <c r="B348" s="41"/>
      <c r="C348" s="41"/>
      <c r="F348" s="41"/>
      <c r="G348" s="41"/>
      <c r="H348" s="41"/>
      <c r="I348" s="41"/>
      <c r="J348" s="41"/>
    </row>
    <row r="349">
      <c r="A349" s="41"/>
      <c r="B349" s="41"/>
      <c r="C349" s="41"/>
      <c r="F349" s="41"/>
      <c r="G349" s="41"/>
      <c r="H349" s="41"/>
      <c r="I349" s="41"/>
      <c r="J349" s="41"/>
    </row>
    <row r="350">
      <c r="A350" s="41"/>
      <c r="B350" s="41"/>
      <c r="C350" s="41"/>
      <c r="F350" s="41"/>
      <c r="G350" s="41"/>
      <c r="H350" s="41"/>
      <c r="I350" s="41"/>
      <c r="J350" s="41"/>
    </row>
    <row r="351">
      <c r="A351" s="41"/>
      <c r="B351" s="41"/>
      <c r="C351" s="41"/>
      <c r="F351" s="41"/>
      <c r="G351" s="41"/>
      <c r="H351" s="41"/>
      <c r="I351" s="41"/>
      <c r="J351" s="41"/>
    </row>
    <row r="352">
      <c r="A352" s="41"/>
      <c r="B352" s="41"/>
      <c r="C352" s="41"/>
      <c r="F352" s="41"/>
      <c r="G352" s="41"/>
      <c r="H352" s="41"/>
      <c r="I352" s="41"/>
      <c r="J352" s="41"/>
    </row>
    <row r="353">
      <c r="A353" s="41"/>
      <c r="B353" s="41"/>
      <c r="C353" s="41"/>
      <c r="F353" s="41"/>
      <c r="G353" s="41"/>
      <c r="H353" s="41"/>
      <c r="I353" s="41"/>
      <c r="J353" s="41"/>
    </row>
    <row r="354">
      <c r="A354" s="41"/>
      <c r="B354" s="41"/>
      <c r="C354" s="41"/>
      <c r="F354" s="41"/>
      <c r="G354" s="41"/>
      <c r="H354" s="41"/>
      <c r="I354" s="41"/>
      <c r="J354" s="41"/>
    </row>
    <row r="355">
      <c r="A355" s="41"/>
      <c r="B355" s="41"/>
      <c r="C355" s="41"/>
      <c r="F355" s="41"/>
      <c r="G355" s="41"/>
      <c r="H355" s="41"/>
      <c r="I355" s="41"/>
      <c r="J355" s="41"/>
    </row>
    <row r="356">
      <c r="A356" s="41"/>
      <c r="B356" s="41"/>
      <c r="C356" s="41"/>
      <c r="F356" s="41"/>
      <c r="G356" s="41"/>
      <c r="H356" s="41"/>
      <c r="I356" s="41"/>
      <c r="J356" s="41"/>
    </row>
    <row r="357">
      <c r="A357" s="41"/>
      <c r="B357" s="41"/>
      <c r="C357" s="41"/>
      <c r="F357" s="41"/>
      <c r="G357" s="41"/>
      <c r="H357" s="41"/>
      <c r="I357" s="41"/>
      <c r="J357" s="41"/>
    </row>
    <row r="358">
      <c r="A358" s="41"/>
      <c r="B358" s="41"/>
      <c r="C358" s="41"/>
      <c r="F358" s="41"/>
      <c r="G358" s="41"/>
      <c r="H358" s="41"/>
      <c r="I358" s="41"/>
      <c r="J358" s="41"/>
    </row>
    <row r="359">
      <c r="A359" s="41"/>
      <c r="B359" s="41"/>
      <c r="C359" s="41"/>
      <c r="F359" s="41"/>
      <c r="G359" s="41"/>
      <c r="H359" s="41"/>
      <c r="I359" s="41"/>
      <c r="J359" s="41"/>
    </row>
    <row r="360">
      <c r="A360" s="41"/>
      <c r="B360" s="41"/>
      <c r="C360" s="41"/>
      <c r="F360" s="41"/>
      <c r="G360" s="41"/>
      <c r="H360" s="41"/>
      <c r="I360" s="41"/>
      <c r="J360" s="41"/>
    </row>
    <row r="361">
      <c r="A361" s="41"/>
      <c r="B361" s="41"/>
      <c r="C361" s="41"/>
      <c r="F361" s="41"/>
      <c r="G361" s="41"/>
      <c r="H361" s="41"/>
      <c r="I361" s="41"/>
      <c r="J361" s="41"/>
    </row>
    <row r="362">
      <c r="A362" s="41"/>
      <c r="B362" s="41"/>
      <c r="C362" s="41"/>
      <c r="F362" s="41"/>
      <c r="G362" s="41"/>
      <c r="H362" s="41"/>
      <c r="I362" s="41"/>
      <c r="J362" s="41"/>
    </row>
    <row r="363">
      <c r="A363" s="41"/>
      <c r="B363" s="41"/>
      <c r="C363" s="41"/>
      <c r="F363" s="41"/>
      <c r="G363" s="41"/>
      <c r="H363" s="41"/>
      <c r="I363" s="41"/>
      <c r="J363" s="41"/>
    </row>
    <row r="364">
      <c r="A364" s="41"/>
      <c r="B364" s="41"/>
      <c r="C364" s="41"/>
      <c r="F364" s="41"/>
      <c r="G364" s="41"/>
      <c r="H364" s="41"/>
      <c r="I364" s="41"/>
      <c r="J364" s="41"/>
    </row>
    <row r="365">
      <c r="A365" s="41"/>
      <c r="B365" s="41"/>
      <c r="C365" s="41"/>
      <c r="F365" s="41"/>
      <c r="G365" s="41"/>
      <c r="H365" s="41"/>
      <c r="I365" s="41"/>
      <c r="J365" s="41"/>
    </row>
    <row r="366">
      <c r="A366" s="41"/>
      <c r="B366" s="41"/>
      <c r="C366" s="41"/>
      <c r="F366" s="41"/>
      <c r="G366" s="41"/>
      <c r="H366" s="41"/>
      <c r="I366" s="41"/>
      <c r="J366" s="41"/>
    </row>
    <row r="367">
      <c r="A367" s="41"/>
      <c r="B367" s="41"/>
      <c r="C367" s="41"/>
      <c r="F367" s="41"/>
      <c r="G367" s="41"/>
      <c r="H367" s="41"/>
      <c r="I367" s="41"/>
      <c r="J367" s="41"/>
    </row>
    <row r="368">
      <c r="A368" s="41"/>
      <c r="B368" s="41"/>
      <c r="C368" s="41"/>
      <c r="F368" s="41"/>
      <c r="G368" s="41"/>
      <c r="H368" s="41"/>
      <c r="I368" s="41"/>
      <c r="J368" s="41"/>
    </row>
    <row r="369">
      <c r="A369" s="41"/>
      <c r="B369" s="41"/>
      <c r="C369" s="41"/>
      <c r="F369" s="41"/>
      <c r="G369" s="41"/>
      <c r="H369" s="41"/>
      <c r="I369" s="41"/>
      <c r="J369" s="41"/>
    </row>
    <row r="370">
      <c r="A370" s="41"/>
      <c r="B370" s="41"/>
      <c r="C370" s="41"/>
      <c r="F370" s="41"/>
      <c r="G370" s="41"/>
      <c r="H370" s="41"/>
      <c r="I370" s="41"/>
      <c r="J370" s="41"/>
    </row>
    <row r="371">
      <c r="A371" s="41"/>
      <c r="B371" s="41"/>
      <c r="C371" s="41"/>
      <c r="F371" s="41"/>
      <c r="G371" s="41"/>
      <c r="H371" s="41"/>
      <c r="I371" s="41"/>
      <c r="J371" s="41"/>
    </row>
    <row r="372">
      <c r="A372" s="41"/>
      <c r="B372" s="41"/>
      <c r="C372" s="41"/>
      <c r="F372" s="41"/>
      <c r="G372" s="41"/>
      <c r="H372" s="41"/>
      <c r="I372" s="41"/>
      <c r="J372" s="41"/>
    </row>
    <row r="373">
      <c r="A373" s="41"/>
      <c r="B373" s="41"/>
      <c r="C373" s="41"/>
      <c r="F373" s="41"/>
      <c r="G373" s="41"/>
      <c r="H373" s="41"/>
      <c r="I373" s="41"/>
      <c r="J373" s="41"/>
    </row>
    <row r="374">
      <c r="A374" s="41"/>
      <c r="B374" s="41"/>
      <c r="C374" s="41"/>
      <c r="F374" s="41"/>
      <c r="G374" s="41"/>
      <c r="H374" s="41"/>
      <c r="I374" s="41"/>
      <c r="J374" s="41"/>
    </row>
    <row r="375">
      <c r="A375" s="41"/>
      <c r="B375" s="41"/>
      <c r="C375" s="41"/>
      <c r="F375" s="41"/>
      <c r="G375" s="41"/>
      <c r="H375" s="41"/>
      <c r="I375" s="41"/>
      <c r="J375" s="41"/>
    </row>
    <row r="376">
      <c r="A376" s="41"/>
      <c r="B376" s="41"/>
      <c r="C376" s="41"/>
      <c r="F376" s="41"/>
      <c r="G376" s="41"/>
      <c r="H376" s="41"/>
      <c r="I376" s="41"/>
      <c r="J376" s="41"/>
    </row>
    <row r="377">
      <c r="A377" s="41"/>
      <c r="B377" s="41"/>
      <c r="C377" s="41"/>
      <c r="F377" s="41"/>
      <c r="G377" s="41"/>
      <c r="H377" s="41"/>
      <c r="I377" s="41"/>
      <c r="J377" s="41"/>
    </row>
    <row r="378">
      <c r="A378" s="41"/>
      <c r="B378" s="41"/>
      <c r="C378" s="41"/>
      <c r="F378" s="41"/>
      <c r="G378" s="41"/>
      <c r="H378" s="41"/>
      <c r="I378" s="41"/>
      <c r="J378" s="41"/>
    </row>
    <row r="379">
      <c r="A379" s="41"/>
      <c r="B379" s="41"/>
      <c r="C379" s="41"/>
      <c r="F379" s="41"/>
      <c r="G379" s="41"/>
      <c r="H379" s="41"/>
      <c r="I379" s="41"/>
      <c r="J379" s="41"/>
    </row>
    <row r="380">
      <c r="A380" s="41"/>
      <c r="B380" s="41"/>
      <c r="C380" s="41"/>
      <c r="F380" s="41"/>
      <c r="G380" s="41"/>
      <c r="H380" s="41"/>
      <c r="I380" s="41"/>
      <c r="J380" s="41"/>
    </row>
    <row r="381">
      <c r="A381" s="41"/>
      <c r="B381" s="41"/>
      <c r="C381" s="41"/>
      <c r="F381" s="41"/>
      <c r="G381" s="41"/>
      <c r="H381" s="41"/>
      <c r="I381" s="41"/>
      <c r="J381" s="41"/>
    </row>
    <row r="382">
      <c r="A382" s="41"/>
      <c r="B382" s="41"/>
      <c r="C382" s="41"/>
      <c r="F382" s="41"/>
      <c r="G382" s="41"/>
      <c r="H382" s="41"/>
      <c r="I382" s="41"/>
      <c r="J382" s="41"/>
    </row>
    <row r="383">
      <c r="A383" s="41"/>
      <c r="B383" s="41"/>
      <c r="C383" s="41"/>
      <c r="F383" s="41"/>
      <c r="G383" s="41"/>
      <c r="H383" s="41"/>
      <c r="I383" s="41"/>
      <c r="J383" s="41"/>
    </row>
    <row r="384">
      <c r="A384" s="41"/>
      <c r="B384" s="41"/>
      <c r="C384" s="41"/>
      <c r="F384" s="41"/>
      <c r="G384" s="41"/>
      <c r="H384" s="41"/>
      <c r="I384" s="41"/>
      <c r="J384" s="41"/>
    </row>
    <row r="385">
      <c r="A385" s="41"/>
      <c r="B385" s="41"/>
      <c r="C385" s="41"/>
      <c r="F385" s="41"/>
      <c r="G385" s="41"/>
      <c r="H385" s="41"/>
      <c r="I385" s="41"/>
      <c r="J385" s="41"/>
    </row>
    <row r="386">
      <c r="A386" s="41"/>
      <c r="B386" s="41"/>
      <c r="C386" s="41"/>
      <c r="F386" s="41"/>
      <c r="G386" s="41"/>
      <c r="H386" s="41"/>
      <c r="I386" s="41"/>
      <c r="J386" s="41"/>
    </row>
    <row r="387">
      <c r="A387" s="41"/>
      <c r="B387" s="41"/>
      <c r="C387" s="41"/>
      <c r="F387" s="41"/>
      <c r="G387" s="41"/>
      <c r="H387" s="41"/>
      <c r="I387" s="41"/>
      <c r="J387" s="41"/>
    </row>
    <row r="388">
      <c r="A388" s="41"/>
      <c r="B388" s="41"/>
      <c r="C388" s="41"/>
      <c r="F388" s="41"/>
      <c r="G388" s="41"/>
      <c r="H388" s="41"/>
      <c r="I388" s="41"/>
      <c r="J388" s="41"/>
    </row>
    <row r="389">
      <c r="A389" s="41"/>
      <c r="B389" s="41"/>
      <c r="C389" s="41"/>
      <c r="F389" s="41"/>
      <c r="G389" s="41"/>
      <c r="H389" s="41"/>
      <c r="I389" s="41"/>
      <c r="J389" s="41"/>
    </row>
    <row r="390">
      <c r="A390" s="41"/>
      <c r="B390" s="41"/>
      <c r="C390" s="41"/>
      <c r="F390" s="41"/>
      <c r="G390" s="41"/>
      <c r="H390" s="41"/>
      <c r="I390" s="41"/>
      <c r="J390" s="41"/>
    </row>
    <row r="391">
      <c r="A391" s="41"/>
      <c r="B391" s="41"/>
      <c r="C391" s="41"/>
      <c r="F391" s="41"/>
      <c r="G391" s="41"/>
      <c r="H391" s="41"/>
      <c r="I391" s="41"/>
      <c r="J391" s="41"/>
    </row>
    <row r="392">
      <c r="A392" s="41"/>
      <c r="B392" s="41"/>
      <c r="C392" s="41"/>
      <c r="F392" s="41"/>
      <c r="G392" s="41"/>
      <c r="H392" s="41"/>
      <c r="I392" s="41"/>
      <c r="J392" s="41"/>
    </row>
    <row r="393">
      <c r="A393" s="41"/>
      <c r="B393" s="41"/>
      <c r="C393" s="41"/>
      <c r="F393" s="41"/>
      <c r="G393" s="41"/>
      <c r="H393" s="41"/>
      <c r="I393" s="41"/>
      <c r="J393" s="41"/>
    </row>
    <row r="394">
      <c r="A394" s="41"/>
      <c r="B394" s="41"/>
      <c r="C394" s="41"/>
      <c r="F394" s="41"/>
      <c r="G394" s="41"/>
      <c r="H394" s="41"/>
      <c r="I394" s="41"/>
      <c r="J394" s="41"/>
    </row>
    <row r="395">
      <c r="A395" s="41"/>
      <c r="B395" s="41"/>
      <c r="C395" s="41"/>
      <c r="F395" s="41"/>
      <c r="G395" s="41"/>
      <c r="H395" s="41"/>
      <c r="I395" s="41"/>
      <c r="J395" s="41"/>
    </row>
    <row r="396">
      <c r="A396" s="41"/>
      <c r="B396" s="41"/>
      <c r="C396" s="41"/>
      <c r="F396" s="41"/>
      <c r="G396" s="41"/>
      <c r="H396" s="41"/>
      <c r="I396" s="41"/>
      <c r="J396" s="41"/>
    </row>
    <row r="397">
      <c r="A397" s="41"/>
      <c r="B397" s="41"/>
      <c r="C397" s="41"/>
      <c r="F397" s="41"/>
      <c r="G397" s="41"/>
      <c r="H397" s="41"/>
      <c r="I397" s="41"/>
      <c r="J397" s="41"/>
    </row>
    <row r="398">
      <c r="A398" s="41"/>
      <c r="B398" s="41"/>
      <c r="C398" s="41"/>
      <c r="F398" s="41"/>
      <c r="G398" s="41"/>
      <c r="H398" s="41"/>
      <c r="I398" s="41"/>
      <c r="J398" s="41"/>
    </row>
    <row r="399">
      <c r="A399" s="41"/>
      <c r="B399" s="41"/>
      <c r="C399" s="41"/>
      <c r="F399" s="41"/>
      <c r="G399" s="41"/>
      <c r="H399" s="41"/>
      <c r="I399" s="41"/>
      <c r="J399" s="41"/>
    </row>
    <row r="400">
      <c r="A400" s="41"/>
      <c r="B400" s="41"/>
      <c r="C400" s="41"/>
      <c r="F400" s="41"/>
      <c r="G400" s="41"/>
      <c r="H400" s="41"/>
      <c r="I400" s="41"/>
      <c r="J400" s="41"/>
    </row>
    <row r="401">
      <c r="A401" s="41"/>
      <c r="B401" s="41"/>
      <c r="C401" s="41"/>
      <c r="F401" s="41"/>
      <c r="G401" s="41"/>
      <c r="H401" s="41"/>
      <c r="I401" s="41"/>
      <c r="J401" s="41"/>
    </row>
    <row r="402">
      <c r="A402" s="41"/>
      <c r="B402" s="41"/>
      <c r="C402" s="41"/>
      <c r="F402" s="41"/>
      <c r="G402" s="41"/>
      <c r="H402" s="41"/>
      <c r="I402" s="41"/>
      <c r="J402" s="41"/>
    </row>
    <row r="403">
      <c r="A403" s="41"/>
      <c r="B403" s="41"/>
      <c r="C403" s="41"/>
      <c r="F403" s="41"/>
      <c r="G403" s="41"/>
      <c r="H403" s="41"/>
      <c r="I403" s="41"/>
      <c r="J403" s="41"/>
    </row>
    <row r="404">
      <c r="A404" s="41"/>
      <c r="B404" s="41"/>
      <c r="C404" s="41"/>
      <c r="F404" s="41"/>
      <c r="G404" s="41"/>
      <c r="H404" s="41"/>
      <c r="I404" s="41"/>
      <c r="J404" s="41"/>
    </row>
    <row r="405">
      <c r="A405" s="41"/>
      <c r="B405" s="41"/>
      <c r="C405" s="41"/>
      <c r="F405" s="41"/>
      <c r="G405" s="41"/>
      <c r="H405" s="41"/>
      <c r="I405" s="41"/>
      <c r="J405" s="41"/>
    </row>
    <row r="406">
      <c r="A406" s="41"/>
      <c r="B406" s="41"/>
      <c r="C406" s="41"/>
      <c r="F406" s="41"/>
      <c r="G406" s="41"/>
      <c r="H406" s="41"/>
      <c r="I406" s="41"/>
      <c r="J406" s="41"/>
    </row>
    <row r="407">
      <c r="A407" s="41"/>
      <c r="B407" s="41"/>
      <c r="C407" s="41"/>
      <c r="F407" s="41"/>
      <c r="G407" s="41"/>
      <c r="H407" s="41"/>
      <c r="I407" s="41"/>
      <c r="J407" s="41"/>
    </row>
    <row r="408">
      <c r="A408" s="41"/>
      <c r="B408" s="41"/>
      <c r="C408" s="41"/>
      <c r="F408" s="41"/>
      <c r="G408" s="41"/>
      <c r="H408" s="41"/>
      <c r="I408" s="41"/>
      <c r="J408" s="41"/>
    </row>
    <row r="409">
      <c r="A409" s="41"/>
      <c r="B409" s="41"/>
      <c r="C409" s="41"/>
      <c r="F409" s="41"/>
      <c r="G409" s="41"/>
      <c r="H409" s="41"/>
      <c r="I409" s="41"/>
      <c r="J409" s="41"/>
    </row>
    <row r="410">
      <c r="A410" s="41"/>
      <c r="B410" s="41"/>
      <c r="C410" s="41"/>
      <c r="F410" s="41"/>
      <c r="G410" s="41"/>
      <c r="H410" s="41"/>
      <c r="I410" s="41"/>
      <c r="J410" s="41"/>
    </row>
    <row r="411">
      <c r="A411" s="41"/>
      <c r="B411" s="41"/>
      <c r="C411" s="41"/>
      <c r="F411" s="41"/>
      <c r="G411" s="41"/>
      <c r="H411" s="41"/>
      <c r="I411" s="41"/>
      <c r="J411" s="41"/>
    </row>
    <row r="412">
      <c r="A412" s="41"/>
      <c r="B412" s="41"/>
      <c r="C412" s="41"/>
      <c r="F412" s="41"/>
      <c r="G412" s="41"/>
      <c r="H412" s="41"/>
      <c r="I412" s="41"/>
      <c r="J412" s="41"/>
    </row>
    <row r="413">
      <c r="A413" s="41"/>
      <c r="B413" s="41"/>
      <c r="C413" s="41"/>
      <c r="F413" s="41"/>
      <c r="G413" s="41"/>
      <c r="H413" s="41"/>
      <c r="I413" s="41"/>
      <c r="J413" s="41"/>
    </row>
    <row r="414">
      <c r="A414" s="41"/>
      <c r="B414" s="41"/>
      <c r="C414" s="41"/>
      <c r="F414" s="41"/>
      <c r="G414" s="41"/>
      <c r="H414" s="41"/>
      <c r="I414" s="41"/>
      <c r="J414" s="41"/>
    </row>
    <row r="415">
      <c r="A415" s="41"/>
      <c r="B415" s="41"/>
      <c r="C415" s="41"/>
      <c r="F415" s="41"/>
      <c r="G415" s="41"/>
      <c r="H415" s="41"/>
      <c r="I415" s="41"/>
      <c r="J415" s="41"/>
    </row>
    <row r="416">
      <c r="A416" s="41"/>
      <c r="B416" s="41"/>
      <c r="C416" s="41"/>
      <c r="F416" s="41"/>
      <c r="G416" s="41"/>
      <c r="H416" s="41"/>
      <c r="I416" s="41"/>
      <c r="J416" s="41"/>
    </row>
    <row r="417">
      <c r="A417" s="41"/>
      <c r="B417" s="41"/>
      <c r="C417" s="41"/>
      <c r="F417" s="41"/>
      <c r="G417" s="41"/>
      <c r="H417" s="41"/>
      <c r="I417" s="41"/>
      <c r="J417" s="41"/>
    </row>
    <row r="418">
      <c r="A418" s="41"/>
      <c r="B418" s="41"/>
      <c r="C418" s="41"/>
      <c r="F418" s="41"/>
      <c r="G418" s="41"/>
      <c r="H418" s="41"/>
      <c r="I418" s="41"/>
      <c r="J418" s="41"/>
    </row>
    <row r="419">
      <c r="A419" s="41"/>
      <c r="B419" s="41"/>
      <c r="C419" s="41"/>
      <c r="F419" s="41"/>
      <c r="G419" s="41"/>
      <c r="H419" s="41"/>
      <c r="I419" s="41"/>
      <c r="J419" s="41"/>
    </row>
    <row r="420">
      <c r="A420" s="41"/>
      <c r="B420" s="41"/>
      <c r="C420" s="41"/>
      <c r="F420" s="41"/>
      <c r="G420" s="41"/>
      <c r="H420" s="41"/>
      <c r="I420" s="41"/>
      <c r="J420" s="41"/>
    </row>
    <row r="421">
      <c r="A421" s="41"/>
      <c r="B421" s="41"/>
      <c r="C421" s="41"/>
      <c r="F421" s="41"/>
      <c r="G421" s="41"/>
      <c r="H421" s="41"/>
      <c r="I421" s="41"/>
      <c r="J421" s="41"/>
    </row>
    <row r="422">
      <c r="A422" s="41"/>
      <c r="B422" s="41"/>
      <c r="C422" s="41"/>
      <c r="F422" s="41"/>
      <c r="G422" s="41"/>
      <c r="H422" s="41"/>
      <c r="I422" s="41"/>
      <c r="J422" s="41"/>
    </row>
    <row r="423">
      <c r="A423" s="41"/>
      <c r="B423" s="41"/>
      <c r="C423" s="41"/>
      <c r="F423" s="41"/>
      <c r="G423" s="41"/>
      <c r="H423" s="41"/>
      <c r="I423" s="41"/>
      <c r="J423" s="41"/>
    </row>
    <row r="424">
      <c r="A424" s="41"/>
      <c r="B424" s="41"/>
      <c r="C424" s="41"/>
      <c r="F424" s="41"/>
      <c r="G424" s="41"/>
      <c r="H424" s="41"/>
      <c r="I424" s="41"/>
      <c r="J424" s="41"/>
    </row>
    <row r="425">
      <c r="A425" s="41"/>
      <c r="B425" s="41"/>
      <c r="C425" s="41"/>
      <c r="F425" s="41"/>
      <c r="G425" s="41"/>
      <c r="H425" s="41"/>
      <c r="I425" s="41"/>
      <c r="J425" s="41"/>
    </row>
    <row r="426">
      <c r="A426" s="41"/>
      <c r="B426" s="41"/>
      <c r="C426" s="41"/>
      <c r="F426" s="41"/>
      <c r="G426" s="41"/>
      <c r="H426" s="41"/>
      <c r="I426" s="41"/>
      <c r="J426" s="41"/>
    </row>
    <row r="427">
      <c r="A427" s="41"/>
      <c r="B427" s="41"/>
      <c r="C427" s="41"/>
      <c r="F427" s="41"/>
      <c r="G427" s="41"/>
      <c r="H427" s="41"/>
      <c r="I427" s="41"/>
      <c r="J427" s="41"/>
    </row>
    <row r="428">
      <c r="A428" s="41"/>
      <c r="B428" s="41"/>
      <c r="C428" s="41"/>
      <c r="F428" s="41"/>
      <c r="G428" s="41"/>
      <c r="H428" s="41"/>
      <c r="I428" s="41"/>
      <c r="J428" s="41"/>
    </row>
    <row r="429">
      <c r="A429" s="41"/>
      <c r="B429" s="41"/>
      <c r="C429" s="41"/>
      <c r="F429" s="41"/>
      <c r="G429" s="41"/>
      <c r="H429" s="41"/>
      <c r="I429" s="41"/>
      <c r="J429" s="41"/>
    </row>
    <row r="430">
      <c r="A430" s="41"/>
      <c r="B430" s="41"/>
      <c r="C430" s="41"/>
      <c r="F430" s="41"/>
      <c r="G430" s="41"/>
      <c r="H430" s="41"/>
      <c r="I430" s="41"/>
      <c r="J430" s="41"/>
    </row>
    <row r="431">
      <c r="A431" s="41"/>
      <c r="B431" s="41"/>
      <c r="C431" s="41"/>
      <c r="F431" s="41"/>
      <c r="G431" s="41"/>
      <c r="H431" s="41"/>
      <c r="I431" s="41"/>
      <c r="J431" s="41"/>
    </row>
    <row r="432">
      <c r="A432" s="41"/>
      <c r="B432" s="41"/>
      <c r="C432" s="41"/>
      <c r="F432" s="41"/>
      <c r="G432" s="41"/>
      <c r="H432" s="41"/>
      <c r="I432" s="41"/>
      <c r="J432" s="41"/>
    </row>
    <row r="433">
      <c r="A433" s="41"/>
      <c r="B433" s="41"/>
      <c r="C433" s="41"/>
      <c r="F433" s="41"/>
      <c r="G433" s="41"/>
      <c r="H433" s="41"/>
      <c r="I433" s="41"/>
      <c r="J433" s="41"/>
    </row>
    <row r="434">
      <c r="A434" s="41"/>
      <c r="B434" s="41"/>
      <c r="C434" s="41"/>
      <c r="F434" s="41"/>
      <c r="G434" s="41"/>
      <c r="H434" s="41"/>
      <c r="I434" s="41"/>
      <c r="J434" s="41"/>
    </row>
    <row r="435">
      <c r="A435" s="41"/>
      <c r="B435" s="41"/>
      <c r="C435" s="41"/>
      <c r="F435" s="41"/>
      <c r="G435" s="41"/>
      <c r="H435" s="41"/>
      <c r="I435" s="41"/>
      <c r="J435" s="41"/>
    </row>
    <row r="436">
      <c r="A436" s="41"/>
      <c r="B436" s="41"/>
      <c r="C436" s="41"/>
      <c r="F436" s="41"/>
      <c r="G436" s="41"/>
      <c r="H436" s="41"/>
      <c r="I436" s="41"/>
      <c r="J436" s="41"/>
    </row>
    <row r="437">
      <c r="A437" s="41"/>
      <c r="B437" s="41"/>
      <c r="C437" s="41"/>
      <c r="F437" s="41"/>
      <c r="G437" s="41"/>
      <c r="H437" s="41"/>
      <c r="I437" s="41"/>
      <c r="J437" s="41"/>
    </row>
    <row r="438">
      <c r="A438" s="41"/>
      <c r="B438" s="41"/>
      <c r="C438" s="41"/>
      <c r="F438" s="41"/>
      <c r="G438" s="41"/>
      <c r="H438" s="41"/>
      <c r="I438" s="41"/>
      <c r="J438" s="41"/>
    </row>
    <row r="439">
      <c r="A439" s="41"/>
      <c r="B439" s="41"/>
      <c r="C439" s="41"/>
      <c r="F439" s="41"/>
      <c r="G439" s="41"/>
      <c r="H439" s="41"/>
      <c r="I439" s="41"/>
      <c r="J439" s="41"/>
    </row>
    <row r="440">
      <c r="A440" s="41"/>
      <c r="B440" s="41"/>
      <c r="C440" s="41"/>
      <c r="F440" s="41"/>
      <c r="G440" s="41"/>
      <c r="H440" s="41"/>
      <c r="I440" s="41"/>
      <c r="J440" s="41"/>
    </row>
    <row r="441">
      <c r="A441" s="41"/>
      <c r="B441" s="41"/>
      <c r="C441" s="41"/>
      <c r="F441" s="41"/>
      <c r="G441" s="41"/>
      <c r="H441" s="41"/>
      <c r="I441" s="41"/>
      <c r="J441" s="41"/>
    </row>
    <row r="442">
      <c r="A442" s="41"/>
      <c r="B442" s="41"/>
      <c r="C442" s="41"/>
      <c r="F442" s="41"/>
      <c r="G442" s="41"/>
      <c r="H442" s="41"/>
      <c r="I442" s="41"/>
      <c r="J442" s="41"/>
    </row>
    <row r="443">
      <c r="A443" s="41"/>
      <c r="B443" s="41"/>
      <c r="C443" s="41"/>
      <c r="F443" s="41"/>
      <c r="G443" s="41"/>
      <c r="H443" s="41"/>
      <c r="I443" s="41"/>
      <c r="J443" s="41"/>
    </row>
    <row r="444">
      <c r="A444" s="41"/>
      <c r="B444" s="41"/>
      <c r="C444" s="41"/>
      <c r="F444" s="41"/>
      <c r="G444" s="41"/>
      <c r="H444" s="41"/>
      <c r="I444" s="41"/>
      <c r="J444" s="41"/>
    </row>
    <row r="445">
      <c r="A445" s="41"/>
      <c r="B445" s="41"/>
      <c r="C445" s="41"/>
      <c r="F445" s="41"/>
      <c r="G445" s="41"/>
      <c r="H445" s="41"/>
      <c r="I445" s="41"/>
      <c r="J445" s="41"/>
    </row>
    <row r="446">
      <c r="A446" s="41"/>
      <c r="B446" s="41"/>
      <c r="C446" s="41"/>
      <c r="F446" s="41"/>
      <c r="G446" s="41"/>
      <c r="H446" s="41"/>
      <c r="I446" s="41"/>
      <c r="J446" s="41"/>
    </row>
    <row r="447">
      <c r="A447" s="41"/>
      <c r="B447" s="41"/>
      <c r="C447" s="41"/>
      <c r="F447" s="41"/>
      <c r="G447" s="41"/>
      <c r="H447" s="41"/>
      <c r="I447" s="41"/>
      <c r="J447" s="41"/>
    </row>
    <row r="448">
      <c r="A448" s="41"/>
      <c r="B448" s="41"/>
      <c r="C448" s="41"/>
      <c r="F448" s="41"/>
      <c r="G448" s="41"/>
      <c r="H448" s="41"/>
      <c r="I448" s="41"/>
      <c r="J448" s="41"/>
    </row>
    <row r="449">
      <c r="A449" s="41"/>
      <c r="B449" s="41"/>
      <c r="C449" s="41"/>
      <c r="F449" s="41"/>
      <c r="G449" s="41"/>
      <c r="H449" s="41"/>
      <c r="I449" s="41"/>
      <c r="J449" s="41"/>
    </row>
    <row r="450">
      <c r="A450" s="41"/>
      <c r="B450" s="41"/>
      <c r="C450" s="41"/>
      <c r="F450" s="41"/>
      <c r="G450" s="41"/>
      <c r="H450" s="41"/>
      <c r="I450" s="41"/>
      <c r="J450" s="41"/>
    </row>
    <row r="451">
      <c r="A451" s="41"/>
      <c r="B451" s="41"/>
      <c r="C451" s="41"/>
      <c r="F451" s="41"/>
      <c r="G451" s="41"/>
      <c r="H451" s="41"/>
      <c r="I451" s="41"/>
      <c r="J451" s="41"/>
    </row>
    <row r="452">
      <c r="A452" s="41"/>
      <c r="B452" s="41"/>
      <c r="C452" s="41"/>
      <c r="F452" s="41"/>
      <c r="G452" s="41"/>
      <c r="H452" s="41"/>
      <c r="I452" s="41"/>
      <c r="J452" s="41"/>
    </row>
    <row r="453">
      <c r="A453" s="41"/>
      <c r="B453" s="41"/>
      <c r="C453" s="41"/>
      <c r="F453" s="41"/>
      <c r="G453" s="41"/>
      <c r="H453" s="41"/>
      <c r="I453" s="41"/>
      <c r="J453" s="41"/>
    </row>
    <row r="454">
      <c r="A454" s="41"/>
      <c r="B454" s="41"/>
      <c r="C454" s="41"/>
      <c r="F454" s="41"/>
      <c r="G454" s="41"/>
      <c r="H454" s="41"/>
      <c r="I454" s="41"/>
      <c r="J454" s="41"/>
    </row>
    <row r="455">
      <c r="A455" s="41"/>
      <c r="B455" s="41"/>
      <c r="C455" s="41"/>
      <c r="F455" s="41"/>
      <c r="G455" s="41"/>
      <c r="H455" s="41"/>
      <c r="I455" s="41"/>
      <c r="J455" s="41"/>
    </row>
    <row r="456">
      <c r="A456" s="41"/>
      <c r="B456" s="41"/>
      <c r="C456" s="41"/>
      <c r="F456" s="41"/>
      <c r="G456" s="41"/>
      <c r="H456" s="41"/>
      <c r="I456" s="41"/>
      <c r="J456" s="41"/>
    </row>
    <row r="457">
      <c r="A457" s="41"/>
      <c r="B457" s="41"/>
      <c r="C457" s="41"/>
      <c r="F457" s="41"/>
      <c r="G457" s="41"/>
      <c r="H457" s="41"/>
      <c r="I457" s="41"/>
      <c r="J457" s="41"/>
    </row>
    <row r="458">
      <c r="A458" s="41"/>
      <c r="B458" s="41"/>
      <c r="C458" s="41"/>
      <c r="F458" s="41"/>
      <c r="G458" s="41"/>
      <c r="H458" s="41"/>
      <c r="I458" s="41"/>
      <c r="J458" s="41"/>
    </row>
    <row r="459">
      <c r="A459" s="41"/>
      <c r="B459" s="41"/>
      <c r="C459" s="41"/>
      <c r="F459" s="41"/>
      <c r="G459" s="41"/>
      <c r="H459" s="41"/>
      <c r="I459" s="41"/>
      <c r="J459" s="41"/>
    </row>
    <row r="460">
      <c r="A460" s="41"/>
      <c r="B460" s="41"/>
      <c r="C460" s="41"/>
      <c r="F460" s="41"/>
      <c r="G460" s="41"/>
      <c r="H460" s="41"/>
      <c r="I460" s="41"/>
      <c r="J460" s="41"/>
    </row>
    <row r="461">
      <c r="A461" s="41"/>
      <c r="B461" s="41"/>
      <c r="C461" s="41"/>
      <c r="F461" s="41"/>
      <c r="G461" s="41"/>
      <c r="H461" s="41"/>
      <c r="I461" s="41"/>
      <c r="J461" s="41"/>
    </row>
    <row r="462">
      <c r="A462" s="41"/>
      <c r="B462" s="41"/>
      <c r="C462" s="41"/>
      <c r="F462" s="41"/>
      <c r="G462" s="41"/>
      <c r="H462" s="41"/>
      <c r="I462" s="41"/>
      <c r="J462" s="41"/>
    </row>
    <row r="463">
      <c r="A463" s="41"/>
      <c r="B463" s="41"/>
      <c r="C463" s="41"/>
      <c r="F463" s="41"/>
      <c r="G463" s="41"/>
      <c r="H463" s="41"/>
      <c r="I463" s="41"/>
      <c r="J463" s="41"/>
    </row>
    <row r="464">
      <c r="A464" s="41"/>
      <c r="B464" s="41"/>
      <c r="C464" s="41"/>
      <c r="F464" s="41"/>
      <c r="G464" s="41"/>
      <c r="H464" s="41"/>
      <c r="I464" s="41"/>
      <c r="J464" s="41"/>
    </row>
    <row r="465">
      <c r="A465" s="41"/>
      <c r="B465" s="41"/>
      <c r="C465" s="41"/>
      <c r="F465" s="41"/>
      <c r="G465" s="41"/>
      <c r="H465" s="41"/>
      <c r="I465" s="41"/>
      <c r="J465" s="41"/>
    </row>
    <row r="466">
      <c r="A466" s="41"/>
      <c r="B466" s="41"/>
      <c r="C466" s="41"/>
      <c r="F466" s="41"/>
      <c r="G466" s="41"/>
      <c r="H466" s="41"/>
      <c r="I466" s="41"/>
      <c r="J466" s="41"/>
    </row>
    <row r="467">
      <c r="A467" s="41"/>
      <c r="B467" s="41"/>
      <c r="C467" s="41"/>
      <c r="F467" s="41"/>
      <c r="G467" s="41"/>
      <c r="H467" s="41"/>
      <c r="I467" s="41"/>
      <c r="J467" s="41"/>
    </row>
    <row r="468">
      <c r="A468" s="41"/>
      <c r="B468" s="41"/>
      <c r="C468" s="41"/>
      <c r="F468" s="41"/>
      <c r="G468" s="41"/>
      <c r="H468" s="41"/>
      <c r="I468" s="41"/>
      <c r="J468" s="41"/>
    </row>
    <row r="469">
      <c r="A469" s="41"/>
      <c r="B469" s="41"/>
      <c r="C469" s="41"/>
      <c r="F469" s="41"/>
      <c r="G469" s="41"/>
      <c r="H469" s="41"/>
      <c r="I469" s="41"/>
      <c r="J469" s="41"/>
    </row>
    <row r="470">
      <c r="A470" s="41"/>
      <c r="B470" s="41"/>
      <c r="C470" s="41"/>
      <c r="F470" s="41"/>
      <c r="G470" s="41"/>
      <c r="H470" s="41"/>
      <c r="I470" s="41"/>
      <c r="J470" s="41"/>
    </row>
    <row r="471">
      <c r="A471" s="41"/>
      <c r="B471" s="41"/>
      <c r="C471" s="41"/>
      <c r="F471" s="41"/>
      <c r="G471" s="41"/>
      <c r="H471" s="41"/>
      <c r="I471" s="41"/>
      <c r="J471" s="41"/>
    </row>
    <row r="472">
      <c r="A472" s="41"/>
      <c r="B472" s="41"/>
      <c r="C472" s="41"/>
      <c r="F472" s="41"/>
      <c r="G472" s="41"/>
      <c r="H472" s="41"/>
      <c r="I472" s="41"/>
      <c r="J472" s="41"/>
    </row>
    <row r="473">
      <c r="A473" s="41"/>
      <c r="B473" s="41"/>
      <c r="C473" s="41"/>
      <c r="F473" s="41"/>
      <c r="G473" s="41"/>
      <c r="H473" s="41"/>
      <c r="I473" s="41"/>
      <c r="J473" s="41"/>
    </row>
    <row r="474">
      <c r="A474" s="41"/>
      <c r="B474" s="41"/>
      <c r="C474" s="41"/>
      <c r="F474" s="41"/>
      <c r="G474" s="41"/>
      <c r="H474" s="41"/>
      <c r="I474" s="41"/>
      <c r="J474" s="41"/>
    </row>
    <row r="475">
      <c r="A475" s="41"/>
      <c r="B475" s="41"/>
      <c r="C475" s="41"/>
      <c r="F475" s="41"/>
      <c r="G475" s="41"/>
      <c r="H475" s="41"/>
      <c r="I475" s="41"/>
      <c r="J475" s="41"/>
    </row>
    <row r="476">
      <c r="A476" s="41"/>
      <c r="B476" s="41"/>
      <c r="C476" s="41"/>
      <c r="F476" s="41"/>
      <c r="G476" s="41"/>
      <c r="H476" s="41"/>
      <c r="I476" s="41"/>
      <c r="J476" s="41"/>
    </row>
    <row r="477">
      <c r="A477" s="41"/>
      <c r="B477" s="41"/>
      <c r="C477" s="41"/>
      <c r="F477" s="41"/>
      <c r="G477" s="41"/>
      <c r="H477" s="41"/>
      <c r="I477" s="41"/>
      <c r="J477" s="41"/>
    </row>
    <row r="478">
      <c r="A478" s="41"/>
      <c r="B478" s="41"/>
      <c r="C478" s="41"/>
      <c r="F478" s="41"/>
      <c r="G478" s="41"/>
      <c r="H478" s="41"/>
      <c r="I478" s="41"/>
      <c r="J478" s="41"/>
    </row>
    <row r="479">
      <c r="A479" s="41"/>
      <c r="B479" s="41"/>
      <c r="C479" s="41"/>
      <c r="F479" s="41"/>
      <c r="G479" s="41"/>
      <c r="H479" s="41"/>
      <c r="I479" s="41"/>
      <c r="J479" s="41"/>
    </row>
    <row r="480">
      <c r="A480" s="41"/>
      <c r="B480" s="41"/>
      <c r="C480" s="41"/>
      <c r="F480" s="41"/>
      <c r="G480" s="41"/>
      <c r="H480" s="41"/>
      <c r="I480" s="41"/>
      <c r="J480" s="41"/>
    </row>
    <row r="481">
      <c r="A481" s="41"/>
      <c r="B481" s="41"/>
      <c r="C481" s="41"/>
      <c r="F481" s="41"/>
      <c r="G481" s="41"/>
      <c r="H481" s="41"/>
      <c r="I481" s="41"/>
      <c r="J481" s="41"/>
    </row>
    <row r="482">
      <c r="A482" s="41"/>
      <c r="B482" s="41"/>
      <c r="C482" s="41"/>
      <c r="F482" s="41"/>
      <c r="G482" s="41"/>
      <c r="H482" s="41"/>
      <c r="I482" s="41"/>
      <c r="J482" s="41"/>
    </row>
    <row r="483">
      <c r="A483" s="41"/>
      <c r="B483" s="41"/>
      <c r="C483" s="41"/>
      <c r="F483" s="41"/>
      <c r="G483" s="41"/>
      <c r="H483" s="41"/>
      <c r="I483" s="41"/>
      <c r="J483" s="41"/>
    </row>
    <row r="484">
      <c r="A484" s="41"/>
      <c r="B484" s="41"/>
      <c r="C484" s="41"/>
      <c r="F484" s="41"/>
      <c r="G484" s="41"/>
      <c r="H484" s="41"/>
      <c r="I484" s="41"/>
      <c r="J484" s="41"/>
    </row>
    <row r="485">
      <c r="A485" s="41"/>
      <c r="B485" s="41"/>
      <c r="C485" s="41"/>
      <c r="F485" s="41"/>
      <c r="G485" s="41"/>
      <c r="H485" s="41"/>
      <c r="I485" s="41"/>
      <c r="J485" s="41"/>
    </row>
    <row r="486">
      <c r="A486" s="41"/>
      <c r="B486" s="41"/>
      <c r="C486" s="41"/>
      <c r="F486" s="41"/>
      <c r="G486" s="41"/>
      <c r="H486" s="41"/>
      <c r="I486" s="41"/>
      <c r="J486" s="41"/>
    </row>
    <row r="487">
      <c r="A487" s="41"/>
      <c r="B487" s="41"/>
      <c r="C487" s="41"/>
      <c r="F487" s="41"/>
      <c r="G487" s="41"/>
      <c r="H487" s="41"/>
      <c r="I487" s="41"/>
      <c r="J487" s="41"/>
    </row>
    <row r="488">
      <c r="A488" s="41"/>
      <c r="B488" s="41"/>
      <c r="C488" s="41"/>
      <c r="F488" s="41"/>
      <c r="G488" s="41"/>
      <c r="H488" s="41"/>
      <c r="I488" s="41"/>
      <c r="J488" s="41"/>
    </row>
    <row r="489">
      <c r="A489" s="41"/>
      <c r="B489" s="41"/>
      <c r="C489" s="41"/>
      <c r="F489" s="41"/>
      <c r="G489" s="41"/>
      <c r="H489" s="41"/>
      <c r="I489" s="41"/>
      <c r="J489" s="41"/>
    </row>
    <row r="490">
      <c r="A490" s="41"/>
      <c r="B490" s="41"/>
      <c r="C490" s="41"/>
      <c r="F490" s="41"/>
      <c r="G490" s="41"/>
      <c r="H490" s="41"/>
      <c r="I490" s="41"/>
      <c r="J490" s="41"/>
    </row>
    <row r="491">
      <c r="A491" s="41"/>
      <c r="B491" s="41"/>
      <c r="C491" s="41"/>
      <c r="F491" s="41"/>
      <c r="G491" s="41"/>
      <c r="H491" s="41"/>
      <c r="I491" s="41"/>
      <c r="J491" s="41"/>
    </row>
    <row r="492">
      <c r="A492" s="41"/>
      <c r="B492" s="41"/>
      <c r="C492" s="41"/>
      <c r="F492" s="41"/>
      <c r="G492" s="41"/>
      <c r="H492" s="41"/>
      <c r="I492" s="41"/>
      <c r="J492" s="41"/>
    </row>
    <row r="493">
      <c r="A493" s="41"/>
      <c r="B493" s="41"/>
      <c r="C493" s="41"/>
      <c r="F493" s="41"/>
      <c r="G493" s="41"/>
      <c r="H493" s="41"/>
      <c r="I493" s="41"/>
      <c r="J493" s="41"/>
    </row>
    <row r="494">
      <c r="A494" s="41"/>
      <c r="B494" s="41"/>
      <c r="C494" s="41"/>
      <c r="F494" s="41"/>
      <c r="G494" s="41"/>
      <c r="H494" s="41"/>
      <c r="I494" s="41"/>
      <c r="J494" s="41"/>
    </row>
    <row r="495">
      <c r="A495" s="41"/>
      <c r="B495" s="41"/>
      <c r="C495" s="41"/>
      <c r="F495" s="41"/>
      <c r="G495" s="41"/>
      <c r="H495" s="41"/>
      <c r="I495" s="41"/>
      <c r="J495" s="41"/>
    </row>
    <row r="496">
      <c r="A496" s="41"/>
      <c r="B496" s="41"/>
      <c r="C496" s="41"/>
      <c r="F496" s="41"/>
      <c r="G496" s="41"/>
      <c r="H496" s="41"/>
      <c r="I496" s="41"/>
      <c r="J496" s="41"/>
    </row>
    <row r="497">
      <c r="A497" s="41"/>
      <c r="B497" s="41"/>
      <c r="C497" s="41"/>
      <c r="F497" s="41"/>
      <c r="G497" s="41"/>
      <c r="H497" s="41"/>
      <c r="I497" s="41"/>
      <c r="J497" s="41"/>
    </row>
    <row r="498">
      <c r="A498" s="41"/>
      <c r="B498" s="41"/>
      <c r="C498" s="41"/>
      <c r="F498" s="41"/>
      <c r="G498" s="41"/>
      <c r="H498" s="41"/>
      <c r="I498" s="41"/>
      <c r="J498" s="41"/>
    </row>
    <row r="499">
      <c r="A499" s="41"/>
      <c r="B499" s="41"/>
      <c r="C499" s="41"/>
      <c r="F499" s="41"/>
      <c r="G499" s="41"/>
      <c r="H499" s="41"/>
      <c r="I499" s="41"/>
      <c r="J499" s="41"/>
    </row>
    <row r="500">
      <c r="A500" s="41"/>
      <c r="B500" s="41"/>
      <c r="C500" s="41"/>
      <c r="F500" s="41"/>
      <c r="G500" s="41"/>
      <c r="H500" s="41"/>
      <c r="I500" s="41"/>
      <c r="J500" s="41"/>
    </row>
    <row r="501">
      <c r="A501" s="41"/>
      <c r="B501" s="41"/>
      <c r="C501" s="41"/>
      <c r="F501" s="41"/>
      <c r="G501" s="41"/>
      <c r="H501" s="41"/>
      <c r="I501" s="41"/>
      <c r="J501" s="41"/>
    </row>
    <row r="502">
      <c r="A502" s="41"/>
      <c r="B502" s="41"/>
      <c r="C502" s="41"/>
      <c r="F502" s="41"/>
      <c r="G502" s="41"/>
      <c r="H502" s="41"/>
      <c r="I502" s="41"/>
      <c r="J502" s="41"/>
    </row>
    <row r="503">
      <c r="A503" s="41"/>
      <c r="B503" s="41"/>
      <c r="C503" s="41"/>
      <c r="F503" s="41"/>
      <c r="G503" s="41"/>
      <c r="H503" s="41"/>
      <c r="I503" s="41"/>
      <c r="J503" s="41"/>
    </row>
    <row r="504">
      <c r="A504" s="41"/>
      <c r="B504" s="41"/>
      <c r="C504" s="41"/>
      <c r="F504" s="41"/>
      <c r="G504" s="41"/>
      <c r="H504" s="41"/>
      <c r="I504" s="41"/>
      <c r="J504" s="41"/>
    </row>
    <row r="505">
      <c r="A505" s="41"/>
      <c r="B505" s="41"/>
      <c r="C505" s="41"/>
      <c r="F505" s="41"/>
      <c r="G505" s="41"/>
      <c r="H505" s="41"/>
      <c r="I505" s="41"/>
      <c r="J505" s="41"/>
    </row>
    <row r="506">
      <c r="A506" s="41"/>
      <c r="B506" s="41"/>
      <c r="C506" s="41"/>
      <c r="F506" s="41"/>
      <c r="G506" s="41"/>
      <c r="H506" s="41"/>
      <c r="I506" s="41"/>
      <c r="J506" s="41"/>
    </row>
    <row r="507">
      <c r="A507" s="41"/>
      <c r="B507" s="41"/>
      <c r="C507" s="41"/>
      <c r="F507" s="41"/>
      <c r="G507" s="41"/>
      <c r="H507" s="41"/>
      <c r="I507" s="41"/>
      <c r="J507" s="41"/>
    </row>
    <row r="508">
      <c r="A508" s="41"/>
      <c r="B508" s="41"/>
      <c r="C508" s="41"/>
      <c r="F508" s="41"/>
      <c r="G508" s="41"/>
      <c r="H508" s="41"/>
      <c r="I508" s="41"/>
      <c r="J508" s="41"/>
    </row>
    <row r="509">
      <c r="A509" s="41"/>
      <c r="B509" s="41"/>
      <c r="C509" s="41"/>
      <c r="F509" s="41"/>
      <c r="G509" s="41"/>
      <c r="H509" s="41"/>
      <c r="I509" s="41"/>
      <c r="J509" s="41"/>
    </row>
    <row r="510">
      <c r="A510" s="41"/>
      <c r="B510" s="41"/>
      <c r="C510" s="41"/>
      <c r="F510" s="41"/>
      <c r="G510" s="41"/>
      <c r="H510" s="41"/>
      <c r="I510" s="41"/>
      <c r="J510" s="41"/>
    </row>
    <row r="511">
      <c r="A511" s="41"/>
      <c r="B511" s="41"/>
      <c r="C511" s="41"/>
      <c r="F511" s="41"/>
      <c r="G511" s="41"/>
      <c r="H511" s="41"/>
      <c r="I511" s="41"/>
      <c r="J511" s="41"/>
    </row>
    <row r="512">
      <c r="A512" s="41"/>
      <c r="B512" s="41"/>
      <c r="C512" s="41"/>
      <c r="F512" s="41"/>
      <c r="G512" s="41"/>
      <c r="H512" s="41"/>
      <c r="I512" s="41"/>
      <c r="J512" s="41"/>
    </row>
    <row r="513">
      <c r="A513" s="41"/>
      <c r="B513" s="41"/>
      <c r="C513" s="41"/>
      <c r="F513" s="41"/>
      <c r="G513" s="41"/>
      <c r="H513" s="41"/>
      <c r="I513" s="41"/>
      <c r="J513" s="41"/>
    </row>
    <row r="514">
      <c r="A514" s="41"/>
      <c r="B514" s="41"/>
      <c r="C514" s="41"/>
      <c r="F514" s="41"/>
      <c r="G514" s="41"/>
      <c r="H514" s="41"/>
      <c r="I514" s="41"/>
      <c r="J514" s="41"/>
    </row>
    <row r="515">
      <c r="A515" s="41"/>
      <c r="B515" s="41"/>
      <c r="C515" s="41"/>
      <c r="F515" s="41"/>
      <c r="G515" s="41"/>
      <c r="H515" s="41"/>
      <c r="I515" s="41"/>
      <c r="J515" s="41"/>
    </row>
    <row r="516">
      <c r="A516" s="41"/>
      <c r="B516" s="41"/>
      <c r="C516" s="41"/>
      <c r="F516" s="41"/>
      <c r="G516" s="41"/>
      <c r="H516" s="41"/>
      <c r="I516" s="41"/>
      <c r="J516" s="41"/>
    </row>
    <row r="517">
      <c r="A517" s="41"/>
      <c r="B517" s="41"/>
      <c r="C517" s="41"/>
      <c r="F517" s="41"/>
      <c r="G517" s="41"/>
      <c r="H517" s="41"/>
      <c r="I517" s="41"/>
      <c r="J517" s="41"/>
    </row>
    <row r="518">
      <c r="A518" s="41"/>
      <c r="B518" s="41"/>
      <c r="C518" s="41"/>
      <c r="F518" s="41"/>
      <c r="G518" s="41"/>
      <c r="H518" s="41"/>
      <c r="I518" s="41"/>
      <c r="J518" s="41"/>
    </row>
    <row r="519">
      <c r="A519" s="41"/>
      <c r="B519" s="41"/>
      <c r="C519" s="41"/>
      <c r="F519" s="41"/>
      <c r="G519" s="41"/>
      <c r="H519" s="41"/>
      <c r="I519" s="41"/>
      <c r="J519" s="41"/>
    </row>
    <row r="520">
      <c r="A520" s="41"/>
      <c r="B520" s="41"/>
      <c r="C520" s="41"/>
      <c r="F520" s="41"/>
      <c r="G520" s="41"/>
      <c r="H520" s="41"/>
      <c r="I520" s="41"/>
      <c r="J520" s="41"/>
    </row>
    <row r="521">
      <c r="A521" s="41"/>
      <c r="B521" s="41"/>
      <c r="C521" s="41"/>
      <c r="F521" s="41"/>
      <c r="G521" s="41"/>
      <c r="H521" s="41"/>
      <c r="I521" s="41"/>
      <c r="J521" s="41"/>
    </row>
    <row r="522">
      <c r="A522" s="41"/>
      <c r="B522" s="41"/>
      <c r="C522" s="41"/>
      <c r="F522" s="41"/>
      <c r="G522" s="41"/>
      <c r="H522" s="41"/>
      <c r="I522" s="41"/>
      <c r="J522" s="41"/>
    </row>
    <row r="523">
      <c r="A523" s="41"/>
      <c r="B523" s="41"/>
      <c r="C523" s="41"/>
      <c r="F523" s="41"/>
      <c r="G523" s="41"/>
      <c r="H523" s="41"/>
      <c r="I523" s="41"/>
      <c r="J523" s="41"/>
    </row>
    <row r="524">
      <c r="A524" s="41"/>
      <c r="B524" s="41"/>
      <c r="C524" s="41"/>
      <c r="F524" s="41"/>
      <c r="G524" s="41"/>
      <c r="H524" s="41"/>
      <c r="I524" s="41"/>
      <c r="J524" s="41"/>
    </row>
    <row r="525">
      <c r="A525" s="41"/>
      <c r="B525" s="41"/>
      <c r="C525" s="41"/>
      <c r="F525" s="41"/>
      <c r="G525" s="41"/>
      <c r="H525" s="41"/>
      <c r="I525" s="41"/>
      <c r="J525" s="41"/>
    </row>
    <row r="526">
      <c r="A526" s="41"/>
      <c r="B526" s="41"/>
      <c r="C526" s="41"/>
      <c r="F526" s="41"/>
      <c r="G526" s="41"/>
      <c r="H526" s="41"/>
      <c r="I526" s="41"/>
      <c r="J526" s="41"/>
    </row>
    <row r="527">
      <c r="A527" s="41"/>
      <c r="B527" s="41"/>
      <c r="C527" s="41"/>
      <c r="F527" s="41"/>
      <c r="G527" s="41"/>
      <c r="H527" s="41"/>
      <c r="I527" s="41"/>
      <c r="J527" s="41"/>
    </row>
    <row r="528">
      <c r="A528" s="41"/>
      <c r="B528" s="41"/>
      <c r="C528" s="41"/>
      <c r="F528" s="41"/>
      <c r="G528" s="41"/>
      <c r="H528" s="41"/>
      <c r="I528" s="41"/>
      <c r="J528" s="41"/>
    </row>
    <row r="529">
      <c r="A529" s="41"/>
      <c r="B529" s="41"/>
      <c r="C529" s="41"/>
      <c r="F529" s="41"/>
      <c r="G529" s="41"/>
      <c r="H529" s="41"/>
      <c r="I529" s="41"/>
      <c r="J529" s="41"/>
    </row>
    <row r="530">
      <c r="A530" s="41"/>
      <c r="B530" s="41"/>
      <c r="C530" s="41"/>
      <c r="F530" s="41"/>
      <c r="G530" s="41"/>
      <c r="H530" s="41"/>
      <c r="I530" s="41"/>
      <c r="J530" s="41"/>
    </row>
    <row r="531">
      <c r="A531" s="41"/>
      <c r="B531" s="41"/>
      <c r="C531" s="41"/>
      <c r="F531" s="41"/>
      <c r="G531" s="41"/>
      <c r="H531" s="41"/>
      <c r="I531" s="41"/>
      <c r="J531" s="41"/>
    </row>
    <row r="532">
      <c r="A532" s="41"/>
      <c r="B532" s="41"/>
      <c r="C532" s="41"/>
      <c r="F532" s="41"/>
      <c r="G532" s="41"/>
      <c r="H532" s="41"/>
      <c r="I532" s="41"/>
      <c r="J532" s="41"/>
    </row>
    <row r="533">
      <c r="A533" s="41"/>
      <c r="B533" s="41"/>
      <c r="C533" s="41"/>
      <c r="F533" s="41"/>
      <c r="G533" s="41"/>
      <c r="H533" s="41"/>
      <c r="I533" s="41"/>
      <c r="J533" s="41"/>
    </row>
    <row r="534">
      <c r="A534" s="41"/>
      <c r="B534" s="41"/>
      <c r="C534" s="41"/>
      <c r="F534" s="41"/>
      <c r="G534" s="41"/>
      <c r="H534" s="41"/>
      <c r="I534" s="41"/>
      <c r="J534" s="41"/>
    </row>
    <row r="535">
      <c r="A535" s="41"/>
      <c r="B535" s="41"/>
      <c r="C535" s="41"/>
      <c r="F535" s="41"/>
      <c r="G535" s="41"/>
      <c r="H535" s="41"/>
      <c r="I535" s="41"/>
      <c r="J535" s="41"/>
    </row>
    <row r="536">
      <c r="A536" s="41"/>
      <c r="B536" s="41"/>
      <c r="C536" s="41"/>
      <c r="F536" s="41"/>
      <c r="G536" s="41"/>
      <c r="H536" s="41"/>
      <c r="I536" s="41"/>
      <c r="J536" s="41"/>
    </row>
    <row r="537">
      <c r="A537" s="41"/>
      <c r="B537" s="41"/>
      <c r="C537" s="41"/>
      <c r="F537" s="41"/>
      <c r="G537" s="41"/>
      <c r="H537" s="41"/>
      <c r="I537" s="41"/>
      <c r="J537" s="41"/>
    </row>
    <row r="538">
      <c r="A538" s="41"/>
      <c r="B538" s="41"/>
      <c r="C538" s="41"/>
      <c r="F538" s="41"/>
      <c r="G538" s="41"/>
      <c r="H538" s="41"/>
      <c r="I538" s="41"/>
      <c r="J538" s="41"/>
    </row>
    <row r="539">
      <c r="A539" s="41"/>
      <c r="B539" s="41"/>
      <c r="C539" s="41"/>
      <c r="F539" s="41"/>
      <c r="G539" s="41"/>
      <c r="H539" s="41"/>
      <c r="I539" s="41"/>
      <c r="J539" s="41"/>
    </row>
    <row r="540">
      <c r="A540" s="41"/>
      <c r="B540" s="41"/>
      <c r="C540" s="41"/>
      <c r="F540" s="41"/>
      <c r="G540" s="41"/>
      <c r="H540" s="41"/>
      <c r="I540" s="41"/>
      <c r="J540" s="41"/>
    </row>
    <row r="541">
      <c r="A541" s="41"/>
      <c r="B541" s="41"/>
      <c r="C541" s="41"/>
      <c r="F541" s="41"/>
      <c r="G541" s="41"/>
      <c r="H541" s="41"/>
      <c r="I541" s="41"/>
      <c r="J541" s="41"/>
    </row>
    <row r="542">
      <c r="A542" s="41"/>
      <c r="B542" s="41"/>
      <c r="C542" s="41"/>
      <c r="F542" s="41"/>
      <c r="G542" s="41"/>
      <c r="H542" s="41"/>
      <c r="I542" s="41"/>
      <c r="J542" s="41"/>
    </row>
    <row r="543">
      <c r="A543" s="41"/>
      <c r="B543" s="41"/>
      <c r="C543" s="41"/>
      <c r="F543" s="41"/>
      <c r="G543" s="41"/>
      <c r="H543" s="41"/>
      <c r="I543" s="41"/>
      <c r="J543" s="41"/>
    </row>
    <row r="544">
      <c r="A544" s="41"/>
      <c r="B544" s="41"/>
      <c r="C544" s="41"/>
      <c r="F544" s="41"/>
      <c r="G544" s="41"/>
      <c r="H544" s="41"/>
      <c r="I544" s="41"/>
      <c r="J544" s="41"/>
    </row>
    <row r="545">
      <c r="A545" s="41"/>
      <c r="B545" s="41"/>
      <c r="C545" s="41"/>
      <c r="F545" s="41"/>
      <c r="G545" s="41"/>
      <c r="H545" s="41"/>
      <c r="I545" s="41"/>
      <c r="J545" s="41"/>
    </row>
    <row r="546">
      <c r="A546" s="41"/>
      <c r="B546" s="41"/>
      <c r="C546" s="41"/>
      <c r="F546" s="41"/>
      <c r="G546" s="41"/>
      <c r="H546" s="41"/>
      <c r="I546" s="41"/>
      <c r="J546" s="41"/>
    </row>
    <row r="547">
      <c r="A547" s="41"/>
      <c r="B547" s="41"/>
      <c r="C547" s="41"/>
      <c r="F547" s="41"/>
      <c r="G547" s="41"/>
      <c r="H547" s="41"/>
      <c r="I547" s="41"/>
      <c r="J547" s="41"/>
    </row>
    <row r="548">
      <c r="A548" s="41"/>
      <c r="B548" s="41"/>
      <c r="C548" s="41"/>
      <c r="F548" s="41"/>
      <c r="G548" s="41"/>
      <c r="H548" s="41"/>
      <c r="I548" s="41"/>
      <c r="J548" s="41"/>
    </row>
    <row r="549">
      <c r="A549" s="41"/>
      <c r="B549" s="41"/>
      <c r="C549" s="41"/>
      <c r="F549" s="41"/>
      <c r="G549" s="41"/>
      <c r="H549" s="41"/>
      <c r="I549" s="41"/>
      <c r="J549" s="41"/>
    </row>
    <row r="550">
      <c r="A550" s="41"/>
      <c r="B550" s="41"/>
      <c r="C550" s="41"/>
      <c r="F550" s="41"/>
      <c r="G550" s="41"/>
      <c r="H550" s="41"/>
      <c r="I550" s="41"/>
      <c r="J550" s="41"/>
    </row>
    <row r="551">
      <c r="A551" s="41"/>
      <c r="B551" s="41"/>
      <c r="C551" s="41"/>
      <c r="F551" s="41"/>
      <c r="G551" s="41"/>
      <c r="H551" s="41"/>
      <c r="I551" s="41"/>
      <c r="J551" s="41"/>
    </row>
    <row r="552">
      <c r="A552" s="41"/>
      <c r="B552" s="41"/>
      <c r="C552" s="41"/>
      <c r="F552" s="41"/>
      <c r="G552" s="41"/>
      <c r="H552" s="41"/>
      <c r="I552" s="41"/>
      <c r="J552" s="41"/>
    </row>
    <row r="553">
      <c r="A553" s="41"/>
      <c r="B553" s="41"/>
      <c r="C553" s="41"/>
      <c r="F553" s="41"/>
      <c r="G553" s="41"/>
      <c r="H553" s="41"/>
      <c r="I553" s="41"/>
      <c r="J553" s="41"/>
    </row>
    <row r="554">
      <c r="A554" s="41"/>
      <c r="B554" s="41"/>
      <c r="C554" s="41"/>
      <c r="F554" s="41"/>
      <c r="G554" s="41"/>
      <c r="H554" s="41"/>
      <c r="I554" s="41"/>
      <c r="J554" s="41"/>
    </row>
    <row r="555">
      <c r="A555" s="41"/>
      <c r="B555" s="41"/>
      <c r="C555" s="41"/>
      <c r="F555" s="41"/>
      <c r="G555" s="41"/>
      <c r="H555" s="41"/>
      <c r="I555" s="41"/>
      <c r="J555" s="41"/>
    </row>
    <row r="556">
      <c r="A556" s="41"/>
      <c r="B556" s="41"/>
      <c r="C556" s="41"/>
      <c r="F556" s="41"/>
      <c r="G556" s="41"/>
      <c r="H556" s="41"/>
      <c r="I556" s="41"/>
      <c r="J556" s="41"/>
    </row>
    <row r="557">
      <c r="A557" s="41"/>
      <c r="B557" s="41"/>
      <c r="C557" s="41"/>
      <c r="F557" s="41"/>
      <c r="G557" s="41"/>
      <c r="H557" s="41"/>
      <c r="I557" s="41"/>
      <c r="J557" s="41"/>
    </row>
    <row r="558">
      <c r="A558" s="41"/>
      <c r="B558" s="41"/>
      <c r="C558" s="41"/>
      <c r="F558" s="41"/>
      <c r="G558" s="41"/>
      <c r="H558" s="41"/>
      <c r="I558" s="41"/>
      <c r="J558" s="41"/>
    </row>
    <row r="559">
      <c r="A559" s="41"/>
      <c r="B559" s="41"/>
      <c r="C559" s="41"/>
      <c r="F559" s="41"/>
      <c r="G559" s="41"/>
      <c r="H559" s="41"/>
      <c r="I559" s="41"/>
      <c r="J559" s="41"/>
    </row>
    <row r="560">
      <c r="A560" s="41"/>
      <c r="B560" s="41"/>
      <c r="C560" s="41"/>
      <c r="F560" s="41"/>
      <c r="G560" s="41"/>
      <c r="H560" s="41"/>
      <c r="I560" s="41"/>
      <c r="J560" s="41"/>
    </row>
    <row r="561">
      <c r="A561" s="41"/>
      <c r="B561" s="41"/>
      <c r="C561" s="41"/>
      <c r="F561" s="41"/>
      <c r="G561" s="41"/>
      <c r="H561" s="41"/>
      <c r="I561" s="41"/>
      <c r="J561" s="41"/>
    </row>
    <row r="562">
      <c r="A562" s="41"/>
      <c r="B562" s="41"/>
      <c r="C562" s="41"/>
      <c r="F562" s="41"/>
      <c r="G562" s="41"/>
      <c r="H562" s="41"/>
      <c r="I562" s="41"/>
      <c r="J562" s="41"/>
    </row>
    <row r="563">
      <c r="A563" s="41"/>
      <c r="B563" s="41"/>
      <c r="C563" s="41"/>
      <c r="F563" s="41"/>
      <c r="G563" s="41"/>
      <c r="H563" s="41"/>
      <c r="I563" s="41"/>
      <c r="J563" s="41"/>
    </row>
    <row r="564">
      <c r="A564" s="41"/>
      <c r="B564" s="41"/>
      <c r="C564" s="41"/>
      <c r="F564" s="41"/>
      <c r="G564" s="41"/>
      <c r="H564" s="41"/>
      <c r="I564" s="41"/>
      <c r="J564" s="41"/>
    </row>
    <row r="565">
      <c r="A565" s="41"/>
      <c r="B565" s="41"/>
      <c r="C565" s="41"/>
      <c r="F565" s="41"/>
      <c r="G565" s="41"/>
      <c r="H565" s="41"/>
      <c r="I565" s="41"/>
      <c r="J565" s="41"/>
    </row>
    <row r="566">
      <c r="A566" s="41"/>
      <c r="B566" s="41"/>
      <c r="C566" s="41"/>
      <c r="F566" s="41"/>
      <c r="G566" s="41"/>
      <c r="H566" s="41"/>
      <c r="I566" s="41"/>
      <c r="J566" s="41"/>
    </row>
    <row r="567">
      <c r="A567" s="41"/>
      <c r="B567" s="41"/>
      <c r="C567" s="41"/>
      <c r="F567" s="41"/>
      <c r="G567" s="41"/>
      <c r="H567" s="41"/>
      <c r="I567" s="41"/>
      <c r="J567" s="41"/>
    </row>
    <row r="568">
      <c r="A568" s="41"/>
      <c r="B568" s="41"/>
      <c r="C568" s="41"/>
      <c r="F568" s="41"/>
      <c r="G568" s="41"/>
      <c r="H568" s="41"/>
      <c r="I568" s="41"/>
      <c r="J568" s="41"/>
    </row>
    <row r="569">
      <c r="A569" s="41"/>
      <c r="B569" s="41"/>
      <c r="C569" s="41"/>
      <c r="F569" s="41"/>
      <c r="G569" s="41"/>
      <c r="H569" s="41"/>
      <c r="I569" s="41"/>
      <c r="J569" s="41"/>
    </row>
    <row r="570">
      <c r="A570" s="41"/>
      <c r="B570" s="41"/>
      <c r="C570" s="41"/>
      <c r="F570" s="41"/>
      <c r="G570" s="41"/>
      <c r="H570" s="41"/>
      <c r="I570" s="41"/>
      <c r="J570" s="41"/>
    </row>
    <row r="571">
      <c r="A571" s="41"/>
      <c r="B571" s="41"/>
      <c r="C571" s="41"/>
      <c r="F571" s="41"/>
      <c r="G571" s="41"/>
      <c r="H571" s="41"/>
      <c r="I571" s="41"/>
      <c r="J571" s="41"/>
    </row>
    <row r="572">
      <c r="A572" s="41"/>
      <c r="B572" s="41"/>
      <c r="C572" s="41"/>
      <c r="F572" s="41"/>
      <c r="G572" s="41"/>
      <c r="H572" s="41"/>
      <c r="I572" s="41"/>
      <c r="J572" s="41"/>
    </row>
    <row r="573">
      <c r="A573" s="41"/>
      <c r="B573" s="41"/>
      <c r="C573" s="41"/>
      <c r="F573" s="41"/>
      <c r="G573" s="41"/>
      <c r="H573" s="41"/>
      <c r="I573" s="41"/>
      <c r="J573" s="41"/>
    </row>
    <row r="574">
      <c r="A574" s="41"/>
      <c r="B574" s="41"/>
      <c r="C574" s="41"/>
      <c r="F574" s="41"/>
      <c r="G574" s="41"/>
      <c r="H574" s="41"/>
      <c r="I574" s="41"/>
      <c r="J574" s="41"/>
    </row>
    <row r="575">
      <c r="A575" s="41"/>
      <c r="B575" s="41"/>
      <c r="C575" s="41"/>
      <c r="F575" s="41"/>
      <c r="G575" s="41"/>
      <c r="H575" s="41"/>
      <c r="I575" s="41"/>
      <c r="J575" s="41"/>
    </row>
    <row r="576">
      <c r="A576" s="41"/>
      <c r="B576" s="41"/>
      <c r="C576" s="41"/>
      <c r="F576" s="41"/>
      <c r="G576" s="41"/>
      <c r="H576" s="41"/>
      <c r="I576" s="41"/>
      <c r="J576" s="41"/>
    </row>
    <row r="577">
      <c r="A577" s="41"/>
      <c r="B577" s="41"/>
      <c r="C577" s="41"/>
      <c r="F577" s="41"/>
      <c r="G577" s="41"/>
      <c r="H577" s="41"/>
      <c r="I577" s="41"/>
      <c r="J577" s="41"/>
    </row>
    <row r="578">
      <c r="A578" s="41"/>
      <c r="B578" s="41"/>
      <c r="C578" s="41"/>
      <c r="F578" s="41"/>
      <c r="G578" s="41"/>
      <c r="H578" s="41"/>
      <c r="I578" s="41"/>
      <c r="J578" s="41"/>
    </row>
    <row r="579">
      <c r="A579" s="41"/>
      <c r="B579" s="41"/>
      <c r="C579" s="41"/>
      <c r="F579" s="41"/>
      <c r="G579" s="41"/>
      <c r="H579" s="41"/>
      <c r="I579" s="41"/>
      <c r="J579" s="41"/>
    </row>
    <row r="580">
      <c r="A580" s="41"/>
      <c r="B580" s="41"/>
      <c r="C580" s="41"/>
      <c r="F580" s="41"/>
      <c r="G580" s="41"/>
      <c r="H580" s="41"/>
      <c r="I580" s="41"/>
      <c r="J580" s="41"/>
    </row>
    <row r="581">
      <c r="A581" s="41"/>
      <c r="B581" s="41"/>
      <c r="C581" s="41"/>
      <c r="F581" s="41"/>
      <c r="G581" s="41"/>
      <c r="H581" s="41"/>
      <c r="I581" s="41"/>
      <c r="J581" s="41"/>
    </row>
    <row r="582">
      <c r="A582" s="41"/>
      <c r="B582" s="41"/>
      <c r="C582" s="41"/>
      <c r="F582" s="41"/>
      <c r="G582" s="41"/>
      <c r="H582" s="41"/>
      <c r="I582" s="41"/>
      <c r="J582" s="41"/>
    </row>
    <row r="583">
      <c r="A583" s="41"/>
      <c r="B583" s="41"/>
      <c r="C583" s="41"/>
      <c r="F583" s="41"/>
      <c r="G583" s="41"/>
      <c r="H583" s="41"/>
      <c r="I583" s="41"/>
      <c r="J583" s="41"/>
    </row>
    <row r="584">
      <c r="A584" s="41"/>
      <c r="B584" s="41"/>
      <c r="C584" s="41"/>
      <c r="F584" s="41"/>
      <c r="G584" s="41"/>
      <c r="H584" s="41"/>
      <c r="I584" s="41"/>
      <c r="J584" s="41"/>
    </row>
    <row r="585">
      <c r="A585" s="41"/>
      <c r="B585" s="41"/>
      <c r="C585" s="41"/>
      <c r="F585" s="41"/>
      <c r="G585" s="41"/>
      <c r="H585" s="41"/>
      <c r="I585" s="41"/>
      <c r="J585" s="41"/>
    </row>
    <row r="586">
      <c r="A586" s="41"/>
      <c r="B586" s="41"/>
      <c r="C586" s="41"/>
      <c r="F586" s="41"/>
      <c r="G586" s="41"/>
      <c r="H586" s="41"/>
      <c r="I586" s="41"/>
      <c r="J586" s="41"/>
    </row>
    <row r="587">
      <c r="A587" s="41"/>
      <c r="B587" s="41"/>
      <c r="C587" s="41"/>
      <c r="F587" s="41"/>
      <c r="G587" s="41"/>
      <c r="H587" s="41"/>
      <c r="I587" s="41"/>
      <c r="J587" s="41"/>
    </row>
    <row r="588">
      <c r="A588" s="41"/>
      <c r="B588" s="41"/>
      <c r="C588" s="41"/>
      <c r="F588" s="41"/>
      <c r="G588" s="41"/>
      <c r="H588" s="41"/>
      <c r="I588" s="41"/>
      <c r="J588" s="41"/>
    </row>
    <row r="589">
      <c r="A589" s="41"/>
      <c r="B589" s="41"/>
      <c r="C589" s="41"/>
      <c r="F589" s="41"/>
      <c r="G589" s="41"/>
      <c r="H589" s="41"/>
      <c r="I589" s="41"/>
      <c r="J589" s="41"/>
    </row>
    <row r="590">
      <c r="A590" s="41"/>
      <c r="B590" s="41"/>
      <c r="C590" s="41"/>
      <c r="F590" s="41"/>
      <c r="G590" s="41"/>
      <c r="H590" s="41"/>
      <c r="I590" s="41"/>
      <c r="J590" s="41"/>
    </row>
    <row r="591">
      <c r="A591" s="41"/>
      <c r="B591" s="41"/>
      <c r="C591" s="41"/>
      <c r="F591" s="41"/>
      <c r="G591" s="41"/>
      <c r="H591" s="41"/>
      <c r="I591" s="41"/>
      <c r="J591" s="41"/>
    </row>
    <row r="592">
      <c r="A592" s="41"/>
      <c r="B592" s="41"/>
      <c r="C592" s="41"/>
      <c r="F592" s="41"/>
      <c r="G592" s="41"/>
      <c r="H592" s="41"/>
      <c r="I592" s="41"/>
      <c r="J592" s="41"/>
    </row>
    <row r="593">
      <c r="A593" s="41"/>
      <c r="B593" s="41"/>
      <c r="C593" s="41"/>
      <c r="F593" s="41"/>
      <c r="G593" s="41"/>
      <c r="H593" s="41"/>
      <c r="I593" s="41"/>
      <c r="J593" s="41"/>
    </row>
    <row r="594">
      <c r="A594" s="41"/>
      <c r="B594" s="41"/>
      <c r="C594" s="41"/>
      <c r="F594" s="41"/>
      <c r="G594" s="41"/>
      <c r="H594" s="41"/>
      <c r="I594" s="41"/>
      <c r="J594" s="41"/>
    </row>
    <row r="595">
      <c r="A595" s="41"/>
      <c r="B595" s="41"/>
      <c r="C595" s="41"/>
      <c r="F595" s="41"/>
      <c r="G595" s="41"/>
      <c r="H595" s="41"/>
      <c r="I595" s="41"/>
      <c r="J595" s="41"/>
    </row>
    <row r="596">
      <c r="A596" s="41"/>
      <c r="B596" s="41"/>
      <c r="C596" s="41"/>
      <c r="F596" s="41"/>
      <c r="G596" s="41"/>
      <c r="H596" s="41"/>
      <c r="I596" s="41"/>
      <c r="J596" s="41"/>
    </row>
    <row r="597">
      <c r="A597" s="41"/>
      <c r="B597" s="41"/>
      <c r="C597" s="41"/>
      <c r="F597" s="41"/>
      <c r="G597" s="41"/>
      <c r="H597" s="41"/>
      <c r="I597" s="41"/>
      <c r="J597" s="41"/>
    </row>
    <row r="598">
      <c r="A598" s="41"/>
      <c r="B598" s="41"/>
      <c r="C598" s="41"/>
      <c r="F598" s="41"/>
      <c r="G598" s="41"/>
      <c r="H598" s="41"/>
      <c r="I598" s="41"/>
      <c r="J598" s="41"/>
    </row>
    <row r="599">
      <c r="A599" s="41"/>
      <c r="B599" s="41"/>
      <c r="C599" s="41"/>
      <c r="F599" s="41"/>
      <c r="G599" s="41"/>
      <c r="H599" s="41"/>
      <c r="I599" s="41"/>
      <c r="J599" s="41"/>
    </row>
    <row r="600">
      <c r="A600" s="41"/>
      <c r="B600" s="41"/>
      <c r="C600" s="41"/>
      <c r="F600" s="41"/>
      <c r="G600" s="41"/>
      <c r="H600" s="41"/>
      <c r="I600" s="41"/>
      <c r="J600" s="41"/>
    </row>
    <row r="601">
      <c r="A601" s="41"/>
      <c r="B601" s="41"/>
      <c r="C601" s="41"/>
      <c r="F601" s="41"/>
      <c r="G601" s="41"/>
      <c r="H601" s="41"/>
      <c r="I601" s="41"/>
      <c r="J601" s="41"/>
    </row>
    <row r="602">
      <c r="A602" s="41"/>
      <c r="B602" s="41"/>
      <c r="C602" s="41"/>
      <c r="F602" s="41"/>
      <c r="G602" s="41"/>
      <c r="H602" s="41"/>
      <c r="I602" s="41"/>
      <c r="J602" s="41"/>
    </row>
    <row r="603">
      <c r="A603" s="41"/>
      <c r="B603" s="41"/>
      <c r="C603" s="41"/>
      <c r="F603" s="41"/>
      <c r="G603" s="41"/>
      <c r="H603" s="41"/>
      <c r="I603" s="41"/>
      <c r="J603" s="41"/>
    </row>
    <row r="604">
      <c r="A604" s="41"/>
      <c r="B604" s="41"/>
      <c r="C604" s="41"/>
      <c r="F604" s="41"/>
      <c r="G604" s="41"/>
      <c r="H604" s="41"/>
      <c r="I604" s="41"/>
      <c r="J604" s="41"/>
    </row>
    <row r="605">
      <c r="A605" s="41"/>
      <c r="B605" s="41"/>
      <c r="C605" s="41"/>
      <c r="F605" s="41"/>
      <c r="G605" s="41"/>
      <c r="H605" s="41"/>
      <c r="I605" s="41"/>
      <c r="J605" s="41"/>
    </row>
    <row r="606">
      <c r="A606" s="41"/>
      <c r="B606" s="41"/>
      <c r="C606" s="41"/>
      <c r="F606" s="41"/>
      <c r="G606" s="41"/>
      <c r="H606" s="41"/>
      <c r="I606" s="41"/>
      <c r="J606" s="41"/>
    </row>
    <row r="607">
      <c r="A607" s="41"/>
      <c r="B607" s="41"/>
      <c r="C607" s="41"/>
      <c r="F607" s="41"/>
      <c r="G607" s="41"/>
      <c r="H607" s="41"/>
      <c r="I607" s="41"/>
      <c r="J607" s="41"/>
    </row>
    <row r="608">
      <c r="A608" s="41"/>
      <c r="B608" s="41"/>
      <c r="C608" s="41"/>
      <c r="F608" s="41"/>
      <c r="G608" s="41"/>
      <c r="H608" s="41"/>
      <c r="I608" s="41"/>
      <c r="J608" s="41"/>
    </row>
    <row r="609">
      <c r="A609" s="41"/>
      <c r="B609" s="41"/>
      <c r="C609" s="41"/>
      <c r="F609" s="41"/>
      <c r="G609" s="41"/>
      <c r="H609" s="41"/>
      <c r="I609" s="41"/>
      <c r="J609" s="41"/>
    </row>
    <row r="610">
      <c r="A610" s="41"/>
      <c r="B610" s="41"/>
      <c r="C610" s="41"/>
      <c r="F610" s="41"/>
      <c r="G610" s="41"/>
      <c r="H610" s="41"/>
      <c r="I610" s="41"/>
      <c r="J610" s="41"/>
    </row>
    <row r="611">
      <c r="A611" s="41"/>
      <c r="B611" s="41"/>
      <c r="C611" s="41"/>
      <c r="F611" s="41"/>
      <c r="G611" s="41"/>
      <c r="H611" s="41"/>
      <c r="I611" s="41"/>
      <c r="J611" s="41"/>
    </row>
    <row r="612">
      <c r="A612" s="41"/>
      <c r="B612" s="41"/>
      <c r="C612" s="41"/>
      <c r="F612" s="41"/>
      <c r="G612" s="41"/>
      <c r="H612" s="41"/>
      <c r="I612" s="41"/>
      <c r="J612" s="41"/>
    </row>
    <row r="613">
      <c r="A613" s="41"/>
      <c r="B613" s="41"/>
      <c r="C613" s="41"/>
      <c r="F613" s="41"/>
      <c r="G613" s="41"/>
      <c r="H613" s="41"/>
      <c r="I613" s="41"/>
      <c r="J613" s="41"/>
    </row>
    <row r="614">
      <c r="A614" s="41"/>
      <c r="B614" s="41"/>
      <c r="C614" s="41"/>
      <c r="F614" s="41"/>
      <c r="G614" s="41"/>
      <c r="H614" s="41"/>
      <c r="I614" s="41"/>
      <c r="J614" s="41"/>
    </row>
    <row r="615">
      <c r="A615" s="41"/>
      <c r="B615" s="41"/>
      <c r="C615" s="41"/>
      <c r="F615" s="41"/>
      <c r="G615" s="41"/>
      <c r="H615" s="41"/>
      <c r="I615" s="41"/>
      <c r="J615" s="41"/>
    </row>
    <row r="616">
      <c r="A616" s="41"/>
      <c r="B616" s="41"/>
      <c r="C616" s="41"/>
      <c r="F616" s="41"/>
      <c r="G616" s="41"/>
      <c r="H616" s="41"/>
      <c r="I616" s="41"/>
      <c r="J616" s="41"/>
    </row>
    <row r="617">
      <c r="A617" s="41"/>
      <c r="B617" s="41"/>
      <c r="C617" s="41"/>
      <c r="F617" s="41"/>
      <c r="G617" s="41"/>
      <c r="H617" s="41"/>
      <c r="I617" s="41"/>
      <c r="J617" s="41"/>
    </row>
    <row r="618">
      <c r="A618" s="41"/>
      <c r="B618" s="41"/>
      <c r="C618" s="41"/>
      <c r="F618" s="41"/>
      <c r="G618" s="41"/>
      <c r="H618" s="41"/>
      <c r="I618" s="41"/>
      <c r="J618" s="41"/>
    </row>
    <row r="619">
      <c r="A619" s="41"/>
      <c r="B619" s="41"/>
      <c r="C619" s="41"/>
      <c r="F619" s="41"/>
      <c r="G619" s="41"/>
      <c r="H619" s="41"/>
      <c r="I619" s="41"/>
      <c r="J619" s="41"/>
    </row>
    <row r="620">
      <c r="A620" s="41"/>
      <c r="B620" s="41"/>
      <c r="C620" s="41"/>
      <c r="F620" s="41"/>
      <c r="G620" s="41"/>
      <c r="H620" s="41"/>
      <c r="I620" s="41"/>
      <c r="J620" s="41"/>
    </row>
    <row r="621">
      <c r="A621" s="41"/>
      <c r="B621" s="41"/>
      <c r="C621" s="41"/>
      <c r="F621" s="41"/>
      <c r="G621" s="41"/>
      <c r="H621" s="41"/>
      <c r="I621" s="41"/>
      <c r="J621" s="41"/>
    </row>
    <row r="622">
      <c r="A622" s="41"/>
      <c r="B622" s="41"/>
      <c r="C622" s="41"/>
      <c r="F622" s="41"/>
      <c r="G622" s="41"/>
      <c r="H622" s="41"/>
      <c r="I622" s="41"/>
      <c r="J622" s="41"/>
    </row>
    <row r="623">
      <c r="A623" s="41"/>
      <c r="B623" s="41"/>
      <c r="C623" s="41"/>
      <c r="F623" s="41"/>
      <c r="G623" s="41"/>
      <c r="H623" s="41"/>
      <c r="I623" s="41"/>
      <c r="J623" s="41"/>
    </row>
    <row r="624">
      <c r="A624" s="41"/>
      <c r="B624" s="41"/>
      <c r="C624" s="41"/>
      <c r="F624" s="41"/>
      <c r="G624" s="41"/>
      <c r="H624" s="41"/>
      <c r="I624" s="41"/>
      <c r="J624" s="41"/>
    </row>
    <row r="625">
      <c r="A625" s="41"/>
      <c r="B625" s="41"/>
      <c r="C625" s="41"/>
      <c r="F625" s="41"/>
      <c r="G625" s="41"/>
      <c r="H625" s="41"/>
      <c r="I625" s="41"/>
      <c r="J625" s="41"/>
    </row>
    <row r="626">
      <c r="A626" s="41"/>
      <c r="B626" s="41"/>
      <c r="C626" s="41"/>
      <c r="F626" s="41"/>
      <c r="G626" s="41"/>
      <c r="H626" s="41"/>
      <c r="I626" s="41"/>
      <c r="J626" s="41"/>
    </row>
    <row r="627">
      <c r="A627" s="41"/>
      <c r="B627" s="41"/>
      <c r="C627" s="41"/>
      <c r="F627" s="41"/>
      <c r="G627" s="41"/>
      <c r="H627" s="41"/>
      <c r="I627" s="41"/>
      <c r="J627" s="41"/>
    </row>
    <row r="628">
      <c r="A628" s="41"/>
      <c r="B628" s="41"/>
      <c r="C628" s="41"/>
      <c r="F628" s="41"/>
      <c r="G628" s="41"/>
      <c r="H628" s="41"/>
      <c r="I628" s="41"/>
      <c r="J628" s="41"/>
    </row>
    <row r="629">
      <c r="A629" s="41"/>
      <c r="B629" s="41"/>
      <c r="C629" s="41"/>
      <c r="F629" s="41"/>
      <c r="G629" s="41"/>
      <c r="H629" s="41"/>
      <c r="I629" s="41"/>
      <c r="J629" s="41"/>
    </row>
    <row r="630">
      <c r="A630" s="41"/>
      <c r="B630" s="41"/>
      <c r="C630" s="41"/>
      <c r="F630" s="41"/>
      <c r="G630" s="41"/>
      <c r="H630" s="41"/>
      <c r="I630" s="41"/>
      <c r="J630" s="41"/>
    </row>
    <row r="631">
      <c r="A631" s="41"/>
      <c r="B631" s="41"/>
      <c r="C631" s="41"/>
      <c r="F631" s="41"/>
      <c r="G631" s="41"/>
      <c r="H631" s="41"/>
      <c r="I631" s="41"/>
      <c r="J631" s="41"/>
    </row>
    <row r="632">
      <c r="A632" s="41"/>
      <c r="B632" s="41"/>
      <c r="C632" s="41"/>
      <c r="F632" s="41"/>
      <c r="G632" s="41"/>
      <c r="H632" s="41"/>
      <c r="I632" s="41"/>
      <c r="J632" s="41"/>
    </row>
    <row r="633">
      <c r="A633" s="41"/>
      <c r="B633" s="41"/>
      <c r="C633" s="41"/>
      <c r="F633" s="41"/>
      <c r="G633" s="41"/>
      <c r="H633" s="41"/>
      <c r="I633" s="41"/>
      <c r="J633" s="41"/>
    </row>
    <row r="634">
      <c r="A634" s="41"/>
      <c r="B634" s="41"/>
      <c r="C634" s="41"/>
      <c r="F634" s="41"/>
      <c r="G634" s="41"/>
      <c r="H634" s="41"/>
      <c r="I634" s="41"/>
      <c r="J634" s="41"/>
    </row>
    <row r="635">
      <c r="A635" s="41"/>
      <c r="B635" s="41"/>
      <c r="C635" s="41"/>
      <c r="F635" s="41"/>
      <c r="G635" s="41"/>
      <c r="H635" s="41"/>
      <c r="I635" s="41"/>
      <c r="J635" s="41"/>
    </row>
    <row r="636">
      <c r="A636" s="41"/>
      <c r="B636" s="41"/>
      <c r="C636" s="41"/>
      <c r="F636" s="41"/>
      <c r="G636" s="41"/>
      <c r="H636" s="41"/>
      <c r="I636" s="41"/>
      <c r="J636" s="41"/>
    </row>
    <row r="637">
      <c r="A637" s="41"/>
      <c r="B637" s="41"/>
      <c r="C637" s="41"/>
      <c r="F637" s="41"/>
      <c r="G637" s="41"/>
      <c r="H637" s="41"/>
      <c r="I637" s="41"/>
      <c r="J637" s="41"/>
    </row>
    <row r="638">
      <c r="A638" s="41"/>
      <c r="B638" s="41"/>
      <c r="C638" s="41"/>
      <c r="F638" s="41"/>
      <c r="G638" s="41"/>
      <c r="H638" s="41"/>
      <c r="I638" s="41"/>
      <c r="J638" s="41"/>
    </row>
    <row r="639">
      <c r="A639" s="41"/>
      <c r="B639" s="41"/>
      <c r="C639" s="41"/>
      <c r="F639" s="41"/>
      <c r="G639" s="41"/>
      <c r="H639" s="41"/>
      <c r="I639" s="41"/>
      <c r="J639" s="41"/>
    </row>
    <row r="640">
      <c r="A640" s="41"/>
      <c r="B640" s="41"/>
      <c r="C640" s="41"/>
      <c r="F640" s="41"/>
      <c r="G640" s="41"/>
      <c r="H640" s="41"/>
      <c r="I640" s="41"/>
      <c r="J640" s="41"/>
    </row>
    <row r="641">
      <c r="A641" s="41"/>
      <c r="B641" s="41"/>
      <c r="C641" s="41"/>
      <c r="F641" s="41"/>
      <c r="G641" s="41"/>
      <c r="H641" s="41"/>
      <c r="I641" s="41"/>
      <c r="J641" s="41"/>
    </row>
    <row r="642">
      <c r="A642" s="41"/>
      <c r="B642" s="41"/>
      <c r="C642" s="41"/>
      <c r="F642" s="41"/>
      <c r="G642" s="41"/>
      <c r="H642" s="41"/>
      <c r="I642" s="41"/>
      <c r="J642" s="41"/>
    </row>
    <row r="643">
      <c r="A643" s="41"/>
      <c r="B643" s="41"/>
      <c r="C643" s="41"/>
      <c r="F643" s="41"/>
      <c r="G643" s="41"/>
      <c r="H643" s="41"/>
      <c r="I643" s="41"/>
      <c r="J643" s="41"/>
    </row>
    <row r="644">
      <c r="A644" s="41"/>
      <c r="B644" s="41"/>
      <c r="C644" s="41"/>
      <c r="F644" s="41"/>
      <c r="G644" s="41"/>
      <c r="H644" s="41"/>
      <c r="I644" s="41"/>
      <c r="J644" s="41"/>
    </row>
    <row r="645">
      <c r="A645" s="41"/>
      <c r="B645" s="41"/>
      <c r="C645" s="41"/>
      <c r="F645" s="41"/>
      <c r="G645" s="41"/>
      <c r="H645" s="41"/>
      <c r="I645" s="41"/>
      <c r="J645" s="41"/>
    </row>
    <row r="646">
      <c r="A646" s="41"/>
      <c r="B646" s="41"/>
      <c r="C646" s="41"/>
      <c r="F646" s="41"/>
      <c r="G646" s="41"/>
      <c r="H646" s="41"/>
      <c r="I646" s="41"/>
      <c r="J646" s="41"/>
    </row>
    <row r="647">
      <c r="A647" s="41"/>
      <c r="B647" s="41"/>
      <c r="C647" s="41"/>
      <c r="F647" s="41"/>
      <c r="G647" s="41"/>
      <c r="H647" s="41"/>
      <c r="I647" s="41"/>
      <c r="J647" s="41"/>
    </row>
    <row r="648">
      <c r="A648" s="41"/>
      <c r="B648" s="41"/>
      <c r="C648" s="41"/>
      <c r="F648" s="41"/>
      <c r="G648" s="41"/>
      <c r="H648" s="41"/>
      <c r="I648" s="41"/>
      <c r="J648" s="41"/>
    </row>
    <row r="649">
      <c r="A649" s="41"/>
      <c r="B649" s="41"/>
      <c r="C649" s="41"/>
      <c r="F649" s="41"/>
      <c r="G649" s="41"/>
      <c r="H649" s="41"/>
      <c r="I649" s="41"/>
      <c r="J649" s="41"/>
    </row>
    <row r="650">
      <c r="A650" s="41"/>
      <c r="B650" s="41"/>
      <c r="C650" s="41"/>
      <c r="F650" s="41"/>
      <c r="G650" s="41"/>
      <c r="H650" s="41"/>
      <c r="I650" s="41"/>
      <c r="J650" s="41"/>
    </row>
    <row r="651">
      <c r="A651" s="41"/>
      <c r="B651" s="41"/>
      <c r="C651" s="41"/>
      <c r="F651" s="41"/>
      <c r="G651" s="41"/>
      <c r="H651" s="41"/>
      <c r="I651" s="41"/>
      <c r="J651" s="41"/>
    </row>
    <row r="652">
      <c r="A652" s="41"/>
      <c r="B652" s="41"/>
      <c r="C652" s="41"/>
      <c r="F652" s="41"/>
      <c r="G652" s="41"/>
      <c r="H652" s="41"/>
      <c r="I652" s="41"/>
      <c r="J652" s="41"/>
    </row>
    <row r="653">
      <c r="A653" s="41"/>
      <c r="B653" s="41"/>
      <c r="C653" s="41"/>
      <c r="F653" s="41"/>
      <c r="G653" s="41"/>
      <c r="H653" s="41"/>
      <c r="I653" s="41"/>
      <c r="J653" s="41"/>
    </row>
    <row r="654">
      <c r="A654" s="41"/>
      <c r="B654" s="41"/>
      <c r="C654" s="41"/>
      <c r="F654" s="41"/>
      <c r="G654" s="41"/>
      <c r="H654" s="41"/>
      <c r="I654" s="41"/>
      <c r="J654" s="41"/>
    </row>
    <row r="655">
      <c r="A655" s="41"/>
      <c r="B655" s="41"/>
      <c r="C655" s="41"/>
      <c r="F655" s="41"/>
      <c r="G655" s="41"/>
      <c r="H655" s="41"/>
      <c r="I655" s="41"/>
      <c r="J655" s="41"/>
    </row>
    <row r="656">
      <c r="A656" s="41"/>
      <c r="B656" s="41"/>
      <c r="C656" s="41"/>
      <c r="F656" s="41"/>
      <c r="G656" s="41"/>
      <c r="H656" s="41"/>
      <c r="I656" s="41"/>
      <c r="J656" s="41"/>
    </row>
    <row r="657">
      <c r="A657" s="41"/>
      <c r="B657" s="41"/>
      <c r="C657" s="41"/>
      <c r="F657" s="41"/>
      <c r="G657" s="41"/>
      <c r="H657" s="41"/>
      <c r="I657" s="41"/>
      <c r="J657" s="41"/>
    </row>
    <row r="658">
      <c r="A658" s="41"/>
      <c r="B658" s="41"/>
      <c r="C658" s="41"/>
      <c r="F658" s="41"/>
      <c r="G658" s="41"/>
      <c r="H658" s="41"/>
      <c r="I658" s="41"/>
      <c r="J658" s="41"/>
    </row>
    <row r="659">
      <c r="A659" s="41"/>
      <c r="B659" s="41"/>
      <c r="C659" s="41"/>
      <c r="F659" s="41"/>
      <c r="G659" s="41"/>
      <c r="H659" s="41"/>
      <c r="I659" s="41"/>
      <c r="J659" s="41"/>
    </row>
    <row r="660">
      <c r="A660" s="41"/>
      <c r="B660" s="41"/>
      <c r="C660" s="41"/>
      <c r="F660" s="41"/>
      <c r="G660" s="41"/>
      <c r="H660" s="41"/>
      <c r="I660" s="41"/>
      <c r="J660" s="41"/>
    </row>
    <row r="661">
      <c r="A661" s="41"/>
      <c r="B661" s="41"/>
      <c r="C661" s="41"/>
      <c r="F661" s="41"/>
      <c r="G661" s="41"/>
      <c r="H661" s="41"/>
      <c r="I661" s="41"/>
      <c r="J661" s="41"/>
    </row>
    <row r="662">
      <c r="A662" s="41"/>
      <c r="B662" s="41"/>
      <c r="C662" s="41"/>
      <c r="F662" s="41"/>
      <c r="G662" s="41"/>
      <c r="H662" s="41"/>
      <c r="I662" s="41"/>
      <c r="J662" s="41"/>
    </row>
    <row r="663">
      <c r="A663" s="41"/>
      <c r="B663" s="41"/>
      <c r="C663" s="41"/>
      <c r="F663" s="41"/>
      <c r="G663" s="41"/>
      <c r="H663" s="41"/>
      <c r="I663" s="41"/>
      <c r="J663" s="41"/>
    </row>
    <row r="664">
      <c r="A664" s="41"/>
      <c r="B664" s="41"/>
      <c r="C664" s="41"/>
      <c r="F664" s="41"/>
      <c r="G664" s="41"/>
      <c r="H664" s="41"/>
      <c r="I664" s="41"/>
      <c r="J664" s="41"/>
    </row>
    <row r="665">
      <c r="A665" s="41"/>
      <c r="B665" s="41"/>
      <c r="C665" s="41"/>
      <c r="F665" s="41"/>
      <c r="G665" s="41"/>
      <c r="H665" s="41"/>
      <c r="I665" s="41"/>
      <c r="J665" s="41"/>
    </row>
    <row r="666">
      <c r="A666" s="41"/>
      <c r="B666" s="41"/>
      <c r="C666" s="41"/>
      <c r="F666" s="41"/>
      <c r="G666" s="41"/>
      <c r="H666" s="41"/>
      <c r="I666" s="41"/>
      <c r="J666" s="41"/>
    </row>
    <row r="667">
      <c r="A667" s="41"/>
      <c r="B667" s="41"/>
      <c r="C667" s="41"/>
      <c r="F667" s="41"/>
      <c r="G667" s="41"/>
      <c r="H667" s="41"/>
      <c r="I667" s="41"/>
      <c r="J667" s="41"/>
    </row>
    <row r="668">
      <c r="A668" s="41"/>
      <c r="B668" s="41"/>
      <c r="C668" s="41"/>
      <c r="F668" s="41"/>
      <c r="G668" s="41"/>
      <c r="H668" s="41"/>
      <c r="I668" s="41"/>
      <c r="J668" s="41"/>
    </row>
    <row r="669">
      <c r="A669" s="41"/>
      <c r="B669" s="41"/>
      <c r="C669" s="41"/>
      <c r="F669" s="41"/>
      <c r="G669" s="41"/>
      <c r="H669" s="41"/>
      <c r="I669" s="41"/>
      <c r="J669" s="41"/>
    </row>
    <row r="670">
      <c r="A670" s="41"/>
      <c r="B670" s="41"/>
      <c r="C670" s="41"/>
      <c r="F670" s="41"/>
      <c r="G670" s="41"/>
      <c r="H670" s="41"/>
      <c r="I670" s="41"/>
      <c r="J670" s="41"/>
    </row>
    <row r="671">
      <c r="A671" s="41"/>
      <c r="B671" s="41"/>
      <c r="C671" s="41"/>
      <c r="F671" s="41"/>
      <c r="G671" s="41"/>
      <c r="H671" s="41"/>
      <c r="I671" s="41"/>
      <c r="J671" s="41"/>
    </row>
    <row r="672">
      <c r="A672" s="41"/>
      <c r="B672" s="41"/>
      <c r="C672" s="41"/>
      <c r="F672" s="41"/>
      <c r="G672" s="41"/>
      <c r="H672" s="41"/>
      <c r="I672" s="41"/>
      <c r="J672" s="41"/>
    </row>
    <row r="673">
      <c r="A673" s="41"/>
      <c r="B673" s="41"/>
      <c r="C673" s="41"/>
      <c r="F673" s="41"/>
      <c r="G673" s="41"/>
      <c r="H673" s="41"/>
      <c r="I673" s="41"/>
      <c r="J673" s="41"/>
    </row>
    <row r="674">
      <c r="A674" s="41"/>
      <c r="B674" s="41"/>
      <c r="C674" s="41"/>
      <c r="F674" s="41"/>
      <c r="G674" s="41"/>
      <c r="H674" s="41"/>
      <c r="I674" s="41"/>
      <c r="J674" s="41"/>
    </row>
    <row r="675">
      <c r="A675" s="41"/>
      <c r="B675" s="41"/>
      <c r="C675" s="41"/>
      <c r="F675" s="41"/>
      <c r="G675" s="41"/>
      <c r="H675" s="41"/>
      <c r="I675" s="41"/>
      <c r="J675" s="41"/>
    </row>
    <row r="676">
      <c r="A676" s="41"/>
      <c r="B676" s="41"/>
      <c r="C676" s="41"/>
      <c r="F676" s="41"/>
      <c r="G676" s="41"/>
      <c r="H676" s="41"/>
      <c r="I676" s="41"/>
      <c r="J676" s="41"/>
    </row>
    <row r="677">
      <c r="A677" s="41"/>
      <c r="B677" s="41"/>
      <c r="C677" s="41"/>
      <c r="F677" s="41"/>
      <c r="G677" s="41"/>
      <c r="H677" s="41"/>
      <c r="I677" s="41"/>
      <c r="J677" s="41"/>
    </row>
    <row r="678">
      <c r="A678" s="41"/>
      <c r="B678" s="41"/>
      <c r="C678" s="41"/>
      <c r="F678" s="41"/>
      <c r="G678" s="41"/>
      <c r="H678" s="41"/>
      <c r="I678" s="41"/>
      <c r="J678" s="41"/>
    </row>
    <row r="679">
      <c r="A679" s="41"/>
      <c r="B679" s="41"/>
      <c r="C679" s="41"/>
      <c r="F679" s="41"/>
      <c r="G679" s="41"/>
      <c r="H679" s="41"/>
      <c r="I679" s="41"/>
      <c r="J679" s="41"/>
    </row>
    <row r="680">
      <c r="A680" s="41"/>
      <c r="B680" s="41"/>
      <c r="C680" s="41"/>
      <c r="F680" s="41"/>
      <c r="G680" s="41"/>
      <c r="H680" s="41"/>
      <c r="I680" s="41"/>
      <c r="J680" s="41"/>
    </row>
    <row r="681">
      <c r="A681" s="41"/>
      <c r="B681" s="41"/>
      <c r="C681" s="41"/>
      <c r="F681" s="41"/>
      <c r="G681" s="41"/>
      <c r="H681" s="41"/>
      <c r="I681" s="41"/>
      <c r="J681" s="41"/>
    </row>
    <row r="682">
      <c r="A682" s="41"/>
      <c r="B682" s="41"/>
      <c r="C682" s="41"/>
      <c r="F682" s="41"/>
      <c r="G682" s="41"/>
      <c r="H682" s="41"/>
      <c r="I682" s="41"/>
      <c r="J682" s="41"/>
    </row>
    <row r="683">
      <c r="A683" s="41"/>
      <c r="B683" s="41"/>
      <c r="C683" s="41"/>
      <c r="F683" s="41"/>
      <c r="G683" s="41"/>
      <c r="H683" s="41"/>
      <c r="I683" s="41"/>
      <c r="J683" s="41"/>
    </row>
    <row r="684">
      <c r="A684" s="41"/>
      <c r="B684" s="41"/>
      <c r="C684" s="41"/>
      <c r="F684" s="41"/>
      <c r="G684" s="41"/>
      <c r="H684" s="41"/>
      <c r="I684" s="41"/>
      <c r="J684" s="41"/>
    </row>
    <row r="685">
      <c r="A685" s="41"/>
      <c r="B685" s="41"/>
      <c r="C685" s="41"/>
      <c r="F685" s="41"/>
      <c r="G685" s="41"/>
      <c r="H685" s="41"/>
      <c r="I685" s="41"/>
      <c r="J685" s="41"/>
    </row>
    <row r="686">
      <c r="A686" s="41"/>
      <c r="B686" s="41"/>
      <c r="C686" s="41"/>
      <c r="F686" s="41"/>
      <c r="G686" s="41"/>
      <c r="H686" s="41"/>
      <c r="I686" s="41"/>
      <c r="J686" s="41"/>
    </row>
    <row r="687">
      <c r="A687" s="41"/>
      <c r="B687" s="41"/>
      <c r="C687" s="41"/>
      <c r="F687" s="41"/>
      <c r="G687" s="41"/>
      <c r="H687" s="41"/>
      <c r="I687" s="41"/>
      <c r="J687" s="41"/>
    </row>
    <row r="688">
      <c r="A688" s="41"/>
      <c r="B688" s="41"/>
      <c r="C688" s="41"/>
      <c r="F688" s="41"/>
      <c r="G688" s="41"/>
      <c r="H688" s="41"/>
      <c r="I688" s="41"/>
      <c r="J688" s="41"/>
    </row>
    <row r="689">
      <c r="A689" s="41"/>
      <c r="B689" s="41"/>
      <c r="C689" s="41"/>
      <c r="F689" s="41"/>
      <c r="G689" s="41"/>
      <c r="H689" s="41"/>
      <c r="I689" s="41"/>
      <c r="J689" s="41"/>
    </row>
    <row r="690">
      <c r="A690" s="41"/>
      <c r="B690" s="41"/>
      <c r="C690" s="41"/>
      <c r="F690" s="41"/>
      <c r="G690" s="41"/>
      <c r="H690" s="41"/>
      <c r="I690" s="41"/>
      <c r="J690" s="41"/>
    </row>
    <row r="691">
      <c r="A691" s="41"/>
      <c r="B691" s="41"/>
      <c r="C691" s="41"/>
      <c r="F691" s="41"/>
      <c r="G691" s="41"/>
      <c r="H691" s="41"/>
      <c r="I691" s="41"/>
      <c r="J691" s="41"/>
    </row>
    <row r="692">
      <c r="A692" s="41"/>
      <c r="B692" s="41"/>
      <c r="C692" s="41"/>
      <c r="F692" s="41"/>
      <c r="G692" s="41"/>
      <c r="H692" s="41"/>
      <c r="I692" s="41"/>
      <c r="J692" s="41"/>
    </row>
    <row r="693">
      <c r="A693" s="41"/>
      <c r="B693" s="41"/>
      <c r="C693" s="41"/>
      <c r="F693" s="41"/>
      <c r="G693" s="41"/>
      <c r="H693" s="41"/>
      <c r="I693" s="41"/>
      <c r="J693" s="41"/>
    </row>
    <row r="694">
      <c r="A694" s="41"/>
      <c r="B694" s="41"/>
      <c r="C694" s="41"/>
      <c r="F694" s="41"/>
      <c r="G694" s="41"/>
      <c r="H694" s="41"/>
      <c r="I694" s="41"/>
      <c r="J694" s="41"/>
    </row>
    <row r="695">
      <c r="A695" s="41"/>
      <c r="B695" s="41"/>
      <c r="C695" s="41"/>
      <c r="F695" s="41"/>
      <c r="G695" s="41"/>
      <c r="H695" s="41"/>
      <c r="I695" s="41"/>
      <c r="J695" s="41"/>
    </row>
    <row r="696">
      <c r="A696" s="41"/>
      <c r="B696" s="41"/>
      <c r="C696" s="41"/>
      <c r="F696" s="41"/>
      <c r="G696" s="41"/>
      <c r="H696" s="41"/>
      <c r="I696" s="41"/>
      <c r="J696" s="41"/>
    </row>
    <row r="697">
      <c r="A697" s="41"/>
      <c r="B697" s="41"/>
      <c r="C697" s="41"/>
      <c r="F697" s="41"/>
      <c r="G697" s="41"/>
      <c r="H697" s="41"/>
      <c r="I697" s="41"/>
      <c r="J697" s="41"/>
    </row>
    <row r="698">
      <c r="A698" s="41"/>
      <c r="B698" s="41"/>
      <c r="C698" s="41"/>
      <c r="F698" s="41"/>
      <c r="G698" s="41"/>
      <c r="H698" s="41"/>
      <c r="I698" s="41"/>
      <c r="J698" s="41"/>
    </row>
    <row r="699">
      <c r="A699" s="41"/>
      <c r="B699" s="41"/>
      <c r="C699" s="41"/>
      <c r="F699" s="41"/>
      <c r="G699" s="41"/>
      <c r="H699" s="41"/>
      <c r="I699" s="41"/>
      <c r="J699" s="41"/>
    </row>
    <row r="700">
      <c r="A700" s="41"/>
      <c r="B700" s="41"/>
      <c r="C700" s="41"/>
      <c r="F700" s="41"/>
      <c r="G700" s="41"/>
      <c r="H700" s="41"/>
      <c r="I700" s="41"/>
      <c r="J700" s="41"/>
    </row>
    <row r="701">
      <c r="A701" s="41"/>
      <c r="B701" s="41"/>
      <c r="C701" s="41"/>
      <c r="F701" s="41"/>
      <c r="G701" s="41"/>
      <c r="H701" s="41"/>
      <c r="I701" s="41"/>
      <c r="J701" s="41"/>
    </row>
    <row r="702">
      <c r="A702" s="41"/>
      <c r="B702" s="41"/>
      <c r="C702" s="41"/>
      <c r="F702" s="41"/>
      <c r="G702" s="41"/>
      <c r="H702" s="41"/>
      <c r="I702" s="41"/>
      <c r="J702" s="41"/>
    </row>
    <row r="703">
      <c r="A703" s="41"/>
      <c r="B703" s="41"/>
      <c r="C703" s="41"/>
      <c r="F703" s="41"/>
      <c r="G703" s="41"/>
      <c r="H703" s="41"/>
      <c r="I703" s="41"/>
      <c r="J703" s="41"/>
    </row>
    <row r="704">
      <c r="A704" s="41"/>
      <c r="B704" s="41"/>
      <c r="C704" s="41"/>
      <c r="F704" s="41"/>
      <c r="G704" s="41"/>
      <c r="H704" s="41"/>
      <c r="I704" s="41"/>
      <c r="J704" s="41"/>
    </row>
    <row r="705">
      <c r="A705" s="41"/>
      <c r="B705" s="41"/>
      <c r="C705" s="41"/>
      <c r="F705" s="41"/>
      <c r="G705" s="41"/>
      <c r="H705" s="41"/>
      <c r="I705" s="41"/>
      <c r="J705" s="41"/>
    </row>
    <row r="706">
      <c r="A706" s="41"/>
      <c r="B706" s="41"/>
      <c r="C706" s="41"/>
      <c r="F706" s="41"/>
      <c r="G706" s="41"/>
      <c r="H706" s="41"/>
      <c r="I706" s="41"/>
      <c r="J706" s="41"/>
    </row>
    <row r="707">
      <c r="A707" s="41"/>
      <c r="B707" s="41"/>
      <c r="C707" s="41"/>
      <c r="F707" s="41"/>
      <c r="G707" s="41"/>
      <c r="H707" s="41"/>
      <c r="I707" s="41"/>
      <c r="J707" s="41"/>
    </row>
    <row r="708">
      <c r="A708" s="41"/>
      <c r="B708" s="41"/>
      <c r="C708" s="41"/>
      <c r="F708" s="41"/>
      <c r="G708" s="41"/>
      <c r="H708" s="41"/>
      <c r="I708" s="41"/>
      <c r="J708" s="41"/>
    </row>
    <row r="709">
      <c r="A709" s="41"/>
      <c r="B709" s="41"/>
      <c r="C709" s="41"/>
      <c r="F709" s="41"/>
      <c r="G709" s="41"/>
      <c r="H709" s="41"/>
      <c r="I709" s="41"/>
      <c r="J709" s="41"/>
    </row>
    <row r="710">
      <c r="A710" s="41"/>
      <c r="B710" s="41"/>
      <c r="C710" s="41"/>
      <c r="F710" s="41"/>
      <c r="G710" s="41"/>
      <c r="H710" s="41"/>
      <c r="I710" s="41"/>
      <c r="J710" s="41"/>
    </row>
    <row r="711">
      <c r="A711" s="41"/>
      <c r="B711" s="41"/>
      <c r="C711" s="41"/>
      <c r="F711" s="41"/>
      <c r="G711" s="41"/>
      <c r="H711" s="41"/>
      <c r="I711" s="41"/>
      <c r="J711" s="41"/>
    </row>
    <row r="712">
      <c r="A712" s="41"/>
      <c r="B712" s="41"/>
      <c r="C712" s="41"/>
      <c r="F712" s="41"/>
      <c r="G712" s="41"/>
      <c r="H712" s="41"/>
      <c r="I712" s="41"/>
      <c r="J712" s="41"/>
    </row>
    <row r="713">
      <c r="A713" s="41"/>
      <c r="B713" s="41"/>
      <c r="C713" s="41"/>
      <c r="F713" s="41"/>
      <c r="G713" s="41"/>
      <c r="H713" s="41"/>
      <c r="I713" s="41"/>
      <c r="J713" s="41"/>
    </row>
    <row r="714">
      <c r="A714" s="41"/>
      <c r="B714" s="41"/>
      <c r="C714" s="41"/>
      <c r="F714" s="41"/>
      <c r="G714" s="41"/>
      <c r="H714" s="41"/>
      <c r="I714" s="41"/>
      <c r="J714" s="41"/>
    </row>
    <row r="715">
      <c r="A715" s="41"/>
      <c r="B715" s="41"/>
      <c r="C715" s="41"/>
      <c r="F715" s="41"/>
      <c r="G715" s="41"/>
      <c r="H715" s="41"/>
      <c r="I715" s="41"/>
      <c r="J715" s="41"/>
    </row>
    <row r="716">
      <c r="A716" s="41"/>
      <c r="B716" s="41"/>
      <c r="C716" s="41"/>
      <c r="F716" s="41"/>
      <c r="G716" s="41"/>
      <c r="H716" s="41"/>
      <c r="I716" s="41"/>
      <c r="J716" s="41"/>
    </row>
    <row r="717">
      <c r="A717" s="41"/>
      <c r="B717" s="41"/>
      <c r="C717" s="41"/>
      <c r="F717" s="41"/>
      <c r="G717" s="41"/>
      <c r="H717" s="41"/>
      <c r="I717" s="41"/>
      <c r="J717" s="41"/>
    </row>
    <row r="718">
      <c r="A718" s="41"/>
      <c r="B718" s="41"/>
      <c r="C718" s="41"/>
      <c r="F718" s="41"/>
      <c r="G718" s="41"/>
      <c r="H718" s="41"/>
      <c r="I718" s="41"/>
      <c r="J718" s="41"/>
    </row>
    <row r="719">
      <c r="A719" s="41"/>
      <c r="B719" s="41"/>
      <c r="C719" s="41"/>
      <c r="F719" s="41"/>
      <c r="G719" s="41"/>
      <c r="H719" s="41"/>
      <c r="I719" s="41"/>
      <c r="J719" s="41"/>
    </row>
    <row r="720">
      <c r="A720" s="41"/>
      <c r="B720" s="41"/>
      <c r="C720" s="41"/>
      <c r="F720" s="41"/>
      <c r="G720" s="41"/>
      <c r="H720" s="41"/>
      <c r="I720" s="41"/>
      <c r="J720" s="41"/>
    </row>
    <row r="721">
      <c r="A721" s="41"/>
      <c r="B721" s="41"/>
      <c r="C721" s="41"/>
      <c r="F721" s="41"/>
      <c r="G721" s="41"/>
      <c r="H721" s="41"/>
      <c r="I721" s="41"/>
      <c r="J721" s="41"/>
    </row>
    <row r="722">
      <c r="A722" s="41"/>
      <c r="B722" s="41"/>
      <c r="C722" s="41"/>
      <c r="F722" s="41"/>
      <c r="G722" s="41"/>
      <c r="H722" s="41"/>
      <c r="I722" s="41"/>
      <c r="J722" s="41"/>
    </row>
    <row r="723">
      <c r="A723" s="41"/>
      <c r="B723" s="41"/>
      <c r="C723" s="41"/>
      <c r="F723" s="41"/>
      <c r="G723" s="41"/>
      <c r="H723" s="41"/>
      <c r="I723" s="41"/>
      <c r="J723" s="41"/>
    </row>
    <row r="724">
      <c r="A724" s="41"/>
      <c r="B724" s="41"/>
      <c r="C724" s="41"/>
      <c r="F724" s="41"/>
      <c r="G724" s="41"/>
      <c r="H724" s="41"/>
      <c r="I724" s="41"/>
      <c r="J724" s="41"/>
    </row>
    <row r="725">
      <c r="A725" s="41"/>
      <c r="B725" s="41"/>
      <c r="C725" s="41"/>
      <c r="F725" s="41"/>
      <c r="G725" s="41"/>
      <c r="H725" s="41"/>
      <c r="I725" s="41"/>
      <c r="J725" s="41"/>
    </row>
    <row r="726">
      <c r="A726" s="41"/>
      <c r="B726" s="41"/>
      <c r="C726" s="41"/>
      <c r="F726" s="41"/>
      <c r="G726" s="41"/>
      <c r="H726" s="41"/>
      <c r="I726" s="41"/>
      <c r="J726" s="41"/>
    </row>
    <row r="727">
      <c r="A727" s="41"/>
      <c r="B727" s="41"/>
      <c r="C727" s="41"/>
      <c r="F727" s="41"/>
      <c r="G727" s="41"/>
      <c r="H727" s="41"/>
      <c r="I727" s="41"/>
      <c r="J727" s="41"/>
    </row>
    <row r="728">
      <c r="A728" s="41"/>
      <c r="B728" s="41"/>
      <c r="C728" s="41"/>
      <c r="F728" s="41"/>
      <c r="G728" s="41"/>
      <c r="H728" s="41"/>
      <c r="I728" s="41"/>
      <c r="J728" s="41"/>
    </row>
    <row r="729">
      <c r="A729" s="41"/>
      <c r="B729" s="41"/>
      <c r="C729" s="41"/>
      <c r="F729" s="41"/>
      <c r="G729" s="41"/>
      <c r="H729" s="41"/>
      <c r="I729" s="41"/>
      <c r="J729" s="41"/>
    </row>
    <row r="730">
      <c r="A730" s="41"/>
      <c r="B730" s="41"/>
      <c r="C730" s="41"/>
      <c r="F730" s="41"/>
      <c r="G730" s="41"/>
      <c r="H730" s="41"/>
      <c r="I730" s="41"/>
      <c r="J730" s="41"/>
    </row>
    <row r="731">
      <c r="A731" s="41"/>
      <c r="B731" s="41"/>
      <c r="C731" s="41"/>
      <c r="F731" s="41"/>
      <c r="G731" s="41"/>
      <c r="H731" s="41"/>
      <c r="I731" s="41"/>
      <c r="J731" s="41"/>
    </row>
    <row r="732">
      <c r="A732" s="41"/>
      <c r="B732" s="41"/>
      <c r="C732" s="41"/>
      <c r="F732" s="41"/>
      <c r="G732" s="41"/>
      <c r="H732" s="41"/>
      <c r="I732" s="41"/>
      <c r="J732" s="41"/>
    </row>
    <row r="733">
      <c r="A733" s="41"/>
      <c r="B733" s="41"/>
      <c r="C733" s="41"/>
      <c r="F733" s="41"/>
      <c r="G733" s="41"/>
      <c r="H733" s="41"/>
      <c r="I733" s="41"/>
      <c r="J733" s="41"/>
    </row>
    <row r="734">
      <c r="A734" s="41"/>
      <c r="B734" s="41"/>
      <c r="C734" s="41"/>
      <c r="F734" s="41"/>
      <c r="G734" s="41"/>
      <c r="H734" s="41"/>
      <c r="I734" s="41"/>
      <c r="J734" s="41"/>
    </row>
    <row r="735">
      <c r="A735" s="41"/>
      <c r="B735" s="41"/>
      <c r="C735" s="41"/>
      <c r="F735" s="41"/>
      <c r="G735" s="41"/>
      <c r="H735" s="41"/>
      <c r="I735" s="41"/>
      <c r="J735" s="41"/>
    </row>
    <row r="736">
      <c r="A736" s="41"/>
      <c r="B736" s="41"/>
      <c r="C736" s="41"/>
      <c r="F736" s="41"/>
      <c r="G736" s="41"/>
      <c r="H736" s="41"/>
      <c r="I736" s="41"/>
      <c r="J736" s="41"/>
    </row>
    <row r="737">
      <c r="A737" s="41"/>
      <c r="B737" s="41"/>
      <c r="C737" s="41"/>
      <c r="F737" s="41"/>
      <c r="G737" s="41"/>
      <c r="H737" s="41"/>
      <c r="I737" s="41"/>
      <c r="J737" s="41"/>
    </row>
    <row r="738">
      <c r="A738" s="41"/>
      <c r="B738" s="41"/>
      <c r="C738" s="41"/>
      <c r="F738" s="41"/>
      <c r="G738" s="41"/>
      <c r="H738" s="41"/>
      <c r="I738" s="41"/>
      <c r="J738" s="41"/>
    </row>
    <row r="739">
      <c r="A739" s="41"/>
      <c r="B739" s="41"/>
      <c r="C739" s="41"/>
      <c r="F739" s="41"/>
      <c r="G739" s="41"/>
      <c r="H739" s="41"/>
      <c r="I739" s="41"/>
      <c r="J739" s="41"/>
    </row>
    <row r="740">
      <c r="A740" s="41"/>
      <c r="B740" s="41"/>
      <c r="C740" s="41"/>
      <c r="F740" s="41"/>
      <c r="G740" s="41"/>
      <c r="H740" s="41"/>
      <c r="I740" s="41"/>
      <c r="J740" s="41"/>
    </row>
    <row r="741">
      <c r="A741" s="41"/>
      <c r="B741" s="41"/>
      <c r="C741" s="41"/>
      <c r="F741" s="41"/>
      <c r="G741" s="41"/>
      <c r="H741" s="41"/>
      <c r="I741" s="41"/>
      <c r="J741" s="41"/>
    </row>
    <row r="742">
      <c r="A742" s="41"/>
      <c r="B742" s="41"/>
      <c r="C742" s="41"/>
      <c r="F742" s="41"/>
      <c r="G742" s="41"/>
      <c r="H742" s="41"/>
      <c r="I742" s="41"/>
      <c r="J742" s="41"/>
    </row>
    <row r="743">
      <c r="A743" s="41"/>
      <c r="B743" s="41"/>
      <c r="C743" s="41"/>
      <c r="F743" s="41"/>
      <c r="G743" s="41"/>
      <c r="H743" s="41"/>
      <c r="I743" s="41"/>
      <c r="J743" s="41"/>
    </row>
    <row r="744">
      <c r="A744" s="41"/>
      <c r="B744" s="41"/>
      <c r="C744" s="41"/>
      <c r="F744" s="41"/>
      <c r="G744" s="41"/>
      <c r="H744" s="41"/>
      <c r="I744" s="41"/>
      <c r="J744" s="41"/>
    </row>
    <row r="745">
      <c r="A745" s="41"/>
      <c r="B745" s="41"/>
      <c r="C745" s="41"/>
      <c r="F745" s="41"/>
      <c r="G745" s="41"/>
      <c r="H745" s="41"/>
      <c r="I745" s="41"/>
      <c r="J745" s="41"/>
    </row>
    <row r="746">
      <c r="A746" s="41"/>
      <c r="B746" s="41"/>
      <c r="C746" s="41"/>
      <c r="F746" s="41"/>
      <c r="G746" s="41"/>
      <c r="H746" s="41"/>
      <c r="I746" s="41"/>
      <c r="J746" s="41"/>
    </row>
    <row r="747">
      <c r="A747" s="41"/>
      <c r="B747" s="41"/>
      <c r="C747" s="41"/>
      <c r="F747" s="41"/>
      <c r="G747" s="41"/>
      <c r="H747" s="41"/>
      <c r="I747" s="41"/>
      <c r="J747" s="41"/>
    </row>
    <row r="748">
      <c r="A748" s="41"/>
      <c r="B748" s="41"/>
      <c r="C748" s="41"/>
      <c r="F748" s="41"/>
      <c r="G748" s="41"/>
      <c r="H748" s="41"/>
      <c r="I748" s="41"/>
      <c r="J748" s="41"/>
    </row>
    <row r="749">
      <c r="A749" s="41"/>
      <c r="B749" s="41"/>
      <c r="C749" s="41"/>
      <c r="F749" s="41"/>
      <c r="G749" s="41"/>
      <c r="H749" s="41"/>
      <c r="I749" s="41"/>
      <c r="J749" s="41"/>
    </row>
    <row r="750">
      <c r="A750" s="41"/>
      <c r="B750" s="41"/>
      <c r="C750" s="41"/>
      <c r="F750" s="41"/>
      <c r="G750" s="41"/>
      <c r="H750" s="41"/>
      <c r="I750" s="41"/>
      <c r="J750" s="41"/>
    </row>
    <row r="751">
      <c r="A751" s="41"/>
      <c r="B751" s="41"/>
      <c r="C751" s="41"/>
      <c r="F751" s="41"/>
      <c r="G751" s="41"/>
      <c r="H751" s="41"/>
      <c r="I751" s="41"/>
      <c r="J751" s="41"/>
    </row>
    <row r="752">
      <c r="A752" s="41"/>
      <c r="B752" s="41"/>
      <c r="C752" s="41"/>
      <c r="F752" s="41"/>
      <c r="G752" s="41"/>
      <c r="H752" s="41"/>
      <c r="I752" s="41"/>
      <c r="J752" s="41"/>
    </row>
    <row r="753">
      <c r="A753" s="41"/>
      <c r="B753" s="41"/>
      <c r="C753" s="41"/>
      <c r="F753" s="41"/>
      <c r="G753" s="41"/>
      <c r="H753" s="41"/>
      <c r="I753" s="41"/>
      <c r="J753" s="41"/>
    </row>
    <row r="754">
      <c r="A754" s="41"/>
      <c r="B754" s="41"/>
      <c r="C754" s="41"/>
      <c r="F754" s="41"/>
      <c r="G754" s="41"/>
      <c r="H754" s="41"/>
      <c r="I754" s="41"/>
      <c r="J754" s="41"/>
    </row>
    <row r="755">
      <c r="A755" s="41"/>
      <c r="B755" s="41"/>
      <c r="C755" s="41"/>
      <c r="F755" s="41"/>
      <c r="G755" s="41"/>
      <c r="H755" s="41"/>
      <c r="I755" s="41"/>
      <c r="J755" s="41"/>
    </row>
    <row r="756">
      <c r="A756" s="41"/>
      <c r="B756" s="41"/>
      <c r="C756" s="41"/>
      <c r="F756" s="41"/>
      <c r="G756" s="41"/>
      <c r="H756" s="41"/>
      <c r="I756" s="41"/>
      <c r="J756" s="41"/>
    </row>
    <row r="757">
      <c r="A757" s="41"/>
      <c r="B757" s="41"/>
      <c r="C757" s="41"/>
      <c r="F757" s="41"/>
      <c r="G757" s="41"/>
      <c r="H757" s="41"/>
      <c r="I757" s="41"/>
      <c r="J757" s="41"/>
    </row>
    <row r="758">
      <c r="A758" s="41"/>
      <c r="B758" s="41"/>
      <c r="C758" s="41"/>
      <c r="F758" s="41"/>
      <c r="G758" s="41"/>
      <c r="H758" s="41"/>
      <c r="I758" s="41"/>
      <c r="J758" s="41"/>
    </row>
    <row r="759">
      <c r="A759" s="41"/>
      <c r="B759" s="41"/>
      <c r="C759" s="41"/>
      <c r="F759" s="41"/>
      <c r="G759" s="41"/>
      <c r="H759" s="41"/>
      <c r="I759" s="41"/>
      <c r="J759" s="41"/>
    </row>
    <row r="760">
      <c r="A760" s="41"/>
      <c r="B760" s="41"/>
      <c r="C760" s="41"/>
      <c r="F760" s="41"/>
      <c r="G760" s="41"/>
      <c r="H760" s="41"/>
      <c r="I760" s="41"/>
      <c r="J760" s="41"/>
    </row>
    <row r="761">
      <c r="A761" s="41"/>
      <c r="B761" s="41"/>
      <c r="C761" s="41"/>
      <c r="F761" s="41"/>
      <c r="G761" s="41"/>
      <c r="H761" s="41"/>
      <c r="I761" s="41"/>
      <c r="J761" s="41"/>
    </row>
    <row r="762">
      <c r="A762" s="41"/>
      <c r="B762" s="41"/>
      <c r="C762" s="41"/>
      <c r="F762" s="41"/>
      <c r="G762" s="41"/>
      <c r="H762" s="41"/>
      <c r="I762" s="41"/>
      <c r="J762" s="41"/>
    </row>
    <row r="763">
      <c r="A763" s="41"/>
      <c r="B763" s="41"/>
      <c r="C763" s="41"/>
      <c r="F763" s="41"/>
      <c r="G763" s="41"/>
      <c r="H763" s="41"/>
      <c r="I763" s="41"/>
      <c r="J763" s="41"/>
    </row>
    <row r="764">
      <c r="A764" s="41"/>
      <c r="B764" s="41"/>
      <c r="C764" s="41"/>
      <c r="F764" s="41"/>
      <c r="G764" s="41"/>
      <c r="H764" s="41"/>
      <c r="I764" s="41"/>
      <c r="J764" s="41"/>
    </row>
    <row r="765">
      <c r="A765" s="41"/>
      <c r="B765" s="41"/>
      <c r="C765" s="41"/>
      <c r="F765" s="41"/>
      <c r="G765" s="41"/>
      <c r="H765" s="41"/>
      <c r="I765" s="41"/>
      <c r="J765" s="41"/>
    </row>
    <row r="766">
      <c r="A766" s="41"/>
      <c r="B766" s="41"/>
      <c r="C766" s="41"/>
      <c r="F766" s="41"/>
      <c r="G766" s="41"/>
      <c r="H766" s="41"/>
      <c r="I766" s="41"/>
      <c r="J766" s="41"/>
    </row>
    <row r="767">
      <c r="A767" s="41"/>
      <c r="B767" s="41"/>
      <c r="C767" s="41"/>
      <c r="F767" s="41"/>
      <c r="G767" s="41"/>
      <c r="H767" s="41"/>
      <c r="I767" s="41"/>
      <c r="J767" s="41"/>
    </row>
    <row r="768">
      <c r="A768" s="41"/>
      <c r="B768" s="41"/>
      <c r="C768" s="41"/>
      <c r="F768" s="41"/>
      <c r="G768" s="41"/>
      <c r="H768" s="41"/>
      <c r="I768" s="41"/>
      <c r="J768" s="41"/>
    </row>
    <row r="769">
      <c r="A769" s="41"/>
      <c r="B769" s="41"/>
      <c r="C769" s="41"/>
      <c r="F769" s="41"/>
      <c r="G769" s="41"/>
      <c r="H769" s="41"/>
      <c r="I769" s="41"/>
      <c r="J769" s="41"/>
    </row>
    <row r="770">
      <c r="A770" s="41"/>
      <c r="B770" s="41"/>
      <c r="C770" s="41"/>
      <c r="F770" s="41"/>
      <c r="G770" s="41"/>
      <c r="H770" s="41"/>
      <c r="I770" s="41"/>
      <c r="J770" s="41"/>
    </row>
    <row r="771">
      <c r="A771" s="41"/>
      <c r="B771" s="41"/>
      <c r="C771" s="41"/>
      <c r="F771" s="41"/>
      <c r="G771" s="41"/>
      <c r="H771" s="41"/>
      <c r="I771" s="41"/>
      <c r="J771" s="41"/>
    </row>
    <row r="772">
      <c r="A772" s="41"/>
      <c r="B772" s="41"/>
      <c r="C772" s="41"/>
      <c r="F772" s="41"/>
      <c r="G772" s="41"/>
      <c r="H772" s="41"/>
      <c r="I772" s="41"/>
      <c r="J772" s="41"/>
    </row>
    <row r="773">
      <c r="A773" s="41"/>
      <c r="B773" s="41"/>
      <c r="C773" s="41"/>
      <c r="F773" s="41"/>
      <c r="G773" s="41"/>
      <c r="H773" s="41"/>
      <c r="I773" s="41"/>
      <c r="J773" s="41"/>
    </row>
    <row r="774">
      <c r="A774" s="41"/>
      <c r="B774" s="41"/>
      <c r="C774" s="41"/>
      <c r="F774" s="41"/>
      <c r="G774" s="41"/>
      <c r="H774" s="41"/>
      <c r="I774" s="41"/>
      <c r="J774" s="41"/>
    </row>
    <row r="775">
      <c r="A775" s="41"/>
      <c r="B775" s="41"/>
      <c r="C775" s="41"/>
      <c r="F775" s="41"/>
      <c r="G775" s="41"/>
      <c r="H775" s="41"/>
      <c r="I775" s="41"/>
      <c r="J775" s="41"/>
    </row>
    <row r="776">
      <c r="A776" s="41"/>
      <c r="B776" s="41"/>
      <c r="C776" s="41"/>
      <c r="F776" s="41"/>
      <c r="G776" s="41"/>
      <c r="H776" s="41"/>
      <c r="I776" s="41"/>
      <c r="J776" s="41"/>
    </row>
    <row r="777">
      <c r="A777" s="41"/>
      <c r="B777" s="41"/>
      <c r="C777" s="41"/>
      <c r="F777" s="41"/>
      <c r="G777" s="41"/>
      <c r="H777" s="41"/>
      <c r="I777" s="41"/>
      <c r="J777" s="41"/>
    </row>
    <row r="778">
      <c r="A778" s="41"/>
      <c r="B778" s="41"/>
      <c r="C778" s="41"/>
      <c r="F778" s="41"/>
      <c r="G778" s="41"/>
      <c r="H778" s="41"/>
      <c r="I778" s="41"/>
      <c r="J778" s="41"/>
    </row>
    <row r="779">
      <c r="A779" s="41"/>
      <c r="B779" s="41"/>
      <c r="C779" s="41"/>
      <c r="F779" s="41"/>
      <c r="G779" s="41"/>
      <c r="H779" s="41"/>
      <c r="I779" s="41"/>
      <c r="J779" s="41"/>
    </row>
    <row r="780">
      <c r="A780" s="41"/>
      <c r="B780" s="41"/>
      <c r="C780" s="41"/>
      <c r="F780" s="41"/>
      <c r="G780" s="41"/>
      <c r="H780" s="41"/>
      <c r="I780" s="41"/>
      <c r="J780" s="41"/>
    </row>
    <row r="781">
      <c r="A781" s="41"/>
      <c r="B781" s="41"/>
      <c r="C781" s="41"/>
      <c r="F781" s="41"/>
      <c r="G781" s="41"/>
      <c r="H781" s="41"/>
      <c r="I781" s="41"/>
      <c r="J781" s="41"/>
    </row>
    <row r="782">
      <c r="A782" s="41"/>
      <c r="B782" s="41"/>
      <c r="C782" s="41"/>
      <c r="F782" s="41"/>
      <c r="G782" s="41"/>
      <c r="H782" s="41"/>
      <c r="I782" s="41"/>
      <c r="J782" s="41"/>
    </row>
    <row r="783">
      <c r="A783" s="41"/>
      <c r="B783" s="41"/>
      <c r="C783" s="41"/>
      <c r="F783" s="41"/>
      <c r="G783" s="41"/>
      <c r="H783" s="41"/>
      <c r="I783" s="41"/>
      <c r="J783" s="41"/>
    </row>
    <row r="784">
      <c r="A784" s="41"/>
      <c r="B784" s="41"/>
      <c r="C784" s="41"/>
      <c r="F784" s="41"/>
      <c r="G784" s="41"/>
      <c r="H784" s="41"/>
      <c r="I784" s="41"/>
      <c r="J784" s="41"/>
    </row>
    <row r="785">
      <c r="A785" s="41"/>
      <c r="B785" s="41"/>
      <c r="C785" s="41"/>
      <c r="F785" s="41"/>
      <c r="G785" s="41"/>
      <c r="H785" s="41"/>
      <c r="I785" s="41"/>
      <c r="J785" s="41"/>
    </row>
    <row r="786">
      <c r="A786" s="41"/>
      <c r="B786" s="41"/>
      <c r="C786" s="41"/>
      <c r="F786" s="41"/>
      <c r="G786" s="41"/>
      <c r="H786" s="41"/>
      <c r="I786" s="41"/>
      <c r="J786" s="41"/>
    </row>
    <row r="787">
      <c r="A787" s="41"/>
      <c r="B787" s="41"/>
      <c r="C787" s="41"/>
      <c r="F787" s="41"/>
      <c r="G787" s="41"/>
      <c r="H787" s="41"/>
      <c r="I787" s="41"/>
      <c r="J787" s="41"/>
    </row>
    <row r="788">
      <c r="A788" s="41"/>
      <c r="B788" s="41"/>
      <c r="C788" s="41"/>
      <c r="F788" s="41"/>
      <c r="G788" s="41"/>
      <c r="H788" s="41"/>
      <c r="I788" s="41"/>
      <c r="J788" s="41"/>
    </row>
    <row r="789">
      <c r="A789" s="41"/>
      <c r="B789" s="41"/>
      <c r="C789" s="41"/>
      <c r="F789" s="41"/>
      <c r="G789" s="41"/>
      <c r="H789" s="41"/>
      <c r="I789" s="41"/>
      <c r="J789" s="41"/>
    </row>
    <row r="790">
      <c r="A790" s="41"/>
      <c r="B790" s="41"/>
      <c r="C790" s="41"/>
      <c r="F790" s="41"/>
      <c r="G790" s="41"/>
      <c r="H790" s="41"/>
      <c r="I790" s="41"/>
      <c r="J790" s="41"/>
    </row>
    <row r="791">
      <c r="A791" s="41"/>
      <c r="B791" s="41"/>
      <c r="C791" s="41"/>
      <c r="F791" s="41"/>
      <c r="G791" s="41"/>
      <c r="H791" s="41"/>
      <c r="I791" s="41"/>
      <c r="J791" s="41"/>
    </row>
    <row r="792">
      <c r="A792" s="41"/>
      <c r="B792" s="41"/>
      <c r="C792" s="41"/>
      <c r="F792" s="41"/>
      <c r="G792" s="41"/>
      <c r="H792" s="41"/>
      <c r="I792" s="41"/>
      <c r="J792" s="41"/>
    </row>
    <row r="793">
      <c r="A793" s="41"/>
      <c r="B793" s="41"/>
      <c r="C793" s="41"/>
      <c r="F793" s="41"/>
      <c r="G793" s="41"/>
      <c r="H793" s="41"/>
      <c r="I793" s="41"/>
      <c r="J793" s="41"/>
    </row>
    <row r="794">
      <c r="A794" s="41"/>
      <c r="B794" s="41"/>
      <c r="C794" s="41"/>
      <c r="F794" s="41"/>
      <c r="G794" s="41"/>
      <c r="H794" s="41"/>
      <c r="I794" s="41"/>
      <c r="J794" s="41"/>
    </row>
    <row r="795">
      <c r="A795" s="41"/>
      <c r="B795" s="41"/>
      <c r="C795" s="41"/>
      <c r="F795" s="41"/>
      <c r="G795" s="41"/>
      <c r="H795" s="41"/>
      <c r="I795" s="41"/>
      <c r="J795" s="41"/>
    </row>
    <row r="796">
      <c r="A796" s="41"/>
      <c r="B796" s="41"/>
      <c r="C796" s="41"/>
      <c r="F796" s="41"/>
      <c r="G796" s="41"/>
      <c r="H796" s="41"/>
      <c r="I796" s="41"/>
      <c r="J796" s="41"/>
    </row>
    <row r="797">
      <c r="A797" s="41"/>
      <c r="B797" s="41"/>
      <c r="C797" s="41"/>
      <c r="F797" s="41"/>
      <c r="G797" s="41"/>
      <c r="H797" s="41"/>
      <c r="I797" s="41"/>
      <c r="J797" s="41"/>
    </row>
    <row r="798">
      <c r="A798" s="41"/>
      <c r="B798" s="41"/>
      <c r="C798" s="41"/>
      <c r="F798" s="41"/>
      <c r="G798" s="41"/>
      <c r="H798" s="41"/>
      <c r="I798" s="41"/>
      <c r="J798" s="41"/>
    </row>
    <row r="799">
      <c r="A799" s="41"/>
      <c r="B799" s="41"/>
      <c r="C799" s="41"/>
      <c r="F799" s="41"/>
      <c r="G799" s="41"/>
      <c r="H799" s="41"/>
      <c r="I799" s="41"/>
      <c r="J799" s="41"/>
    </row>
    <row r="800">
      <c r="A800" s="41"/>
      <c r="B800" s="41"/>
      <c r="C800" s="41"/>
      <c r="F800" s="41"/>
      <c r="G800" s="41"/>
      <c r="H800" s="41"/>
      <c r="I800" s="41"/>
      <c r="J800" s="41"/>
    </row>
    <row r="801">
      <c r="A801" s="41"/>
      <c r="B801" s="41"/>
      <c r="C801" s="41"/>
      <c r="F801" s="41"/>
      <c r="G801" s="41"/>
      <c r="H801" s="41"/>
      <c r="I801" s="41"/>
      <c r="J801" s="41"/>
    </row>
    <row r="802">
      <c r="A802" s="41"/>
      <c r="B802" s="41"/>
      <c r="C802" s="41"/>
      <c r="F802" s="41"/>
      <c r="G802" s="41"/>
      <c r="H802" s="41"/>
      <c r="I802" s="41"/>
      <c r="J802" s="41"/>
    </row>
    <row r="803">
      <c r="A803" s="41"/>
      <c r="B803" s="41"/>
      <c r="C803" s="41"/>
      <c r="F803" s="41"/>
      <c r="G803" s="41"/>
      <c r="H803" s="41"/>
      <c r="I803" s="41"/>
      <c r="J803" s="41"/>
    </row>
    <row r="804">
      <c r="A804" s="41"/>
      <c r="B804" s="41"/>
      <c r="C804" s="41"/>
      <c r="F804" s="41"/>
      <c r="G804" s="41"/>
      <c r="H804" s="41"/>
      <c r="I804" s="41"/>
      <c r="J804" s="41"/>
    </row>
    <row r="805">
      <c r="A805" s="41"/>
      <c r="B805" s="41"/>
      <c r="C805" s="41"/>
      <c r="F805" s="41"/>
      <c r="G805" s="41"/>
      <c r="H805" s="41"/>
      <c r="I805" s="41"/>
      <c r="J805" s="41"/>
    </row>
    <row r="806">
      <c r="A806" s="41"/>
      <c r="B806" s="41"/>
      <c r="C806" s="41"/>
      <c r="F806" s="41"/>
      <c r="G806" s="41"/>
      <c r="H806" s="41"/>
      <c r="I806" s="41"/>
      <c r="J806" s="41"/>
    </row>
    <row r="807">
      <c r="A807" s="41"/>
      <c r="B807" s="41"/>
      <c r="C807" s="41"/>
      <c r="F807" s="41"/>
      <c r="G807" s="41"/>
      <c r="H807" s="41"/>
      <c r="I807" s="41"/>
      <c r="J807" s="41"/>
    </row>
    <row r="808">
      <c r="A808" s="41"/>
      <c r="B808" s="41"/>
      <c r="C808" s="41"/>
      <c r="F808" s="41"/>
      <c r="G808" s="41"/>
      <c r="H808" s="41"/>
      <c r="I808" s="41"/>
      <c r="J808" s="41"/>
    </row>
    <row r="809">
      <c r="A809" s="41"/>
      <c r="B809" s="41"/>
      <c r="C809" s="41"/>
      <c r="F809" s="41"/>
      <c r="G809" s="41"/>
      <c r="H809" s="41"/>
      <c r="I809" s="41"/>
      <c r="J809" s="41"/>
    </row>
    <row r="810">
      <c r="A810" s="41"/>
      <c r="B810" s="41"/>
      <c r="C810" s="41"/>
      <c r="F810" s="41"/>
      <c r="G810" s="41"/>
      <c r="H810" s="41"/>
      <c r="I810" s="41"/>
      <c r="J810" s="41"/>
    </row>
    <row r="811">
      <c r="A811" s="41"/>
      <c r="B811" s="41"/>
      <c r="C811" s="41"/>
      <c r="F811" s="41"/>
      <c r="G811" s="41"/>
      <c r="H811" s="41"/>
      <c r="I811" s="41"/>
      <c r="J811" s="41"/>
    </row>
    <row r="812">
      <c r="A812" s="41"/>
      <c r="B812" s="41"/>
      <c r="C812" s="41"/>
      <c r="F812" s="41"/>
      <c r="G812" s="41"/>
      <c r="H812" s="41"/>
      <c r="I812" s="41"/>
      <c r="J812" s="41"/>
    </row>
    <row r="813">
      <c r="A813" s="41"/>
      <c r="B813" s="41"/>
      <c r="C813" s="41"/>
      <c r="F813" s="41"/>
      <c r="G813" s="41"/>
      <c r="H813" s="41"/>
      <c r="I813" s="41"/>
      <c r="J813" s="41"/>
    </row>
    <row r="814">
      <c r="A814" s="41"/>
      <c r="B814" s="41"/>
      <c r="C814" s="41"/>
      <c r="F814" s="41"/>
      <c r="G814" s="41"/>
      <c r="H814" s="41"/>
      <c r="I814" s="41"/>
      <c r="J814" s="41"/>
    </row>
    <row r="815">
      <c r="A815" s="41"/>
      <c r="B815" s="41"/>
      <c r="C815" s="41"/>
      <c r="F815" s="41"/>
      <c r="G815" s="41"/>
      <c r="H815" s="41"/>
      <c r="I815" s="41"/>
      <c r="J815" s="41"/>
    </row>
    <row r="816">
      <c r="A816" s="41"/>
      <c r="B816" s="41"/>
      <c r="C816" s="41"/>
      <c r="F816" s="41"/>
      <c r="G816" s="41"/>
      <c r="H816" s="41"/>
      <c r="I816" s="41"/>
      <c r="J816" s="41"/>
    </row>
    <row r="817">
      <c r="A817" s="41"/>
      <c r="B817" s="41"/>
      <c r="C817" s="41"/>
      <c r="F817" s="41"/>
      <c r="G817" s="41"/>
      <c r="H817" s="41"/>
      <c r="I817" s="41"/>
      <c r="J817" s="41"/>
    </row>
    <row r="818">
      <c r="A818" s="41"/>
      <c r="B818" s="41"/>
      <c r="C818" s="41"/>
      <c r="F818" s="41"/>
      <c r="G818" s="41"/>
      <c r="H818" s="41"/>
      <c r="I818" s="41"/>
      <c r="J818" s="41"/>
    </row>
    <row r="819">
      <c r="A819" s="41"/>
      <c r="B819" s="41"/>
      <c r="C819" s="41"/>
      <c r="F819" s="41"/>
      <c r="G819" s="41"/>
      <c r="H819" s="41"/>
      <c r="I819" s="41"/>
      <c r="J819" s="41"/>
    </row>
    <row r="820">
      <c r="A820" s="41"/>
      <c r="B820" s="41"/>
      <c r="C820" s="41"/>
      <c r="F820" s="41"/>
      <c r="G820" s="41"/>
      <c r="H820" s="41"/>
      <c r="I820" s="41"/>
      <c r="J820" s="41"/>
    </row>
    <row r="821">
      <c r="A821" s="41"/>
      <c r="B821" s="41"/>
      <c r="C821" s="41"/>
      <c r="F821" s="41"/>
      <c r="G821" s="41"/>
      <c r="H821" s="41"/>
      <c r="I821" s="41"/>
      <c r="J821" s="41"/>
    </row>
    <row r="822">
      <c r="A822" s="41"/>
      <c r="B822" s="41"/>
      <c r="C822" s="41"/>
      <c r="F822" s="41"/>
      <c r="G822" s="41"/>
      <c r="H822" s="41"/>
      <c r="I822" s="41"/>
      <c r="J822" s="41"/>
    </row>
    <row r="823">
      <c r="A823" s="41"/>
      <c r="B823" s="41"/>
      <c r="C823" s="41"/>
      <c r="F823" s="41"/>
      <c r="G823" s="41"/>
      <c r="H823" s="41"/>
      <c r="I823" s="41"/>
      <c r="J823" s="41"/>
    </row>
    <row r="824">
      <c r="A824" s="41"/>
      <c r="B824" s="41"/>
      <c r="C824" s="41"/>
      <c r="F824" s="41"/>
      <c r="G824" s="41"/>
      <c r="H824" s="41"/>
      <c r="I824" s="41"/>
      <c r="J824" s="41"/>
    </row>
    <row r="825">
      <c r="A825" s="41"/>
      <c r="B825" s="41"/>
      <c r="C825" s="41"/>
      <c r="F825" s="41"/>
      <c r="G825" s="41"/>
      <c r="H825" s="41"/>
      <c r="I825" s="41"/>
      <c r="J825" s="41"/>
    </row>
    <row r="826">
      <c r="A826" s="41"/>
      <c r="B826" s="41"/>
      <c r="C826" s="41"/>
      <c r="F826" s="41"/>
      <c r="G826" s="41"/>
      <c r="H826" s="41"/>
      <c r="I826" s="41"/>
      <c r="J826" s="41"/>
    </row>
    <row r="827">
      <c r="A827" s="41"/>
      <c r="B827" s="41"/>
      <c r="C827" s="41"/>
      <c r="F827" s="41"/>
      <c r="G827" s="41"/>
      <c r="H827" s="41"/>
      <c r="I827" s="41"/>
      <c r="J827" s="41"/>
    </row>
    <row r="828">
      <c r="A828" s="41"/>
      <c r="B828" s="41"/>
      <c r="C828" s="41"/>
      <c r="F828" s="41"/>
      <c r="G828" s="41"/>
      <c r="H828" s="41"/>
      <c r="I828" s="41"/>
      <c r="J828" s="41"/>
    </row>
    <row r="829">
      <c r="A829" s="41"/>
      <c r="B829" s="41"/>
      <c r="C829" s="41"/>
      <c r="F829" s="41"/>
      <c r="G829" s="41"/>
      <c r="H829" s="41"/>
      <c r="I829" s="41"/>
      <c r="J829" s="41"/>
    </row>
    <row r="830">
      <c r="A830" s="41"/>
      <c r="B830" s="41"/>
      <c r="C830" s="41"/>
      <c r="F830" s="41"/>
      <c r="G830" s="41"/>
      <c r="H830" s="41"/>
      <c r="I830" s="41"/>
      <c r="J830" s="41"/>
    </row>
    <row r="831">
      <c r="A831" s="41"/>
      <c r="B831" s="41"/>
      <c r="C831" s="41"/>
      <c r="F831" s="41"/>
      <c r="G831" s="41"/>
      <c r="H831" s="41"/>
      <c r="I831" s="41"/>
      <c r="J831" s="41"/>
    </row>
    <row r="832">
      <c r="A832" s="41"/>
      <c r="B832" s="41"/>
      <c r="C832" s="41"/>
      <c r="F832" s="41"/>
      <c r="G832" s="41"/>
      <c r="H832" s="41"/>
      <c r="I832" s="41"/>
      <c r="J832" s="41"/>
    </row>
    <row r="833">
      <c r="A833" s="41"/>
      <c r="B833" s="41"/>
      <c r="C833" s="41"/>
      <c r="F833" s="41"/>
      <c r="G833" s="41"/>
      <c r="H833" s="41"/>
      <c r="I833" s="41"/>
      <c r="J833" s="41"/>
    </row>
    <row r="834">
      <c r="A834" s="41"/>
      <c r="B834" s="41"/>
      <c r="C834" s="41"/>
      <c r="F834" s="41"/>
      <c r="G834" s="41"/>
      <c r="H834" s="41"/>
      <c r="I834" s="41"/>
      <c r="J834" s="41"/>
    </row>
    <row r="835">
      <c r="A835" s="41"/>
      <c r="B835" s="41"/>
      <c r="C835" s="41"/>
      <c r="F835" s="41"/>
      <c r="G835" s="41"/>
      <c r="H835" s="41"/>
      <c r="I835" s="41"/>
      <c r="J835" s="41"/>
    </row>
    <row r="836">
      <c r="A836" s="41"/>
      <c r="B836" s="41"/>
      <c r="C836" s="41"/>
      <c r="F836" s="41"/>
      <c r="G836" s="41"/>
      <c r="H836" s="41"/>
      <c r="I836" s="41"/>
      <c r="J836" s="41"/>
    </row>
    <row r="837">
      <c r="A837" s="41"/>
      <c r="B837" s="41"/>
      <c r="C837" s="41"/>
      <c r="F837" s="41"/>
      <c r="G837" s="41"/>
      <c r="H837" s="41"/>
      <c r="I837" s="41"/>
      <c r="J837" s="41"/>
    </row>
    <row r="838">
      <c r="A838" s="41"/>
      <c r="B838" s="41"/>
      <c r="C838" s="41"/>
      <c r="F838" s="41"/>
      <c r="G838" s="41"/>
      <c r="H838" s="41"/>
      <c r="I838" s="41"/>
      <c r="J838" s="41"/>
    </row>
    <row r="839">
      <c r="A839" s="41"/>
      <c r="B839" s="41"/>
      <c r="C839" s="41"/>
      <c r="F839" s="41"/>
      <c r="G839" s="41"/>
      <c r="H839" s="41"/>
      <c r="I839" s="41"/>
      <c r="J839" s="41"/>
    </row>
    <row r="840">
      <c r="A840" s="41"/>
      <c r="B840" s="41"/>
      <c r="C840" s="41"/>
      <c r="F840" s="41"/>
      <c r="G840" s="41"/>
      <c r="H840" s="41"/>
      <c r="I840" s="41"/>
      <c r="J840" s="41"/>
    </row>
    <row r="841">
      <c r="A841" s="41"/>
      <c r="B841" s="41"/>
      <c r="C841" s="41"/>
      <c r="F841" s="41"/>
      <c r="G841" s="41"/>
      <c r="H841" s="41"/>
      <c r="I841" s="41"/>
      <c r="J841" s="41"/>
    </row>
    <row r="842">
      <c r="A842" s="41"/>
      <c r="B842" s="41"/>
      <c r="C842" s="41"/>
      <c r="F842" s="41"/>
      <c r="G842" s="41"/>
      <c r="H842" s="41"/>
      <c r="I842" s="41"/>
      <c r="J842" s="41"/>
    </row>
    <row r="843">
      <c r="A843" s="41"/>
      <c r="B843" s="41"/>
      <c r="C843" s="41"/>
      <c r="F843" s="41"/>
      <c r="G843" s="41"/>
      <c r="H843" s="41"/>
      <c r="I843" s="41"/>
      <c r="J843" s="41"/>
    </row>
    <row r="844">
      <c r="A844" s="41"/>
      <c r="B844" s="41"/>
      <c r="C844" s="41"/>
      <c r="F844" s="41"/>
      <c r="G844" s="41"/>
      <c r="H844" s="41"/>
      <c r="I844" s="41"/>
      <c r="J844" s="41"/>
    </row>
    <row r="845">
      <c r="A845" s="41"/>
      <c r="B845" s="41"/>
      <c r="C845" s="41"/>
      <c r="F845" s="41"/>
      <c r="G845" s="41"/>
      <c r="H845" s="41"/>
      <c r="I845" s="41"/>
      <c r="J845" s="41"/>
    </row>
    <row r="846">
      <c r="A846" s="41"/>
      <c r="B846" s="41"/>
      <c r="C846" s="41"/>
      <c r="F846" s="41"/>
      <c r="G846" s="41"/>
      <c r="H846" s="41"/>
      <c r="I846" s="41"/>
      <c r="J846" s="41"/>
    </row>
    <row r="847">
      <c r="A847" s="41"/>
      <c r="B847" s="41"/>
      <c r="C847" s="41"/>
      <c r="F847" s="41"/>
      <c r="G847" s="41"/>
      <c r="H847" s="41"/>
      <c r="I847" s="41"/>
      <c r="J847" s="41"/>
    </row>
    <row r="848">
      <c r="A848" s="41"/>
      <c r="B848" s="41"/>
      <c r="C848" s="41"/>
      <c r="F848" s="41"/>
      <c r="G848" s="41"/>
      <c r="H848" s="41"/>
      <c r="I848" s="41"/>
      <c r="J848" s="41"/>
    </row>
    <row r="849">
      <c r="A849" s="41"/>
      <c r="B849" s="41"/>
      <c r="C849" s="41"/>
      <c r="F849" s="41"/>
      <c r="G849" s="41"/>
      <c r="H849" s="41"/>
      <c r="I849" s="41"/>
      <c r="J849" s="41"/>
    </row>
    <row r="850">
      <c r="A850" s="41"/>
      <c r="B850" s="41"/>
      <c r="C850" s="41"/>
      <c r="F850" s="41"/>
      <c r="G850" s="41"/>
      <c r="H850" s="41"/>
      <c r="I850" s="41"/>
      <c r="J850" s="41"/>
    </row>
    <row r="851">
      <c r="A851" s="41"/>
      <c r="B851" s="41"/>
      <c r="C851" s="41"/>
      <c r="F851" s="41"/>
      <c r="G851" s="41"/>
      <c r="H851" s="41"/>
      <c r="I851" s="41"/>
      <c r="J851" s="41"/>
    </row>
    <row r="852">
      <c r="A852" s="41"/>
      <c r="B852" s="41"/>
      <c r="C852" s="41"/>
      <c r="F852" s="41"/>
      <c r="G852" s="41"/>
      <c r="H852" s="41"/>
      <c r="I852" s="41"/>
      <c r="J852" s="41"/>
    </row>
    <row r="853">
      <c r="A853" s="41"/>
      <c r="B853" s="41"/>
      <c r="C853" s="41"/>
      <c r="F853" s="41"/>
      <c r="G853" s="41"/>
      <c r="H853" s="41"/>
      <c r="I853" s="41"/>
      <c r="J853" s="41"/>
    </row>
    <row r="854">
      <c r="A854" s="41"/>
      <c r="B854" s="41"/>
      <c r="C854" s="41"/>
      <c r="F854" s="41"/>
      <c r="G854" s="41"/>
      <c r="H854" s="41"/>
      <c r="I854" s="41"/>
      <c r="J854" s="41"/>
    </row>
    <row r="855">
      <c r="A855" s="41"/>
      <c r="B855" s="41"/>
      <c r="C855" s="41"/>
      <c r="F855" s="41"/>
      <c r="G855" s="41"/>
      <c r="H855" s="41"/>
      <c r="I855" s="41"/>
      <c r="J855" s="41"/>
    </row>
    <row r="856">
      <c r="A856" s="41"/>
      <c r="B856" s="41"/>
      <c r="C856" s="41"/>
      <c r="F856" s="41"/>
      <c r="G856" s="41"/>
      <c r="H856" s="41"/>
      <c r="I856" s="41"/>
      <c r="J856" s="41"/>
    </row>
    <row r="857">
      <c r="A857" s="41"/>
      <c r="B857" s="41"/>
      <c r="C857" s="41"/>
      <c r="F857" s="41"/>
      <c r="G857" s="41"/>
      <c r="H857" s="41"/>
      <c r="I857" s="41"/>
      <c r="J857" s="41"/>
    </row>
    <row r="858">
      <c r="A858" s="41"/>
      <c r="B858" s="41"/>
      <c r="C858" s="41"/>
      <c r="F858" s="41"/>
      <c r="G858" s="41"/>
      <c r="H858" s="41"/>
      <c r="I858" s="41"/>
      <c r="J858" s="41"/>
    </row>
    <row r="859">
      <c r="A859" s="41"/>
      <c r="B859" s="41"/>
      <c r="C859" s="41"/>
      <c r="F859" s="41"/>
      <c r="G859" s="41"/>
      <c r="H859" s="41"/>
      <c r="I859" s="41"/>
      <c r="J859" s="41"/>
    </row>
    <row r="860">
      <c r="A860" s="41"/>
      <c r="B860" s="41"/>
      <c r="C860" s="41"/>
      <c r="F860" s="41"/>
      <c r="G860" s="41"/>
      <c r="H860" s="41"/>
      <c r="I860" s="41"/>
      <c r="J860" s="41"/>
    </row>
    <row r="861">
      <c r="A861" s="41"/>
      <c r="B861" s="41"/>
      <c r="C861" s="41"/>
      <c r="F861" s="41"/>
      <c r="G861" s="41"/>
      <c r="H861" s="41"/>
      <c r="I861" s="41"/>
      <c r="J861" s="41"/>
    </row>
    <row r="862">
      <c r="A862" s="41"/>
      <c r="B862" s="41"/>
      <c r="C862" s="41"/>
      <c r="F862" s="41"/>
      <c r="G862" s="41"/>
      <c r="H862" s="41"/>
      <c r="I862" s="41"/>
      <c r="J862" s="41"/>
    </row>
    <row r="863">
      <c r="A863" s="41"/>
      <c r="B863" s="41"/>
      <c r="C863" s="41"/>
      <c r="F863" s="41"/>
      <c r="G863" s="41"/>
      <c r="H863" s="41"/>
      <c r="I863" s="41"/>
      <c r="J863" s="41"/>
    </row>
    <row r="864">
      <c r="A864" s="41"/>
      <c r="B864" s="41"/>
      <c r="C864" s="41"/>
      <c r="F864" s="41"/>
      <c r="G864" s="41"/>
      <c r="H864" s="41"/>
      <c r="I864" s="41"/>
      <c r="J864" s="41"/>
    </row>
    <row r="865">
      <c r="A865" s="41"/>
      <c r="B865" s="41"/>
      <c r="C865" s="41"/>
      <c r="F865" s="41"/>
      <c r="G865" s="41"/>
      <c r="H865" s="41"/>
      <c r="I865" s="41"/>
      <c r="J865" s="41"/>
    </row>
    <row r="866">
      <c r="A866" s="41"/>
      <c r="B866" s="41"/>
      <c r="C866" s="41"/>
      <c r="F866" s="41"/>
      <c r="G866" s="41"/>
      <c r="H866" s="41"/>
      <c r="I866" s="41"/>
      <c r="J866" s="41"/>
    </row>
    <row r="867">
      <c r="A867" s="41"/>
      <c r="B867" s="41"/>
      <c r="C867" s="41"/>
      <c r="F867" s="41"/>
      <c r="G867" s="41"/>
      <c r="H867" s="41"/>
      <c r="I867" s="41"/>
      <c r="J867" s="41"/>
    </row>
    <row r="868">
      <c r="A868" s="41"/>
      <c r="B868" s="41"/>
      <c r="C868" s="41"/>
      <c r="F868" s="41"/>
      <c r="G868" s="41"/>
      <c r="H868" s="41"/>
      <c r="I868" s="41"/>
      <c r="J868" s="41"/>
    </row>
    <row r="869">
      <c r="A869" s="41"/>
      <c r="B869" s="41"/>
      <c r="C869" s="41"/>
      <c r="F869" s="41"/>
      <c r="G869" s="41"/>
      <c r="H869" s="41"/>
      <c r="I869" s="41"/>
      <c r="J869" s="41"/>
    </row>
    <row r="870">
      <c r="A870" s="41"/>
      <c r="B870" s="41"/>
      <c r="C870" s="41"/>
      <c r="F870" s="41"/>
      <c r="G870" s="41"/>
      <c r="H870" s="41"/>
      <c r="I870" s="41"/>
      <c r="J870" s="41"/>
    </row>
    <row r="871">
      <c r="A871" s="41"/>
      <c r="B871" s="41"/>
      <c r="C871" s="41"/>
      <c r="F871" s="41"/>
      <c r="G871" s="41"/>
      <c r="H871" s="41"/>
      <c r="I871" s="41"/>
      <c r="J871" s="41"/>
    </row>
    <row r="872">
      <c r="A872" s="41"/>
      <c r="B872" s="41"/>
      <c r="C872" s="41"/>
      <c r="F872" s="41"/>
      <c r="G872" s="41"/>
      <c r="H872" s="41"/>
      <c r="I872" s="41"/>
      <c r="J872" s="41"/>
    </row>
    <row r="873">
      <c r="A873" s="41"/>
      <c r="B873" s="41"/>
      <c r="C873" s="41"/>
      <c r="F873" s="41"/>
      <c r="G873" s="41"/>
      <c r="H873" s="41"/>
      <c r="I873" s="41"/>
      <c r="J873" s="41"/>
    </row>
    <row r="874">
      <c r="A874" s="41"/>
      <c r="B874" s="41"/>
      <c r="C874" s="41"/>
      <c r="F874" s="41"/>
      <c r="G874" s="41"/>
      <c r="H874" s="41"/>
      <c r="I874" s="41"/>
      <c r="J874" s="41"/>
    </row>
    <row r="875">
      <c r="A875" s="41"/>
      <c r="B875" s="41"/>
      <c r="C875" s="41"/>
      <c r="F875" s="41"/>
      <c r="G875" s="41"/>
      <c r="H875" s="41"/>
      <c r="I875" s="41"/>
      <c r="J875" s="41"/>
    </row>
    <row r="876">
      <c r="A876" s="41"/>
      <c r="B876" s="41"/>
      <c r="C876" s="41"/>
      <c r="F876" s="41"/>
      <c r="G876" s="41"/>
      <c r="H876" s="41"/>
      <c r="I876" s="41"/>
      <c r="J876" s="41"/>
    </row>
    <row r="877">
      <c r="A877" s="41"/>
      <c r="B877" s="41"/>
      <c r="C877" s="41"/>
      <c r="F877" s="41"/>
      <c r="G877" s="41"/>
      <c r="H877" s="41"/>
      <c r="I877" s="41"/>
      <c r="J877" s="41"/>
    </row>
    <row r="878">
      <c r="A878" s="41"/>
      <c r="B878" s="41"/>
      <c r="C878" s="41"/>
      <c r="F878" s="41"/>
      <c r="G878" s="41"/>
      <c r="H878" s="41"/>
      <c r="I878" s="41"/>
      <c r="J878" s="41"/>
    </row>
    <row r="879">
      <c r="A879" s="41"/>
      <c r="B879" s="41"/>
      <c r="C879" s="41"/>
      <c r="F879" s="41"/>
      <c r="G879" s="41"/>
      <c r="H879" s="41"/>
      <c r="I879" s="41"/>
      <c r="J879" s="41"/>
    </row>
    <row r="880">
      <c r="A880" s="41"/>
      <c r="B880" s="41"/>
      <c r="C880" s="41"/>
      <c r="F880" s="41"/>
      <c r="G880" s="41"/>
      <c r="H880" s="41"/>
      <c r="I880" s="41"/>
      <c r="J880" s="41"/>
    </row>
    <row r="881">
      <c r="A881" s="41"/>
      <c r="B881" s="41"/>
      <c r="C881" s="41"/>
      <c r="F881" s="41"/>
      <c r="G881" s="41"/>
      <c r="H881" s="41"/>
      <c r="I881" s="41"/>
      <c r="J881" s="41"/>
    </row>
    <row r="882">
      <c r="A882" s="41"/>
      <c r="B882" s="41"/>
      <c r="C882" s="41"/>
      <c r="F882" s="41"/>
      <c r="G882" s="41"/>
      <c r="H882" s="41"/>
      <c r="I882" s="41"/>
      <c r="J882" s="41"/>
    </row>
    <row r="883">
      <c r="A883" s="41"/>
      <c r="B883" s="41"/>
      <c r="C883" s="41"/>
      <c r="F883" s="41"/>
      <c r="G883" s="41"/>
      <c r="H883" s="41"/>
      <c r="I883" s="41"/>
      <c r="J883" s="41"/>
    </row>
    <row r="884">
      <c r="A884" s="41"/>
      <c r="B884" s="41"/>
      <c r="C884" s="41"/>
      <c r="F884" s="41"/>
      <c r="G884" s="41"/>
      <c r="H884" s="41"/>
      <c r="I884" s="41"/>
      <c r="J884" s="41"/>
    </row>
    <row r="885">
      <c r="A885" s="41"/>
      <c r="B885" s="41"/>
      <c r="C885" s="41"/>
      <c r="F885" s="41"/>
      <c r="G885" s="41"/>
      <c r="H885" s="41"/>
      <c r="I885" s="41"/>
      <c r="J885" s="41"/>
    </row>
    <row r="886">
      <c r="A886" s="41"/>
      <c r="B886" s="41"/>
      <c r="C886" s="41"/>
      <c r="F886" s="41"/>
      <c r="G886" s="41"/>
      <c r="H886" s="41"/>
      <c r="I886" s="41"/>
      <c r="J886" s="41"/>
    </row>
    <row r="887">
      <c r="A887" s="41"/>
      <c r="B887" s="41"/>
      <c r="C887" s="41"/>
      <c r="F887" s="41"/>
      <c r="G887" s="41"/>
      <c r="H887" s="41"/>
      <c r="I887" s="41"/>
      <c r="J887" s="41"/>
    </row>
    <row r="888">
      <c r="A888" s="41"/>
      <c r="B888" s="41"/>
      <c r="C888" s="41"/>
      <c r="F888" s="41"/>
      <c r="G888" s="41"/>
      <c r="H888" s="41"/>
      <c r="I888" s="41"/>
      <c r="J888" s="41"/>
    </row>
    <row r="889">
      <c r="A889" s="41"/>
      <c r="B889" s="41"/>
      <c r="C889" s="41"/>
      <c r="F889" s="41"/>
      <c r="G889" s="41"/>
      <c r="H889" s="41"/>
      <c r="I889" s="41"/>
      <c r="J889" s="41"/>
    </row>
    <row r="890">
      <c r="A890" s="41"/>
      <c r="B890" s="41"/>
      <c r="C890" s="41"/>
      <c r="F890" s="41"/>
      <c r="G890" s="41"/>
      <c r="H890" s="41"/>
      <c r="I890" s="41"/>
      <c r="J890" s="41"/>
    </row>
    <row r="891">
      <c r="A891" s="41"/>
      <c r="B891" s="41"/>
      <c r="C891" s="41"/>
      <c r="F891" s="41"/>
      <c r="G891" s="41"/>
      <c r="H891" s="41"/>
      <c r="I891" s="41"/>
      <c r="J891" s="41"/>
    </row>
    <row r="892">
      <c r="A892" s="41"/>
      <c r="B892" s="41"/>
      <c r="C892" s="41"/>
      <c r="F892" s="41"/>
      <c r="G892" s="41"/>
      <c r="H892" s="41"/>
      <c r="I892" s="41"/>
      <c r="J892" s="41"/>
    </row>
    <row r="893">
      <c r="A893" s="41"/>
      <c r="B893" s="41"/>
      <c r="C893" s="41"/>
      <c r="F893" s="41"/>
      <c r="G893" s="41"/>
      <c r="H893" s="41"/>
      <c r="I893" s="41"/>
      <c r="J893" s="41"/>
    </row>
    <row r="894">
      <c r="A894" s="41"/>
      <c r="B894" s="41"/>
      <c r="C894" s="41"/>
      <c r="F894" s="41"/>
      <c r="G894" s="41"/>
      <c r="H894" s="41"/>
      <c r="I894" s="41"/>
      <c r="J894" s="41"/>
    </row>
    <row r="895">
      <c r="A895" s="41"/>
      <c r="B895" s="41"/>
      <c r="C895" s="41"/>
      <c r="F895" s="41"/>
      <c r="G895" s="41"/>
      <c r="H895" s="41"/>
      <c r="I895" s="41"/>
      <c r="J895" s="41"/>
    </row>
    <row r="896">
      <c r="A896" s="41"/>
      <c r="B896" s="41"/>
      <c r="C896" s="41"/>
      <c r="F896" s="41"/>
      <c r="G896" s="41"/>
      <c r="H896" s="41"/>
      <c r="I896" s="41"/>
      <c r="J896" s="41"/>
    </row>
    <row r="897">
      <c r="A897" s="41"/>
      <c r="B897" s="41"/>
      <c r="C897" s="41"/>
      <c r="F897" s="41"/>
      <c r="G897" s="41"/>
      <c r="H897" s="41"/>
      <c r="I897" s="41"/>
      <c r="J897" s="41"/>
    </row>
    <row r="898">
      <c r="A898" s="41"/>
      <c r="B898" s="41"/>
      <c r="C898" s="41"/>
      <c r="F898" s="41"/>
      <c r="G898" s="41"/>
      <c r="H898" s="41"/>
      <c r="I898" s="41"/>
      <c r="J898" s="41"/>
    </row>
    <row r="899">
      <c r="A899" s="41"/>
      <c r="B899" s="41"/>
      <c r="C899" s="41"/>
      <c r="F899" s="41"/>
      <c r="G899" s="41"/>
      <c r="H899" s="41"/>
      <c r="I899" s="41"/>
      <c r="J899" s="41"/>
    </row>
    <row r="900">
      <c r="A900" s="41"/>
      <c r="B900" s="41"/>
      <c r="C900" s="41"/>
      <c r="F900" s="41"/>
      <c r="G900" s="41"/>
      <c r="H900" s="41"/>
      <c r="I900" s="41"/>
      <c r="J900" s="41"/>
    </row>
    <row r="901">
      <c r="A901" s="41"/>
      <c r="B901" s="41"/>
      <c r="C901" s="41"/>
      <c r="F901" s="41"/>
      <c r="G901" s="41"/>
      <c r="H901" s="41"/>
      <c r="I901" s="41"/>
      <c r="J901" s="41"/>
    </row>
    <row r="902">
      <c r="A902" s="41"/>
      <c r="B902" s="41"/>
      <c r="C902" s="41"/>
      <c r="F902" s="41"/>
      <c r="G902" s="41"/>
      <c r="H902" s="41"/>
      <c r="I902" s="41"/>
      <c r="J902" s="41"/>
    </row>
    <row r="903">
      <c r="A903" s="41"/>
      <c r="B903" s="41"/>
      <c r="C903" s="41"/>
      <c r="F903" s="41"/>
      <c r="G903" s="41"/>
      <c r="H903" s="41"/>
      <c r="I903" s="41"/>
      <c r="J903" s="41"/>
    </row>
    <row r="904">
      <c r="A904" s="41"/>
      <c r="B904" s="41"/>
      <c r="C904" s="41"/>
      <c r="F904" s="41"/>
      <c r="G904" s="41"/>
      <c r="H904" s="41"/>
      <c r="I904" s="41"/>
      <c r="J904" s="41"/>
    </row>
    <row r="905">
      <c r="A905" s="41"/>
      <c r="B905" s="41"/>
      <c r="C905" s="41"/>
      <c r="F905" s="41"/>
      <c r="G905" s="41"/>
      <c r="H905" s="41"/>
      <c r="I905" s="41"/>
      <c r="J905" s="41"/>
    </row>
    <row r="906">
      <c r="A906" s="41"/>
      <c r="B906" s="41"/>
      <c r="C906" s="41"/>
      <c r="F906" s="41"/>
      <c r="G906" s="41"/>
      <c r="H906" s="41"/>
      <c r="I906" s="41"/>
      <c r="J906" s="41"/>
    </row>
    <row r="907">
      <c r="A907" s="41"/>
      <c r="B907" s="41"/>
      <c r="C907" s="41"/>
      <c r="F907" s="41"/>
      <c r="G907" s="41"/>
      <c r="H907" s="41"/>
      <c r="I907" s="41"/>
      <c r="J907" s="41"/>
    </row>
    <row r="908">
      <c r="A908" s="41"/>
      <c r="B908" s="41"/>
      <c r="C908" s="41"/>
      <c r="F908" s="41"/>
      <c r="G908" s="41"/>
      <c r="H908" s="41"/>
      <c r="I908" s="41"/>
      <c r="J908" s="41"/>
    </row>
    <row r="909">
      <c r="A909" s="41"/>
      <c r="B909" s="41"/>
      <c r="C909" s="41"/>
      <c r="F909" s="41"/>
      <c r="G909" s="41"/>
      <c r="H909" s="41"/>
      <c r="I909" s="41"/>
      <c r="J909" s="41"/>
    </row>
    <row r="910">
      <c r="A910" s="41"/>
      <c r="B910" s="41"/>
      <c r="C910" s="41"/>
      <c r="F910" s="41"/>
      <c r="G910" s="41"/>
      <c r="H910" s="41"/>
      <c r="I910" s="41"/>
      <c r="J910" s="41"/>
    </row>
    <row r="911">
      <c r="A911" s="41"/>
      <c r="B911" s="41"/>
      <c r="C911" s="41"/>
      <c r="F911" s="41"/>
      <c r="G911" s="41"/>
      <c r="H911" s="41"/>
      <c r="I911" s="41"/>
      <c r="J911" s="41"/>
    </row>
    <row r="912">
      <c r="A912" s="41"/>
      <c r="B912" s="41"/>
      <c r="C912" s="41"/>
      <c r="F912" s="41"/>
      <c r="G912" s="41"/>
      <c r="H912" s="41"/>
      <c r="I912" s="41"/>
      <c r="J912" s="41"/>
    </row>
    <row r="913">
      <c r="A913" s="41"/>
      <c r="B913" s="41"/>
      <c r="C913" s="41"/>
      <c r="F913" s="41"/>
      <c r="G913" s="41"/>
      <c r="H913" s="41"/>
      <c r="I913" s="41"/>
      <c r="J913" s="41"/>
    </row>
    <row r="914">
      <c r="A914" s="41"/>
      <c r="B914" s="41"/>
      <c r="C914" s="41"/>
      <c r="F914" s="41"/>
      <c r="G914" s="41"/>
      <c r="H914" s="41"/>
      <c r="I914" s="41"/>
      <c r="J914" s="41"/>
    </row>
    <row r="915">
      <c r="A915" s="41"/>
      <c r="B915" s="41"/>
      <c r="C915" s="41"/>
      <c r="F915" s="41"/>
      <c r="G915" s="41"/>
      <c r="H915" s="41"/>
      <c r="I915" s="41"/>
      <c r="J915" s="41"/>
    </row>
    <row r="916">
      <c r="A916" s="41"/>
      <c r="B916" s="41"/>
      <c r="C916" s="41"/>
      <c r="F916" s="41"/>
      <c r="G916" s="41"/>
      <c r="H916" s="41"/>
      <c r="I916" s="41"/>
      <c r="J916" s="41"/>
    </row>
    <row r="917">
      <c r="A917" s="41"/>
      <c r="B917" s="41"/>
      <c r="C917" s="41"/>
      <c r="F917" s="41"/>
      <c r="G917" s="41"/>
      <c r="H917" s="41"/>
      <c r="I917" s="41"/>
      <c r="J917" s="41"/>
    </row>
    <row r="918">
      <c r="A918" s="41"/>
      <c r="B918" s="41"/>
      <c r="C918" s="41"/>
      <c r="F918" s="41"/>
      <c r="G918" s="41"/>
      <c r="H918" s="41"/>
      <c r="I918" s="41"/>
      <c r="J918" s="41"/>
    </row>
    <row r="919">
      <c r="A919" s="41"/>
      <c r="B919" s="41"/>
      <c r="C919" s="41"/>
      <c r="F919" s="41"/>
      <c r="G919" s="41"/>
      <c r="H919" s="41"/>
      <c r="I919" s="41"/>
      <c r="J919" s="41"/>
    </row>
    <row r="920">
      <c r="A920" s="41"/>
      <c r="B920" s="41"/>
      <c r="C920" s="41"/>
      <c r="F920" s="41"/>
      <c r="G920" s="41"/>
      <c r="H920" s="41"/>
      <c r="I920" s="41"/>
      <c r="J920" s="41"/>
    </row>
    <row r="921">
      <c r="A921" s="41"/>
      <c r="B921" s="41"/>
      <c r="C921" s="41"/>
      <c r="F921" s="41"/>
      <c r="G921" s="41"/>
      <c r="H921" s="41"/>
      <c r="I921" s="41"/>
      <c r="J921" s="41"/>
    </row>
    <row r="922">
      <c r="A922" s="41"/>
      <c r="B922" s="41"/>
      <c r="C922" s="41"/>
      <c r="F922" s="41"/>
      <c r="G922" s="41"/>
      <c r="H922" s="41"/>
      <c r="I922" s="41"/>
      <c r="J922" s="41"/>
    </row>
    <row r="923">
      <c r="A923" s="41"/>
      <c r="B923" s="41"/>
      <c r="C923" s="41"/>
      <c r="F923" s="41"/>
      <c r="G923" s="41"/>
      <c r="H923" s="41"/>
      <c r="I923" s="41"/>
      <c r="J923" s="41"/>
    </row>
    <row r="924">
      <c r="A924" s="41"/>
      <c r="B924" s="41"/>
      <c r="C924" s="41"/>
      <c r="F924" s="41"/>
      <c r="G924" s="41"/>
      <c r="H924" s="41"/>
      <c r="I924" s="41"/>
      <c r="J924" s="41"/>
    </row>
    <row r="925">
      <c r="A925" s="41"/>
      <c r="B925" s="41"/>
      <c r="C925" s="41"/>
      <c r="F925" s="41"/>
      <c r="G925" s="41"/>
      <c r="H925" s="41"/>
      <c r="I925" s="41"/>
      <c r="J925" s="41"/>
    </row>
    <row r="926">
      <c r="A926" s="41"/>
      <c r="B926" s="41"/>
      <c r="C926" s="41"/>
      <c r="F926" s="41"/>
      <c r="G926" s="41"/>
      <c r="H926" s="41"/>
      <c r="I926" s="41"/>
      <c r="J926" s="41"/>
    </row>
    <row r="927">
      <c r="A927" s="41"/>
      <c r="B927" s="41"/>
      <c r="C927" s="41"/>
      <c r="F927" s="41"/>
      <c r="G927" s="41"/>
      <c r="H927" s="41"/>
      <c r="I927" s="41"/>
      <c r="J927" s="41"/>
    </row>
    <row r="928">
      <c r="A928" s="41"/>
      <c r="B928" s="41"/>
      <c r="C928" s="41"/>
      <c r="F928" s="41"/>
      <c r="G928" s="41"/>
      <c r="H928" s="41"/>
      <c r="I928" s="41"/>
      <c r="J928" s="41"/>
    </row>
    <row r="929">
      <c r="A929" s="41"/>
      <c r="B929" s="41"/>
      <c r="C929" s="41"/>
      <c r="F929" s="41"/>
      <c r="G929" s="41"/>
      <c r="H929" s="41"/>
      <c r="I929" s="41"/>
      <c r="J929" s="41"/>
    </row>
    <row r="930">
      <c r="A930" s="41"/>
      <c r="B930" s="41"/>
      <c r="C930" s="41"/>
      <c r="F930" s="41"/>
      <c r="G930" s="41"/>
      <c r="H930" s="41"/>
      <c r="I930" s="41"/>
      <c r="J930" s="41"/>
    </row>
    <row r="931">
      <c r="A931" s="41"/>
      <c r="B931" s="41"/>
      <c r="C931" s="41"/>
      <c r="F931" s="41"/>
      <c r="G931" s="41"/>
      <c r="H931" s="41"/>
      <c r="I931" s="41"/>
      <c r="J931" s="41"/>
    </row>
    <row r="932">
      <c r="A932" s="41"/>
      <c r="B932" s="41"/>
      <c r="C932" s="41"/>
      <c r="F932" s="41"/>
      <c r="G932" s="41"/>
      <c r="H932" s="41"/>
      <c r="I932" s="41"/>
      <c r="J932" s="41"/>
    </row>
    <row r="933">
      <c r="A933" s="41"/>
      <c r="B933" s="41"/>
      <c r="C933" s="41"/>
      <c r="F933" s="41"/>
      <c r="G933" s="41"/>
      <c r="H933" s="41"/>
      <c r="I933" s="41"/>
      <c r="J933" s="41"/>
    </row>
    <row r="934">
      <c r="A934" s="41"/>
      <c r="B934" s="41"/>
      <c r="C934" s="41"/>
      <c r="F934" s="41"/>
      <c r="G934" s="41"/>
      <c r="H934" s="41"/>
      <c r="I934" s="41"/>
      <c r="J934" s="41"/>
    </row>
    <row r="935">
      <c r="A935" s="41"/>
      <c r="B935" s="41"/>
      <c r="C935" s="41"/>
      <c r="F935" s="41"/>
      <c r="G935" s="41"/>
      <c r="H935" s="41"/>
      <c r="I935" s="41"/>
      <c r="J935" s="41"/>
    </row>
    <row r="936">
      <c r="A936" s="41"/>
      <c r="B936" s="41"/>
      <c r="C936" s="41"/>
      <c r="F936" s="41"/>
      <c r="G936" s="41"/>
      <c r="H936" s="41"/>
      <c r="I936" s="41"/>
      <c r="J936" s="41"/>
    </row>
    <row r="937">
      <c r="A937" s="41"/>
      <c r="B937" s="41"/>
      <c r="C937" s="41"/>
      <c r="F937" s="41"/>
      <c r="G937" s="41"/>
      <c r="H937" s="41"/>
      <c r="I937" s="41"/>
      <c r="J937" s="41"/>
    </row>
    <row r="938">
      <c r="A938" s="41"/>
      <c r="B938" s="41"/>
      <c r="C938" s="41"/>
      <c r="F938" s="41"/>
      <c r="G938" s="41"/>
      <c r="H938" s="41"/>
      <c r="I938" s="41"/>
      <c r="J938" s="41"/>
    </row>
    <row r="939">
      <c r="A939" s="41"/>
      <c r="B939" s="41"/>
      <c r="C939" s="41"/>
      <c r="F939" s="41"/>
      <c r="G939" s="41"/>
      <c r="H939" s="41"/>
      <c r="I939" s="41"/>
      <c r="J939" s="41"/>
    </row>
    <row r="940">
      <c r="A940" s="41"/>
      <c r="B940" s="41"/>
      <c r="C940" s="41"/>
      <c r="F940" s="41"/>
      <c r="G940" s="41"/>
      <c r="H940" s="41"/>
      <c r="I940" s="41"/>
      <c r="J940" s="41"/>
    </row>
    <row r="941">
      <c r="A941" s="41"/>
      <c r="B941" s="41"/>
      <c r="C941" s="41"/>
      <c r="F941" s="41"/>
      <c r="G941" s="41"/>
      <c r="H941" s="41"/>
      <c r="I941" s="41"/>
      <c r="J941" s="41"/>
    </row>
    <row r="942">
      <c r="A942" s="41"/>
      <c r="B942" s="41"/>
      <c r="C942" s="41"/>
      <c r="F942" s="41"/>
      <c r="G942" s="41"/>
      <c r="H942" s="41"/>
      <c r="I942" s="41"/>
      <c r="J942" s="41"/>
    </row>
    <row r="943">
      <c r="A943" s="41"/>
      <c r="B943" s="41"/>
      <c r="C943" s="41"/>
      <c r="F943" s="41"/>
      <c r="G943" s="41"/>
      <c r="H943" s="41"/>
      <c r="I943" s="41"/>
      <c r="J943" s="41"/>
    </row>
    <row r="944">
      <c r="A944" s="41"/>
      <c r="B944" s="41"/>
      <c r="C944" s="41"/>
      <c r="F944" s="41"/>
      <c r="G944" s="41"/>
      <c r="H944" s="41"/>
      <c r="I944" s="41"/>
      <c r="J944" s="41"/>
    </row>
    <row r="945">
      <c r="A945" s="41"/>
      <c r="B945" s="41"/>
      <c r="C945" s="41"/>
      <c r="F945" s="41"/>
      <c r="G945" s="41"/>
      <c r="H945" s="41"/>
      <c r="I945" s="41"/>
      <c r="J945" s="41"/>
    </row>
    <row r="946">
      <c r="A946" s="41"/>
      <c r="B946" s="41"/>
      <c r="C946" s="41"/>
      <c r="F946" s="41"/>
      <c r="G946" s="41"/>
      <c r="H946" s="41"/>
      <c r="I946" s="41"/>
      <c r="J946" s="41"/>
    </row>
    <row r="947">
      <c r="A947" s="41"/>
      <c r="B947" s="41"/>
      <c r="C947" s="41"/>
      <c r="F947" s="41"/>
      <c r="G947" s="41"/>
      <c r="H947" s="41"/>
      <c r="I947" s="41"/>
      <c r="J947" s="41"/>
    </row>
    <row r="948">
      <c r="A948" s="41"/>
      <c r="B948" s="41"/>
      <c r="C948" s="41"/>
      <c r="F948" s="41"/>
      <c r="G948" s="41"/>
      <c r="H948" s="41"/>
      <c r="I948" s="41"/>
      <c r="J948" s="41"/>
    </row>
    <row r="949">
      <c r="A949" s="41"/>
      <c r="B949" s="41"/>
      <c r="C949" s="41"/>
      <c r="F949" s="41"/>
      <c r="G949" s="41"/>
      <c r="H949" s="41"/>
      <c r="I949" s="41"/>
      <c r="J949" s="41"/>
    </row>
    <row r="950">
      <c r="A950" s="41"/>
      <c r="B950" s="41"/>
      <c r="C950" s="41"/>
      <c r="F950" s="41"/>
      <c r="G950" s="41"/>
      <c r="H950" s="41"/>
      <c r="I950" s="41"/>
      <c r="J950" s="41"/>
    </row>
    <row r="951">
      <c r="A951" s="41"/>
      <c r="B951" s="41"/>
      <c r="C951" s="41"/>
      <c r="F951" s="41"/>
      <c r="G951" s="41"/>
      <c r="H951" s="41"/>
      <c r="I951" s="41"/>
      <c r="J951" s="41"/>
    </row>
    <row r="952">
      <c r="A952" s="41"/>
      <c r="B952" s="41"/>
      <c r="C952" s="41"/>
      <c r="F952" s="41"/>
      <c r="G952" s="41"/>
      <c r="H952" s="41"/>
      <c r="I952" s="41"/>
      <c r="J952" s="41"/>
    </row>
    <row r="953">
      <c r="A953" s="41"/>
      <c r="B953" s="41"/>
      <c r="C953" s="41"/>
      <c r="F953" s="41"/>
      <c r="G953" s="41"/>
      <c r="H953" s="41"/>
      <c r="I953" s="41"/>
      <c r="J953" s="41"/>
    </row>
    <row r="954">
      <c r="A954" s="41"/>
      <c r="B954" s="41"/>
      <c r="C954" s="41"/>
      <c r="F954" s="41"/>
      <c r="G954" s="41"/>
      <c r="H954" s="41"/>
      <c r="I954" s="41"/>
      <c r="J954" s="41"/>
    </row>
    <row r="955">
      <c r="A955" s="41"/>
      <c r="B955" s="41"/>
      <c r="C955" s="41"/>
      <c r="F955" s="41"/>
      <c r="G955" s="41"/>
      <c r="H955" s="41"/>
      <c r="I955" s="41"/>
      <c r="J955" s="41"/>
    </row>
    <row r="956">
      <c r="A956" s="41"/>
      <c r="B956" s="41"/>
      <c r="C956" s="41"/>
      <c r="F956" s="41"/>
      <c r="G956" s="41"/>
      <c r="H956" s="41"/>
      <c r="I956" s="41"/>
      <c r="J956" s="41"/>
    </row>
    <row r="957">
      <c r="A957" s="41"/>
      <c r="B957" s="41"/>
      <c r="C957" s="41"/>
      <c r="F957" s="41"/>
      <c r="G957" s="41"/>
      <c r="H957" s="41"/>
      <c r="I957" s="41"/>
      <c r="J957" s="41"/>
    </row>
    <row r="958">
      <c r="A958" s="41"/>
      <c r="B958" s="41"/>
      <c r="C958" s="41"/>
      <c r="F958" s="41"/>
      <c r="G958" s="41"/>
      <c r="H958" s="41"/>
      <c r="I958" s="41"/>
      <c r="J958" s="41"/>
    </row>
    <row r="959">
      <c r="A959" s="41"/>
      <c r="B959" s="41"/>
      <c r="C959" s="41"/>
      <c r="F959" s="41"/>
      <c r="G959" s="41"/>
      <c r="H959" s="41"/>
      <c r="I959" s="41"/>
      <c r="J959" s="41"/>
    </row>
    <row r="960">
      <c r="A960" s="41"/>
      <c r="B960" s="41"/>
      <c r="C960" s="41"/>
      <c r="F960" s="41"/>
      <c r="G960" s="41"/>
      <c r="H960" s="41"/>
      <c r="I960" s="41"/>
      <c r="J960" s="41"/>
    </row>
    <row r="961">
      <c r="A961" s="41"/>
      <c r="B961" s="41"/>
      <c r="C961" s="41"/>
      <c r="F961" s="41"/>
      <c r="G961" s="41"/>
      <c r="H961" s="41"/>
      <c r="I961" s="41"/>
      <c r="J961" s="41"/>
    </row>
    <row r="962">
      <c r="A962" s="41"/>
      <c r="B962" s="41"/>
      <c r="C962" s="41"/>
      <c r="F962" s="41"/>
      <c r="G962" s="41"/>
      <c r="H962" s="41"/>
      <c r="I962" s="41"/>
      <c r="J962" s="41"/>
    </row>
    <row r="963">
      <c r="A963" s="41"/>
      <c r="B963" s="41"/>
      <c r="C963" s="41"/>
      <c r="F963" s="41"/>
      <c r="G963" s="41"/>
      <c r="H963" s="41"/>
      <c r="I963" s="41"/>
      <c r="J963" s="41"/>
    </row>
    <row r="964">
      <c r="A964" s="41"/>
      <c r="B964" s="41"/>
      <c r="C964" s="41"/>
      <c r="F964" s="41"/>
      <c r="G964" s="41"/>
      <c r="H964" s="41"/>
      <c r="I964" s="41"/>
      <c r="J964" s="41"/>
    </row>
    <row r="965">
      <c r="A965" s="41"/>
      <c r="B965" s="41"/>
      <c r="C965" s="41"/>
      <c r="F965" s="41"/>
      <c r="G965" s="41"/>
      <c r="H965" s="41"/>
      <c r="I965" s="41"/>
      <c r="J965" s="41"/>
    </row>
    <row r="966">
      <c r="A966" s="41"/>
      <c r="B966" s="41"/>
      <c r="C966" s="41"/>
      <c r="F966" s="41"/>
      <c r="G966" s="41"/>
      <c r="H966" s="41"/>
      <c r="I966" s="41"/>
      <c r="J966" s="41"/>
    </row>
    <row r="967">
      <c r="A967" s="41"/>
      <c r="B967" s="41"/>
      <c r="C967" s="41"/>
      <c r="F967" s="41"/>
      <c r="G967" s="41"/>
      <c r="H967" s="41"/>
      <c r="I967" s="41"/>
      <c r="J967" s="41"/>
    </row>
    <row r="968">
      <c r="A968" s="41"/>
      <c r="B968" s="41"/>
      <c r="C968" s="41"/>
      <c r="F968" s="41"/>
      <c r="G968" s="41"/>
      <c r="H968" s="41"/>
      <c r="I968" s="41"/>
      <c r="J968" s="41"/>
    </row>
    <row r="969">
      <c r="A969" s="41"/>
      <c r="B969" s="41"/>
      <c r="C969" s="41"/>
      <c r="F969" s="41"/>
      <c r="G969" s="41"/>
      <c r="H969" s="41"/>
      <c r="I969" s="41"/>
      <c r="J969" s="41"/>
    </row>
    <row r="970">
      <c r="A970" s="41"/>
      <c r="B970" s="41"/>
      <c r="C970" s="41"/>
      <c r="F970" s="41"/>
      <c r="G970" s="41"/>
      <c r="H970" s="41"/>
      <c r="I970" s="41"/>
      <c r="J970" s="41"/>
    </row>
    <row r="971">
      <c r="A971" s="41"/>
      <c r="B971" s="41"/>
      <c r="C971" s="41"/>
      <c r="F971" s="41"/>
      <c r="G971" s="41"/>
      <c r="H971" s="41"/>
      <c r="I971" s="41"/>
      <c r="J971" s="41"/>
    </row>
    <row r="972">
      <c r="A972" s="41"/>
      <c r="B972" s="41"/>
      <c r="C972" s="41"/>
      <c r="F972" s="41"/>
      <c r="G972" s="41"/>
      <c r="H972" s="41"/>
      <c r="I972" s="41"/>
      <c r="J972" s="41"/>
    </row>
    <row r="973">
      <c r="A973" s="41"/>
      <c r="B973" s="41"/>
      <c r="C973" s="41"/>
      <c r="F973" s="41"/>
      <c r="G973" s="41"/>
      <c r="H973" s="41"/>
      <c r="I973" s="41"/>
      <c r="J973" s="41"/>
    </row>
    <row r="974">
      <c r="A974" s="41"/>
      <c r="B974" s="41"/>
      <c r="C974" s="41"/>
      <c r="F974" s="41"/>
      <c r="G974" s="41"/>
      <c r="H974" s="41"/>
      <c r="I974" s="41"/>
      <c r="J974" s="41"/>
    </row>
    <row r="975">
      <c r="A975" s="41"/>
      <c r="B975" s="41"/>
      <c r="C975" s="41"/>
      <c r="F975" s="41"/>
      <c r="G975" s="41"/>
      <c r="H975" s="41"/>
      <c r="I975" s="41"/>
      <c r="J975" s="41"/>
    </row>
    <row r="976">
      <c r="A976" s="41"/>
      <c r="B976" s="41"/>
      <c r="C976" s="41"/>
      <c r="F976" s="41"/>
      <c r="G976" s="41"/>
      <c r="H976" s="41"/>
      <c r="I976" s="41"/>
      <c r="J976" s="41"/>
    </row>
    <row r="977">
      <c r="A977" s="41"/>
      <c r="B977" s="41"/>
      <c r="C977" s="41"/>
      <c r="F977" s="41"/>
      <c r="G977" s="41"/>
      <c r="H977" s="41"/>
      <c r="I977" s="41"/>
      <c r="J977" s="41"/>
    </row>
    <row r="978">
      <c r="A978" s="41"/>
      <c r="B978" s="41"/>
      <c r="C978" s="41"/>
      <c r="F978" s="41"/>
      <c r="G978" s="41"/>
      <c r="H978" s="41"/>
      <c r="I978" s="41"/>
      <c r="J978" s="41"/>
    </row>
    <row r="979">
      <c r="A979" s="41"/>
      <c r="B979" s="41"/>
      <c r="C979" s="41"/>
      <c r="F979" s="41"/>
      <c r="G979" s="41"/>
      <c r="H979" s="41"/>
      <c r="I979" s="41"/>
      <c r="J979" s="41"/>
    </row>
    <row r="980">
      <c r="A980" s="41"/>
      <c r="B980" s="41"/>
      <c r="C980" s="41"/>
      <c r="F980" s="41"/>
      <c r="G980" s="41"/>
      <c r="H980" s="41"/>
      <c r="I980" s="41"/>
      <c r="J980" s="41"/>
    </row>
    <row r="981">
      <c r="A981" s="41"/>
      <c r="B981" s="41"/>
      <c r="C981" s="41"/>
      <c r="F981" s="41"/>
      <c r="G981" s="41"/>
      <c r="H981" s="41"/>
      <c r="I981" s="41"/>
      <c r="J981" s="41"/>
    </row>
    <row r="982">
      <c r="A982" s="41"/>
      <c r="B982" s="41"/>
      <c r="C982" s="41"/>
      <c r="F982" s="41"/>
      <c r="G982" s="41"/>
      <c r="H982" s="41"/>
      <c r="I982" s="41"/>
      <c r="J982" s="41"/>
    </row>
    <row r="983">
      <c r="A983" s="41"/>
      <c r="B983" s="41"/>
      <c r="C983" s="41"/>
      <c r="F983" s="41"/>
      <c r="G983" s="41"/>
      <c r="H983" s="41"/>
      <c r="I983" s="41"/>
      <c r="J983" s="41"/>
    </row>
    <row r="984">
      <c r="A984" s="41"/>
      <c r="B984" s="41"/>
      <c r="C984" s="41"/>
      <c r="F984" s="41"/>
      <c r="G984" s="41"/>
      <c r="H984" s="41"/>
      <c r="I984" s="41"/>
      <c r="J984" s="41"/>
    </row>
    <row r="985">
      <c r="A985" s="41"/>
      <c r="B985" s="41"/>
      <c r="C985" s="41"/>
      <c r="F985" s="41"/>
      <c r="G985" s="41"/>
      <c r="H985" s="41"/>
      <c r="I985" s="41"/>
      <c r="J985" s="41"/>
    </row>
    <row r="986">
      <c r="A986" s="41"/>
      <c r="B986" s="41"/>
      <c r="C986" s="41"/>
      <c r="F986" s="41"/>
      <c r="G986" s="41"/>
      <c r="H986" s="41"/>
      <c r="I986" s="41"/>
      <c r="J986" s="41"/>
    </row>
    <row r="987">
      <c r="A987" s="41"/>
      <c r="B987" s="41"/>
      <c r="C987" s="41"/>
      <c r="F987" s="41"/>
      <c r="G987" s="41"/>
      <c r="H987" s="41"/>
      <c r="I987" s="41"/>
      <c r="J987" s="41"/>
    </row>
    <row r="988">
      <c r="A988" s="41"/>
      <c r="B988" s="41"/>
      <c r="C988" s="41"/>
      <c r="F988" s="41"/>
      <c r="G988" s="41"/>
      <c r="H988" s="41"/>
      <c r="I988" s="41"/>
      <c r="J988" s="41"/>
    </row>
    <row r="989">
      <c r="A989" s="41"/>
      <c r="B989" s="41"/>
      <c r="C989" s="41"/>
      <c r="F989" s="41"/>
      <c r="G989" s="41"/>
      <c r="H989" s="41"/>
      <c r="I989" s="41"/>
      <c r="J989" s="41"/>
    </row>
    <row r="990">
      <c r="A990" s="41"/>
      <c r="B990" s="41"/>
      <c r="C990" s="41"/>
      <c r="F990" s="41"/>
      <c r="G990" s="41"/>
      <c r="H990" s="41"/>
      <c r="I990" s="41"/>
      <c r="J990" s="41"/>
    </row>
    <row r="991">
      <c r="A991" s="41"/>
      <c r="B991" s="41"/>
      <c r="C991" s="41"/>
      <c r="F991" s="41"/>
      <c r="G991" s="41"/>
      <c r="H991" s="41"/>
      <c r="I991" s="41"/>
      <c r="J991" s="41"/>
    </row>
    <row r="992">
      <c r="A992" s="41"/>
      <c r="B992" s="41"/>
      <c r="C992" s="41"/>
      <c r="F992" s="41"/>
      <c r="G992" s="41"/>
      <c r="H992" s="41"/>
      <c r="I992" s="41"/>
      <c r="J992" s="41"/>
    </row>
    <row r="993">
      <c r="A993" s="41"/>
      <c r="B993" s="41"/>
      <c r="C993" s="41"/>
      <c r="F993" s="41"/>
      <c r="G993" s="41"/>
      <c r="H993" s="41"/>
      <c r="I993" s="41"/>
      <c r="J993" s="41"/>
    </row>
    <row r="994">
      <c r="A994" s="41"/>
      <c r="B994" s="41"/>
      <c r="C994" s="41"/>
      <c r="F994" s="41"/>
      <c r="G994" s="41"/>
      <c r="H994" s="41"/>
      <c r="I994" s="41"/>
      <c r="J994" s="41"/>
    </row>
    <row r="995">
      <c r="A995" s="41"/>
      <c r="B995" s="41"/>
      <c r="C995" s="41"/>
      <c r="F995" s="41"/>
      <c r="G995" s="41"/>
      <c r="H995" s="41"/>
      <c r="I995" s="41"/>
      <c r="J995" s="41"/>
    </row>
    <row r="996">
      <c r="A996" s="41"/>
      <c r="B996" s="41"/>
      <c r="C996" s="41"/>
      <c r="F996" s="41"/>
      <c r="G996" s="41"/>
      <c r="H996" s="41"/>
      <c r="I996" s="41"/>
      <c r="J996" s="41"/>
    </row>
    <row r="997">
      <c r="A997" s="41"/>
      <c r="B997" s="41"/>
      <c r="C997" s="41"/>
      <c r="F997" s="41"/>
      <c r="G997" s="41"/>
      <c r="H997" s="41"/>
      <c r="I997" s="41"/>
      <c r="J997" s="41"/>
    </row>
    <row r="998">
      <c r="A998" s="41"/>
      <c r="B998" s="41"/>
      <c r="C998" s="41"/>
      <c r="F998" s="41"/>
      <c r="G998" s="41"/>
      <c r="H998" s="41"/>
      <c r="I998" s="41"/>
      <c r="J998" s="41"/>
    </row>
    <row r="999">
      <c r="A999" s="41"/>
      <c r="B999" s="41"/>
      <c r="C999" s="41"/>
      <c r="F999" s="41"/>
      <c r="G999" s="41"/>
      <c r="H999" s="41"/>
      <c r="I999" s="41"/>
      <c r="J999" s="41"/>
    </row>
    <row r="1000">
      <c r="A1000" s="41"/>
      <c r="B1000" s="41"/>
      <c r="C1000" s="41"/>
      <c r="F1000" s="41"/>
      <c r="G1000" s="41"/>
      <c r="H1000" s="41"/>
      <c r="I1000" s="41"/>
      <c r="J1000" s="41"/>
    </row>
  </sheetData>
  <mergeCells count="21">
    <mergeCell ref="I9:I10"/>
    <mergeCell ref="J9:J10"/>
    <mergeCell ref="I7:I8"/>
    <mergeCell ref="I11:I12"/>
    <mergeCell ref="I13:I14"/>
    <mergeCell ref="J13:J14"/>
    <mergeCell ref="I15:I16"/>
    <mergeCell ref="J15:J16"/>
    <mergeCell ref="I18:I25"/>
    <mergeCell ref="J18:J25"/>
    <mergeCell ref="F11:F12"/>
    <mergeCell ref="F13:F14"/>
    <mergeCell ref="F15:F16"/>
    <mergeCell ref="F18:F25"/>
    <mergeCell ref="F3:F5"/>
    <mergeCell ref="I3:I5"/>
    <mergeCell ref="J3:J5"/>
    <mergeCell ref="F7:F8"/>
    <mergeCell ref="J7:J8"/>
    <mergeCell ref="F9:F10"/>
    <mergeCell ref="J11:J12"/>
  </mergeCell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2026-05-05T06:45:50Z</dcterms:created>
  <dc:creator>it m364</dc:creator>
</cp:coreProperties>
</file>